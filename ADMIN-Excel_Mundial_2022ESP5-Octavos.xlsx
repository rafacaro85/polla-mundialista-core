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autoCompressPictures="0" defaultThemeVersion="124226"/>
  <mc:AlternateContent xmlns:mc="http://schemas.openxmlformats.org/markup-compatibility/2006">
    <mc:Choice Requires="x15">
      <x15ac:absPath xmlns:x15ac="http://schemas.microsoft.com/office/spreadsheetml/2010/11/ac" url="/Users/Mat/Documents/Excel Mundial/ESP/"/>
    </mc:Choice>
  </mc:AlternateContent>
  <xr:revisionPtr revIDLastSave="0" documentId="13_ncr:1_{69DD6DB4-EEBD-DC4D-9F39-C09B4DDB0FED}" xr6:coauthVersionLast="47" xr6:coauthVersionMax="47" xr10:uidLastSave="{00000000-0000-0000-0000-000000000000}"/>
  <workbookProtection workbookAlgorithmName="SHA-512" workbookHashValue="z93DE+2vIwIDqZk/+gH3cSCIu3d0sxtCeO9bK1jHDF5lhwREz1kEbxn91QbKGJJTjymCwInBo5uIi33lpVbBHw==" workbookSaltValue="TfOcAY9mLlLXzOF0FGTQhw==" workbookSpinCount="100000" lockStructure="1"/>
  <bookViews>
    <workbookView xWindow="360" yWindow="460" windowWidth="28260" windowHeight="15960" tabRatio="749" activeTab="1" xr2:uid="{00000000-000D-0000-FFFF-FFFF00000000}"/>
  </bookViews>
  <sheets>
    <sheet name="Inicio" sheetId="30" r:id="rId1"/>
    <sheet name="MUNDIAL" sheetId="3" r:id="rId2"/>
    <sheet name="Horarios" sheetId="32" state="veryHidden" r:id="rId3"/>
    <sheet name="Equipos" sheetId="6" state="veryHidden" r:id="rId4"/>
    <sheet name="Administrador" sheetId="36" r:id="rId5"/>
    <sheet name="Clasificacion" sheetId="37" r:id="rId6"/>
    <sheet name="Diario" sheetId="38" r:id="rId7"/>
    <sheet name="Fixture" sheetId="35" r:id="rId8"/>
    <sheet name="Creditos" sheetId="34" r:id="rId9"/>
  </sheets>
  <definedNames>
    <definedName name="_xlnm._FilterDatabase" localSheetId="2" hidden="1">Horarios!$G$42:$G$51</definedName>
    <definedName name="_xlnm._FilterDatabase" localSheetId="1" hidden="1">MUNDIAL!$CA$43:$CHR$96</definedName>
    <definedName name="·······">Equipos!$A$2:$D$33</definedName>
    <definedName name="a">Administrador!#REF!</definedName>
    <definedName name="cmh">MUNDIAL!$CI$57</definedName>
    <definedName name="Nivel">Tabla3[NombreEquipo]</definedName>
    <definedName name="Nivell" localSheetId="4">Equipos!$C$2:$C$25</definedName>
    <definedName name="Nivell" localSheetId="5">Equipos!$C$2:$C$25</definedName>
    <definedName name="Nivell">Equipos!$C$2:$C$33</definedName>
    <definedName name="NombreEquipo">Equipos!$B$2:$B$33</definedName>
    <definedName name="OK">Equipos!$A$2:$A$33</definedName>
    <definedName name="Rank">Equipos!$D$2:$D$33</definedName>
  </definedNames>
  <calcPr calcId="191029" concurrentCalc="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2" i="3" l="1"/>
  <c r="B6" i="6"/>
  <c r="A13" i="3" a="1"/>
  <c r="A13" i="3"/>
  <c r="AI14" i="3"/>
  <c r="C4" i="3"/>
  <c r="B4" i="6"/>
  <c r="A7" i="3" a="1"/>
  <c r="A7" i="3"/>
  <c r="I4" i="3"/>
  <c r="B2" i="6"/>
  <c r="A5" i="3" a="1"/>
  <c r="A5" i="3"/>
  <c r="I5" i="3"/>
  <c r="I6" i="3"/>
  <c r="B5" i="6"/>
  <c r="A8" i="3" a="1"/>
  <c r="A8" i="3"/>
  <c r="I7" i="3"/>
  <c r="B3" i="6"/>
  <c r="A6" i="3" a="1"/>
  <c r="A6" i="3"/>
  <c r="I8" i="3"/>
  <c r="I9" i="3"/>
  <c r="I12" i="3"/>
  <c r="B8" i="6"/>
  <c r="A15" i="3" a="1"/>
  <c r="A15" i="3"/>
  <c r="I13" i="3"/>
  <c r="B9" i="6"/>
  <c r="A16" i="3" a="1"/>
  <c r="A16" i="3"/>
  <c r="I14" i="3"/>
  <c r="I15" i="3"/>
  <c r="I16" i="3"/>
  <c r="B7" i="6"/>
  <c r="A14" i="3" a="1"/>
  <c r="A14" i="3"/>
  <c r="I17" i="3"/>
  <c r="C20" i="3"/>
  <c r="B10" i="6"/>
  <c r="A21" i="3" a="1"/>
  <c r="A21" i="3"/>
  <c r="I20" i="3"/>
  <c r="B12" i="6"/>
  <c r="A23" i="3" a="1"/>
  <c r="A23" i="3"/>
  <c r="I21" i="3"/>
  <c r="B13" i="6"/>
  <c r="A24" i="3" a="1"/>
  <c r="A24" i="3"/>
  <c r="I22" i="3"/>
  <c r="I23" i="3"/>
  <c r="I24" i="3"/>
  <c r="B11" i="6"/>
  <c r="A22" i="3" a="1"/>
  <c r="A22" i="3"/>
  <c r="I25" i="3"/>
  <c r="C28" i="3"/>
  <c r="B15" i="6"/>
  <c r="A30" i="3" a="1"/>
  <c r="A30" i="3"/>
  <c r="I28" i="3"/>
  <c r="B14" i="6"/>
  <c r="A29" i="3" a="1"/>
  <c r="A29" i="3"/>
  <c r="I29" i="3"/>
  <c r="B16" i="6"/>
  <c r="A31" i="3" a="1"/>
  <c r="A31" i="3"/>
  <c r="I30" i="3"/>
  <c r="I31" i="3"/>
  <c r="B17" i="6"/>
  <c r="A32" i="3" a="1"/>
  <c r="A32" i="3"/>
  <c r="I32" i="3"/>
  <c r="I33" i="3"/>
  <c r="C36" i="3"/>
  <c r="B20" i="6"/>
  <c r="A39" i="3" a="1"/>
  <c r="A39" i="3"/>
  <c r="I36" i="3"/>
  <c r="B18" i="6"/>
  <c r="A37" i="3" a="1"/>
  <c r="A37" i="3"/>
  <c r="I37" i="3"/>
  <c r="B21" i="6"/>
  <c r="A40" i="3" a="1"/>
  <c r="A40" i="3"/>
  <c r="I38" i="3"/>
  <c r="I39" i="3"/>
  <c r="I40" i="3"/>
  <c r="B19" i="6"/>
  <c r="A38" i="3" a="1"/>
  <c r="A38" i="3"/>
  <c r="I41" i="3"/>
  <c r="C44" i="3"/>
  <c r="B24" i="6"/>
  <c r="A47" i="3" a="1"/>
  <c r="A47" i="3"/>
  <c r="I44" i="3"/>
  <c r="B22" i="6"/>
  <c r="A45" i="3" a="1"/>
  <c r="A45" i="3"/>
  <c r="I45" i="3"/>
  <c r="I46" i="3"/>
  <c r="B25" i="6"/>
  <c r="A48" i="3" a="1"/>
  <c r="A48" i="3"/>
  <c r="I47" i="3"/>
  <c r="I48" i="3"/>
  <c r="B23" i="6"/>
  <c r="A46" i="3" a="1"/>
  <c r="A46" i="3"/>
  <c r="I49" i="3"/>
  <c r="C52" i="3"/>
  <c r="B28" i="6"/>
  <c r="A55" i="3" a="1"/>
  <c r="A55" i="3"/>
  <c r="I52" i="3"/>
  <c r="B26" i="6"/>
  <c r="A53" i="3" a="1"/>
  <c r="A53" i="3"/>
  <c r="I53" i="3"/>
  <c r="B29" i="6"/>
  <c r="A56" i="3" a="1"/>
  <c r="A56" i="3"/>
  <c r="I54" i="3"/>
  <c r="I55" i="3"/>
  <c r="B27" i="6"/>
  <c r="A54" i="3" a="1"/>
  <c r="A54" i="3"/>
  <c r="I56" i="3"/>
  <c r="I57" i="3"/>
  <c r="C60" i="3"/>
  <c r="B32" i="6"/>
  <c r="A63" i="3" a="1"/>
  <c r="A63" i="3"/>
  <c r="I60" i="3"/>
  <c r="B30" i="6"/>
  <c r="A61" i="3" a="1"/>
  <c r="A61" i="3"/>
  <c r="I61" i="3"/>
  <c r="B33" i="6"/>
  <c r="A64" i="3" a="1"/>
  <c r="A64" i="3"/>
  <c r="I62" i="3"/>
  <c r="I63" i="3"/>
  <c r="B31" i="6"/>
  <c r="A62" i="3" a="1"/>
  <c r="A62" i="3"/>
  <c r="I64" i="3"/>
  <c r="I65" i="3"/>
  <c r="N4" i="3"/>
  <c r="N5" i="3"/>
  <c r="N6" i="3"/>
  <c r="N7" i="3"/>
  <c r="N8" i="3"/>
  <c r="N9" i="3"/>
  <c r="N12" i="3"/>
  <c r="N13" i="3"/>
  <c r="N14" i="3"/>
  <c r="N15" i="3"/>
  <c r="N16" i="3"/>
  <c r="N17" i="3"/>
  <c r="N20" i="3"/>
  <c r="N21" i="3"/>
  <c r="N22" i="3"/>
  <c r="N23" i="3"/>
  <c r="N24" i="3"/>
  <c r="N25" i="3"/>
  <c r="N28" i="3"/>
  <c r="N29" i="3"/>
  <c r="N30" i="3"/>
  <c r="N31" i="3"/>
  <c r="N32" i="3"/>
  <c r="N33" i="3"/>
  <c r="N36" i="3"/>
  <c r="N37" i="3"/>
  <c r="N38" i="3"/>
  <c r="N39" i="3"/>
  <c r="N40" i="3"/>
  <c r="N41" i="3"/>
  <c r="N44" i="3"/>
  <c r="N45" i="3"/>
  <c r="N46" i="3"/>
  <c r="N47" i="3"/>
  <c r="N48" i="3"/>
  <c r="N49" i="3"/>
  <c r="N52" i="3"/>
  <c r="N53" i="3"/>
  <c r="N54" i="3"/>
  <c r="N55" i="3"/>
  <c r="N56" i="3"/>
  <c r="N57" i="3"/>
  <c r="N60" i="3"/>
  <c r="N61" i="3"/>
  <c r="N62" i="3"/>
  <c r="N63" i="3"/>
  <c r="N64" i="3"/>
  <c r="N65" i="3"/>
  <c r="I11" i="3"/>
  <c r="I19" i="3"/>
  <c r="I27" i="3"/>
  <c r="I35" i="3"/>
  <c r="I43" i="3"/>
  <c r="I51" i="3"/>
  <c r="I59" i="3"/>
  <c r="N11" i="3"/>
  <c r="N19" i="3"/>
  <c r="N27" i="3"/>
  <c r="N35" i="3"/>
  <c r="N43" i="3"/>
  <c r="N51" i="3"/>
  <c r="N59" i="3"/>
  <c r="AK14" i="3"/>
  <c r="AL14" i="3" a="1"/>
  <c r="AL14" i="3"/>
  <c r="AM14" i="3" a="1"/>
  <c r="AM14" i="3"/>
  <c r="AN14" i="3" a="1"/>
  <c r="AN14" i="3"/>
  <c r="AJ14" i="3"/>
  <c r="AO14" i="3" a="1"/>
  <c r="AO14" i="3"/>
  <c r="AP14" i="3" a="1"/>
  <c r="AP14" i="3"/>
  <c r="AQ14" i="3"/>
  <c r="AI15" i="3"/>
  <c r="AL15" i="3" a="1"/>
  <c r="AL15" i="3"/>
  <c r="AM15" i="3" a="1"/>
  <c r="AM15" i="3"/>
  <c r="AN15" i="3" a="1"/>
  <c r="AN15" i="3"/>
  <c r="AJ15" i="3"/>
  <c r="AO15" i="3" a="1"/>
  <c r="AO15" i="3"/>
  <c r="AP15" i="3" a="1"/>
  <c r="AP15" i="3"/>
  <c r="AQ15" i="3"/>
  <c r="AI16" i="3"/>
  <c r="AL16" i="3" a="1"/>
  <c r="AL16" i="3"/>
  <c r="AM16" i="3" a="1"/>
  <c r="AM16" i="3"/>
  <c r="AN16" i="3" a="1"/>
  <c r="AN16" i="3"/>
  <c r="AJ16" i="3"/>
  <c r="AO16" i="3" a="1"/>
  <c r="AO16" i="3"/>
  <c r="AP16" i="3" a="1"/>
  <c r="AP16" i="3"/>
  <c r="AQ16" i="3"/>
  <c r="AI17" i="3"/>
  <c r="AL17" i="3" a="1"/>
  <c r="AL17" i="3"/>
  <c r="AM17" i="3" a="1"/>
  <c r="AM17" i="3"/>
  <c r="AN17" i="3" a="1"/>
  <c r="AN17" i="3"/>
  <c r="AJ17" i="3"/>
  <c r="AO17" i="3" a="1"/>
  <c r="AO17" i="3"/>
  <c r="AP17" i="3" a="1"/>
  <c r="AP17" i="3"/>
  <c r="AQ17" i="3"/>
  <c r="BC14" i="3"/>
  <c r="BC15" i="3"/>
  <c r="BC16" i="3"/>
  <c r="BC17" i="3"/>
  <c r="BB14" i="3"/>
  <c r="BI14" i="3"/>
  <c r="BI15" i="3"/>
  <c r="BI16" i="3"/>
  <c r="BI17" i="3"/>
  <c r="BH14" i="3"/>
  <c r="BO14" i="3"/>
  <c r="BO15" i="3"/>
  <c r="BO16" i="3"/>
  <c r="BO17" i="3"/>
  <c r="BN14" i="3"/>
  <c r="AW9" i="3"/>
  <c r="AW8" i="3"/>
  <c r="AW7" i="3"/>
  <c r="BA14" i="3"/>
  <c r="AW6" i="3"/>
  <c r="AW4" i="3"/>
  <c r="AW5" i="3"/>
  <c r="AR14" i="3"/>
  <c r="BW14" i="3"/>
  <c r="AK15" i="3"/>
  <c r="BB15" i="3"/>
  <c r="BH15" i="3"/>
  <c r="BN15" i="3"/>
  <c r="BA15" i="3"/>
  <c r="AR15" i="3"/>
  <c r="BW15" i="3"/>
  <c r="AK16" i="3"/>
  <c r="BB16" i="3"/>
  <c r="BH16" i="3"/>
  <c r="BN16" i="3"/>
  <c r="BA16" i="3"/>
  <c r="AR16" i="3"/>
  <c r="BW16" i="3"/>
  <c r="AK17" i="3"/>
  <c r="BB17" i="3"/>
  <c r="BH17" i="3"/>
  <c r="BN17" i="3"/>
  <c r="BA17" i="3"/>
  <c r="AR17" i="3"/>
  <c r="BW17" i="3"/>
  <c r="AI22" i="3"/>
  <c r="AK22" i="3"/>
  <c r="AL22" i="3" a="1"/>
  <c r="AL22" i="3"/>
  <c r="AM22" i="3" a="1"/>
  <c r="AM22" i="3"/>
  <c r="AN22" i="3" a="1"/>
  <c r="AN22" i="3"/>
  <c r="AJ22" i="3"/>
  <c r="AO22" i="3" a="1"/>
  <c r="AO22" i="3"/>
  <c r="AP22" i="3" a="1"/>
  <c r="AP22" i="3"/>
  <c r="AQ22" i="3"/>
  <c r="AI23" i="3"/>
  <c r="AL23" i="3" a="1"/>
  <c r="AL23" i="3"/>
  <c r="AM23" i="3" a="1"/>
  <c r="AM23" i="3"/>
  <c r="AN23" i="3" a="1"/>
  <c r="AN23" i="3"/>
  <c r="AJ23" i="3"/>
  <c r="AO23" i="3" a="1"/>
  <c r="AO23" i="3"/>
  <c r="AP23" i="3" a="1"/>
  <c r="AP23" i="3"/>
  <c r="AQ23" i="3"/>
  <c r="AI24" i="3"/>
  <c r="AL24" i="3" a="1"/>
  <c r="AL24" i="3"/>
  <c r="AM24" i="3" a="1"/>
  <c r="AM24" i="3"/>
  <c r="AN24" i="3" a="1"/>
  <c r="AN24" i="3"/>
  <c r="AJ24" i="3"/>
  <c r="AO24" i="3" a="1"/>
  <c r="AO24" i="3"/>
  <c r="AP24" i="3" a="1"/>
  <c r="AP24" i="3"/>
  <c r="AQ24" i="3"/>
  <c r="AI25" i="3"/>
  <c r="AL25" i="3" a="1"/>
  <c r="AL25" i="3"/>
  <c r="AM25" i="3" a="1"/>
  <c r="AM25" i="3"/>
  <c r="AN25" i="3" a="1"/>
  <c r="AN25" i="3"/>
  <c r="AJ25" i="3"/>
  <c r="AO25" i="3" a="1"/>
  <c r="AO25" i="3"/>
  <c r="AP25" i="3" a="1"/>
  <c r="AP25" i="3"/>
  <c r="AQ25" i="3"/>
  <c r="BC22" i="3"/>
  <c r="BC23" i="3"/>
  <c r="BC24" i="3"/>
  <c r="BC25" i="3"/>
  <c r="BB22" i="3"/>
  <c r="BI22" i="3"/>
  <c r="BI23" i="3"/>
  <c r="BI24" i="3"/>
  <c r="BI25" i="3"/>
  <c r="BH22" i="3"/>
  <c r="BO22" i="3"/>
  <c r="BO23" i="3"/>
  <c r="BO24" i="3"/>
  <c r="BO25" i="3"/>
  <c r="BN22" i="3"/>
  <c r="BA22" i="3"/>
  <c r="AR22" i="3"/>
  <c r="BW22" i="3"/>
  <c r="AK23" i="3"/>
  <c r="BB23" i="3"/>
  <c r="BH23" i="3"/>
  <c r="BN23" i="3"/>
  <c r="BA23" i="3"/>
  <c r="AR23" i="3"/>
  <c r="BW23" i="3"/>
  <c r="AK24" i="3"/>
  <c r="BB24" i="3"/>
  <c r="BH24" i="3"/>
  <c r="BN24" i="3"/>
  <c r="BA24" i="3"/>
  <c r="AR24" i="3"/>
  <c r="BW24" i="3"/>
  <c r="AK25" i="3"/>
  <c r="BB25" i="3"/>
  <c r="BH25" i="3"/>
  <c r="BN25" i="3"/>
  <c r="BA25" i="3"/>
  <c r="AR25" i="3"/>
  <c r="BW25" i="3"/>
  <c r="AI30" i="3"/>
  <c r="AK30" i="3"/>
  <c r="AL30" i="3" a="1"/>
  <c r="AL30" i="3"/>
  <c r="AM30" i="3" a="1"/>
  <c r="AM30" i="3"/>
  <c r="AN30" i="3" a="1"/>
  <c r="AN30" i="3"/>
  <c r="AJ30" i="3"/>
  <c r="AO30" i="3" a="1"/>
  <c r="AO30" i="3"/>
  <c r="AP30" i="3" a="1"/>
  <c r="AP30" i="3"/>
  <c r="AQ30" i="3"/>
  <c r="AI31" i="3"/>
  <c r="AL31" i="3" a="1"/>
  <c r="AL31" i="3"/>
  <c r="AM31" i="3" a="1"/>
  <c r="AM31" i="3"/>
  <c r="AN31" i="3" a="1"/>
  <c r="AN31" i="3"/>
  <c r="AJ31" i="3"/>
  <c r="AO31" i="3" a="1"/>
  <c r="AO31" i="3"/>
  <c r="AP31" i="3" a="1"/>
  <c r="AP31" i="3"/>
  <c r="AQ31" i="3"/>
  <c r="AI32" i="3"/>
  <c r="AL32" i="3" a="1"/>
  <c r="AL32" i="3"/>
  <c r="AM32" i="3" a="1"/>
  <c r="AM32" i="3"/>
  <c r="AN32" i="3" a="1"/>
  <c r="AN32" i="3"/>
  <c r="AJ32" i="3"/>
  <c r="AO32" i="3" a="1"/>
  <c r="AO32" i="3"/>
  <c r="AP32" i="3" a="1"/>
  <c r="AP32" i="3"/>
  <c r="AQ32" i="3"/>
  <c r="AI33" i="3"/>
  <c r="AL33" i="3" a="1"/>
  <c r="AL33" i="3"/>
  <c r="AM33" i="3" a="1"/>
  <c r="AM33" i="3"/>
  <c r="AN33" i="3" a="1"/>
  <c r="AN33" i="3"/>
  <c r="AJ33" i="3"/>
  <c r="AO33" i="3" a="1"/>
  <c r="AO33" i="3"/>
  <c r="AP33" i="3" a="1"/>
  <c r="AP33" i="3"/>
  <c r="AQ33" i="3"/>
  <c r="BC30" i="3"/>
  <c r="BC31" i="3"/>
  <c r="BC32" i="3"/>
  <c r="BC33" i="3"/>
  <c r="BB30" i="3"/>
  <c r="BI30" i="3"/>
  <c r="BI31" i="3"/>
  <c r="BI32" i="3"/>
  <c r="BI33" i="3"/>
  <c r="BH30" i="3"/>
  <c r="BO30" i="3"/>
  <c r="BO31" i="3"/>
  <c r="BO32" i="3"/>
  <c r="BO33" i="3"/>
  <c r="BN30" i="3"/>
  <c r="BA30" i="3"/>
  <c r="AR30" i="3"/>
  <c r="BW30" i="3"/>
  <c r="AK31" i="3"/>
  <c r="BB31" i="3"/>
  <c r="BH31" i="3"/>
  <c r="BN31" i="3"/>
  <c r="BA31" i="3"/>
  <c r="AR31" i="3"/>
  <c r="BW31" i="3"/>
  <c r="AK32" i="3"/>
  <c r="BB32" i="3"/>
  <c r="BH32" i="3"/>
  <c r="BN32" i="3"/>
  <c r="BA32" i="3"/>
  <c r="AR32" i="3"/>
  <c r="BW32" i="3"/>
  <c r="AK33" i="3"/>
  <c r="BB33" i="3"/>
  <c r="BH33" i="3"/>
  <c r="BN33" i="3"/>
  <c r="BA33" i="3"/>
  <c r="AR33" i="3"/>
  <c r="BW33" i="3"/>
  <c r="AI38" i="3"/>
  <c r="AK38" i="3"/>
  <c r="AL38" i="3" a="1"/>
  <c r="AL38" i="3"/>
  <c r="AM38" i="3" a="1"/>
  <c r="AM38" i="3"/>
  <c r="AN38" i="3" a="1"/>
  <c r="AN38" i="3"/>
  <c r="AJ38" i="3"/>
  <c r="AO38" i="3" a="1"/>
  <c r="AO38" i="3"/>
  <c r="AP38" i="3" a="1"/>
  <c r="AP38" i="3"/>
  <c r="AQ38" i="3"/>
  <c r="AI39" i="3"/>
  <c r="AL39" i="3" a="1"/>
  <c r="AL39" i="3"/>
  <c r="AM39" i="3" a="1"/>
  <c r="AM39" i="3"/>
  <c r="AN39" i="3" a="1"/>
  <c r="AN39" i="3"/>
  <c r="AJ39" i="3"/>
  <c r="AO39" i="3" a="1"/>
  <c r="AO39" i="3"/>
  <c r="AP39" i="3" a="1"/>
  <c r="AP39" i="3"/>
  <c r="AQ39" i="3"/>
  <c r="AI40" i="3"/>
  <c r="AL40" i="3" a="1"/>
  <c r="AL40" i="3"/>
  <c r="AM40" i="3" a="1"/>
  <c r="AM40" i="3"/>
  <c r="AN40" i="3" a="1"/>
  <c r="AN40" i="3"/>
  <c r="AJ40" i="3"/>
  <c r="AO40" i="3" a="1"/>
  <c r="AO40" i="3"/>
  <c r="AP40" i="3" a="1"/>
  <c r="AP40" i="3"/>
  <c r="AQ40" i="3"/>
  <c r="AI41" i="3"/>
  <c r="AL41" i="3" a="1"/>
  <c r="AL41" i="3"/>
  <c r="AM41" i="3" a="1"/>
  <c r="AM41" i="3"/>
  <c r="AN41" i="3" a="1"/>
  <c r="AN41" i="3"/>
  <c r="AJ41" i="3"/>
  <c r="AO41" i="3" a="1"/>
  <c r="AO41" i="3"/>
  <c r="AP41" i="3" a="1"/>
  <c r="AP41" i="3"/>
  <c r="AQ41" i="3"/>
  <c r="BC38" i="3"/>
  <c r="BC39" i="3"/>
  <c r="BC40" i="3"/>
  <c r="BC41" i="3"/>
  <c r="BB38" i="3"/>
  <c r="BI38" i="3"/>
  <c r="BI39" i="3"/>
  <c r="BI40" i="3"/>
  <c r="BI41" i="3"/>
  <c r="BH38" i="3"/>
  <c r="BO38" i="3"/>
  <c r="BO39" i="3"/>
  <c r="BO40" i="3"/>
  <c r="BO41" i="3"/>
  <c r="BN38" i="3"/>
  <c r="BA38" i="3"/>
  <c r="AR38" i="3"/>
  <c r="BW38" i="3"/>
  <c r="AK39" i="3"/>
  <c r="BB39" i="3"/>
  <c r="BH39" i="3"/>
  <c r="BN39" i="3"/>
  <c r="BA39" i="3"/>
  <c r="AR39" i="3"/>
  <c r="BW39" i="3"/>
  <c r="AK40" i="3"/>
  <c r="BB40" i="3"/>
  <c r="BH40" i="3"/>
  <c r="BN40" i="3"/>
  <c r="BA40" i="3"/>
  <c r="AR40" i="3"/>
  <c r="BW40" i="3"/>
  <c r="AK41" i="3"/>
  <c r="BB41" i="3"/>
  <c r="BH41" i="3"/>
  <c r="BN41" i="3"/>
  <c r="BA41" i="3"/>
  <c r="AR41" i="3"/>
  <c r="BW41" i="3"/>
  <c r="AI46" i="3"/>
  <c r="AK46" i="3"/>
  <c r="AL46" i="3" a="1"/>
  <c r="AL46" i="3"/>
  <c r="AM46" i="3" a="1"/>
  <c r="AM46" i="3"/>
  <c r="AN46" i="3" a="1"/>
  <c r="AN46" i="3"/>
  <c r="AJ46" i="3"/>
  <c r="AO46" i="3" a="1"/>
  <c r="AO46" i="3"/>
  <c r="AP46" i="3" a="1"/>
  <c r="AP46" i="3"/>
  <c r="AQ46" i="3"/>
  <c r="AI47" i="3"/>
  <c r="AL47" i="3" a="1"/>
  <c r="AL47" i="3"/>
  <c r="AM47" i="3" a="1"/>
  <c r="AM47" i="3"/>
  <c r="AN47" i="3" a="1"/>
  <c r="AN47" i="3"/>
  <c r="AJ47" i="3"/>
  <c r="AO47" i="3" a="1"/>
  <c r="AO47" i="3"/>
  <c r="AP47" i="3" a="1"/>
  <c r="AP47" i="3"/>
  <c r="AQ47" i="3"/>
  <c r="AI48" i="3"/>
  <c r="AL48" i="3" a="1"/>
  <c r="AL48" i="3"/>
  <c r="AM48" i="3" a="1"/>
  <c r="AM48" i="3"/>
  <c r="AN48" i="3" a="1"/>
  <c r="AN48" i="3"/>
  <c r="AJ48" i="3"/>
  <c r="AO48" i="3" a="1"/>
  <c r="AO48" i="3"/>
  <c r="AP48" i="3" a="1"/>
  <c r="AP48" i="3"/>
  <c r="AQ48" i="3"/>
  <c r="AI49" i="3"/>
  <c r="AL49" i="3" a="1"/>
  <c r="AL49" i="3"/>
  <c r="AM49" i="3" a="1"/>
  <c r="AM49" i="3"/>
  <c r="AN49" i="3" a="1"/>
  <c r="AN49" i="3"/>
  <c r="AJ49" i="3"/>
  <c r="AO49" i="3" a="1"/>
  <c r="AO49" i="3"/>
  <c r="AP49" i="3" a="1"/>
  <c r="AP49" i="3"/>
  <c r="AQ49" i="3"/>
  <c r="BC46" i="3"/>
  <c r="BC47" i="3"/>
  <c r="BC48" i="3"/>
  <c r="BC49" i="3"/>
  <c r="BB46" i="3"/>
  <c r="BI46" i="3"/>
  <c r="BI47" i="3"/>
  <c r="BI48" i="3"/>
  <c r="BI49" i="3"/>
  <c r="BH46" i="3"/>
  <c r="BO46" i="3"/>
  <c r="BO47" i="3"/>
  <c r="BO48" i="3"/>
  <c r="BO49" i="3"/>
  <c r="BN46" i="3"/>
  <c r="BA46" i="3"/>
  <c r="AR46" i="3"/>
  <c r="BW46" i="3"/>
  <c r="AK47" i="3"/>
  <c r="BB47" i="3"/>
  <c r="BH47" i="3"/>
  <c r="BN47" i="3"/>
  <c r="BA47" i="3"/>
  <c r="AR47" i="3"/>
  <c r="BW47" i="3"/>
  <c r="AK48" i="3"/>
  <c r="BB48" i="3"/>
  <c r="BH48" i="3"/>
  <c r="BN48" i="3"/>
  <c r="BA48" i="3"/>
  <c r="AR48" i="3"/>
  <c r="BW48" i="3"/>
  <c r="AK49" i="3"/>
  <c r="BB49" i="3"/>
  <c r="BH49" i="3"/>
  <c r="BN49" i="3"/>
  <c r="BA49" i="3"/>
  <c r="AR49" i="3"/>
  <c r="BW49" i="3"/>
  <c r="AI54" i="3"/>
  <c r="AK54" i="3"/>
  <c r="AL54" i="3" a="1"/>
  <c r="AL54" i="3"/>
  <c r="AM54" i="3" a="1"/>
  <c r="AM54" i="3"/>
  <c r="AN54" i="3" a="1"/>
  <c r="AN54" i="3"/>
  <c r="AJ54" i="3"/>
  <c r="AO54" i="3" a="1"/>
  <c r="AO54" i="3"/>
  <c r="AP54" i="3" a="1"/>
  <c r="AP54" i="3"/>
  <c r="AQ54" i="3"/>
  <c r="AI55" i="3"/>
  <c r="AL55" i="3" a="1"/>
  <c r="AL55" i="3"/>
  <c r="AM55" i="3" a="1"/>
  <c r="AM55" i="3"/>
  <c r="AN55" i="3" a="1"/>
  <c r="AN55" i="3"/>
  <c r="AJ55" i="3"/>
  <c r="AO55" i="3" a="1"/>
  <c r="AO55" i="3"/>
  <c r="AP55" i="3" a="1"/>
  <c r="AP55" i="3"/>
  <c r="AQ55" i="3"/>
  <c r="AI56" i="3"/>
  <c r="AL56" i="3" a="1"/>
  <c r="AL56" i="3"/>
  <c r="AM56" i="3" a="1"/>
  <c r="AM56" i="3"/>
  <c r="AN56" i="3" a="1"/>
  <c r="AN56" i="3"/>
  <c r="AJ56" i="3"/>
  <c r="AO56" i="3" a="1"/>
  <c r="AO56" i="3"/>
  <c r="AP56" i="3" a="1"/>
  <c r="AP56" i="3"/>
  <c r="AQ56" i="3"/>
  <c r="AI57" i="3"/>
  <c r="AL57" i="3" a="1"/>
  <c r="AL57" i="3"/>
  <c r="AM57" i="3" a="1"/>
  <c r="AM57" i="3"/>
  <c r="AN57" i="3" a="1"/>
  <c r="AN57" i="3"/>
  <c r="AJ57" i="3"/>
  <c r="AO57" i="3" a="1"/>
  <c r="AO57" i="3"/>
  <c r="AP57" i="3" a="1"/>
  <c r="AP57" i="3"/>
  <c r="AQ57" i="3"/>
  <c r="BC54" i="3"/>
  <c r="BC55" i="3"/>
  <c r="BC56" i="3"/>
  <c r="BC57" i="3"/>
  <c r="BB54" i="3"/>
  <c r="BI54" i="3"/>
  <c r="BI55" i="3"/>
  <c r="BI56" i="3"/>
  <c r="BI57" i="3"/>
  <c r="BH54" i="3"/>
  <c r="BO54" i="3"/>
  <c r="BO55" i="3"/>
  <c r="BO56" i="3"/>
  <c r="BO57" i="3"/>
  <c r="BN54" i="3"/>
  <c r="BA54" i="3"/>
  <c r="AR54" i="3"/>
  <c r="BW54" i="3"/>
  <c r="AK55" i="3"/>
  <c r="BB55" i="3"/>
  <c r="BH55" i="3"/>
  <c r="BN55" i="3"/>
  <c r="BA55" i="3"/>
  <c r="AR55" i="3"/>
  <c r="BW55" i="3"/>
  <c r="AK56" i="3"/>
  <c r="BB56" i="3"/>
  <c r="BH56" i="3"/>
  <c r="BN56" i="3"/>
  <c r="BA56" i="3"/>
  <c r="AR56" i="3"/>
  <c r="BW56" i="3"/>
  <c r="AK57" i="3"/>
  <c r="BB57" i="3"/>
  <c r="BH57" i="3"/>
  <c r="BN57" i="3"/>
  <c r="BA57" i="3"/>
  <c r="AR57" i="3"/>
  <c r="BW57" i="3"/>
  <c r="AI62" i="3"/>
  <c r="AK62" i="3"/>
  <c r="AL62" i="3" a="1"/>
  <c r="AL62" i="3"/>
  <c r="AM62" i="3" a="1"/>
  <c r="AM62" i="3"/>
  <c r="AN62" i="3" a="1"/>
  <c r="AN62" i="3"/>
  <c r="AJ62" i="3"/>
  <c r="AI63" i="3"/>
  <c r="AL63" i="3" a="1"/>
  <c r="AL63" i="3"/>
  <c r="AM63" i="3" a="1"/>
  <c r="AM63" i="3"/>
  <c r="AN63" i="3" a="1"/>
  <c r="AN63" i="3"/>
  <c r="AJ63" i="3"/>
  <c r="AO62" i="3" a="1"/>
  <c r="AO62" i="3"/>
  <c r="AP62" i="3" a="1"/>
  <c r="AP62" i="3"/>
  <c r="AQ62" i="3"/>
  <c r="AO63" i="3" a="1"/>
  <c r="AO63" i="3"/>
  <c r="AP63" i="3" a="1"/>
  <c r="AP63" i="3"/>
  <c r="AQ63" i="3"/>
  <c r="AI64" i="3"/>
  <c r="AL64" i="3" a="1"/>
  <c r="AL64" i="3"/>
  <c r="AM64" i="3" a="1"/>
  <c r="AM64" i="3"/>
  <c r="AN64" i="3" a="1"/>
  <c r="AN64" i="3"/>
  <c r="AJ64" i="3"/>
  <c r="AO64" i="3" a="1"/>
  <c r="AO64" i="3"/>
  <c r="AP64" i="3" a="1"/>
  <c r="AP64" i="3"/>
  <c r="AQ64" i="3"/>
  <c r="AI65" i="3"/>
  <c r="AL65" i="3" a="1"/>
  <c r="AL65" i="3"/>
  <c r="AM65" i="3" a="1"/>
  <c r="AM65" i="3"/>
  <c r="AN65" i="3" a="1"/>
  <c r="AN65" i="3"/>
  <c r="AJ65" i="3"/>
  <c r="AO65" i="3" a="1"/>
  <c r="AO65" i="3"/>
  <c r="AP65" i="3" a="1"/>
  <c r="AP65" i="3"/>
  <c r="AQ65" i="3"/>
  <c r="BC62" i="3"/>
  <c r="BC63" i="3"/>
  <c r="BC64" i="3"/>
  <c r="BC65" i="3"/>
  <c r="BB62" i="3"/>
  <c r="BI62" i="3"/>
  <c r="BI63" i="3"/>
  <c r="BI64" i="3"/>
  <c r="BI65" i="3"/>
  <c r="BH62" i="3"/>
  <c r="BO62" i="3"/>
  <c r="BO63" i="3"/>
  <c r="BO64" i="3"/>
  <c r="BO65" i="3"/>
  <c r="BN62" i="3"/>
  <c r="BA62" i="3"/>
  <c r="AR62" i="3"/>
  <c r="BW62" i="3"/>
  <c r="AK63" i="3"/>
  <c r="BB63" i="3"/>
  <c r="BH63" i="3"/>
  <c r="BN63" i="3"/>
  <c r="BA63" i="3"/>
  <c r="AR63" i="3"/>
  <c r="BW63" i="3"/>
  <c r="AK64" i="3"/>
  <c r="BB64" i="3"/>
  <c r="BH64" i="3"/>
  <c r="BN64" i="3"/>
  <c r="BA64" i="3"/>
  <c r="AR64" i="3"/>
  <c r="BW64" i="3"/>
  <c r="AK65" i="3"/>
  <c r="BB65" i="3"/>
  <c r="BH65" i="3"/>
  <c r="BN65" i="3"/>
  <c r="BA65" i="3"/>
  <c r="AR65" i="3"/>
  <c r="BW65" i="3"/>
  <c r="AI7" i="3"/>
  <c r="AK7" i="3"/>
  <c r="AL7" i="3" a="1"/>
  <c r="AL7" i="3"/>
  <c r="AM7" i="3" a="1"/>
  <c r="AM7" i="3"/>
  <c r="AN7" i="3" a="1"/>
  <c r="AN7" i="3"/>
  <c r="AJ7" i="3"/>
  <c r="AO7" i="3" a="1"/>
  <c r="AO7" i="3"/>
  <c r="AP7" i="3" a="1"/>
  <c r="AP7" i="3"/>
  <c r="AQ7" i="3"/>
  <c r="AI8" i="3"/>
  <c r="AL8" i="3" a="1"/>
  <c r="AL8" i="3"/>
  <c r="AM8" i="3" a="1"/>
  <c r="AM8" i="3"/>
  <c r="AN8" i="3" a="1"/>
  <c r="AN8" i="3"/>
  <c r="AJ8" i="3"/>
  <c r="AO8" i="3" a="1"/>
  <c r="AO8" i="3"/>
  <c r="AP8" i="3" a="1"/>
  <c r="AP8" i="3"/>
  <c r="AQ8" i="3"/>
  <c r="AI9" i="3"/>
  <c r="AL9" i="3" a="1"/>
  <c r="AL9" i="3"/>
  <c r="AM9" i="3" a="1"/>
  <c r="AM9" i="3"/>
  <c r="AN9" i="3" a="1"/>
  <c r="AN9" i="3"/>
  <c r="AJ9" i="3"/>
  <c r="AO9" i="3" a="1"/>
  <c r="AO9" i="3"/>
  <c r="AP9" i="3" a="1"/>
  <c r="AP9" i="3"/>
  <c r="AQ9" i="3"/>
  <c r="AI6" i="3"/>
  <c r="AL6" i="3" a="1"/>
  <c r="AL6" i="3"/>
  <c r="AM6" i="3" a="1"/>
  <c r="AM6" i="3"/>
  <c r="AN6" i="3" a="1"/>
  <c r="AN6" i="3"/>
  <c r="AJ6" i="3"/>
  <c r="AO6" i="3" a="1"/>
  <c r="AO6" i="3"/>
  <c r="AP6" i="3" a="1"/>
  <c r="AP6" i="3"/>
  <c r="AQ6" i="3"/>
  <c r="AY7" i="3"/>
  <c r="AY8" i="3"/>
  <c r="BF5" i="3"/>
  <c r="BF7" i="3" a="1"/>
  <c r="BF7" i="3"/>
  <c r="AY9" i="3"/>
  <c r="BG5" i="3"/>
  <c r="BG7" i="3" a="1"/>
  <c r="BG7" i="3"/>
  <c r="AY6" i="3"/>
  <c r="BD5" i="3"/>
  <c r="BD7" i="3" a="1"/>
  <c r="BD7" i="3"/>
  <c r="BC7" i="3"/>
  <c r="BE5" i="3"/>
  <c r="BE6" i="3" a="1"/>
  <c r="BE6" i="3"/>
  <c r="BF6" i="3" a="1"/>
  <c r="BF6" i="3"/>
  <c r="BG6" i="3" a="1"/>
  <c r="BG6" i="3"/>
  <c r="BC6" i="3"/>
  <c r="BG8" i="3" a="1"/>
  <c r="BG8" i="3"/>
  <c r="BD8" i="3" a="1"/>
  <c r="BD8" i="3"/>
  <c r="BE8" i="3" a="1"/>
  <c r="BE8" i="3"/>
  <c r="BC8" i="3"/>
  <c r="BF9" i="3" a="1"/>
  <c r="BF9" i="3"/>
  <c r="BD9" i="3" a="1"/>
  <c r="BD9" i="3"/>
  <c r="BE9" i="3" a="1"/>
  <c r="BE9" i="3"/>
  <c r="BC9" i="3"/>
  <c r="BB7" i="3"/>
  <c r="BL7" i="3"/>
  <c r="BM7" i="3"/>
  <c r="BJ7" i="3"/>
  <c r="BI7" i="3"/>
  <c r="BK6" i="3"/>
  <c r="BL6" i="3"/>
  <c r="BM6" i="3"/>
  <c r="BI6" i="3"/>
  <c r="BM8" i="3"/>
  <c r="BJ8" i="3"/>
  <c r="BK8" i="3"/>
  <c r="BI8" i="3"/>
  <c r="BL9" i="3"/>
  <c r="BJ9" i="3"/>
  <c r="BK9" i="3"/>
  <c r="BI9" i="3"/>
  <c r="BH7" i="3"/>
  <c r="BR5" i="3"/>
  <c r="BR7" i="3" a="1"/>
  <c r="BR7" i="3"/>
  <c r="BS5" i="3"/>
  <c r="BS7" i="3" a="1"/>
  <c r="BS7" i="3"/>
  <c r="BP5" i="3"/>
  <c r="BP7" i="3" a="1"/>
  <c r="BP7" i="3"/>
  <c r="BO7" i="3"/>
  <c r="BQ5" i="3"/>
  <c r="BQ6" i="3" a="1"/>
  <c r="BQ6" i="3"/>
  <c r="BR6" i="3" a="1"/>
  <c r="BR6" i="3"/>
  <c r="BS6" i="3" a="1"/>
  <c r="BS6" i="3"/>
  <c r="BO6" i="3"/>
  <c r="BS8" i="3" a="1"/>
  <c r="BS8" i="3"/>
  <c r="BP8" i="3" a="1"/>
  <c r="BP8" i="3"/>
  <c r="BQ8" i="3" a="1"/>
  <c r="BQ8" i="3"/>
  <c r="BO8" i="3"/>
  <c r="BR9" i="3" a="1"/>
  <c r="BR9" i="3"/>
  <c r="BP9" i="3" a="1"/>
  <c r="BP9" i="3"/>
  <c r="BQ9" i="3" a="1"/>
  <c r="BQ9" i="3"/>
  <c r="BO9" i="3"/>
  <c r="BN7" i="3"/>
  <c r="BA7" i="3"/>
  <c r="AR7" i="3"/>
  <c r="BW7" i="3"/>
  <c r="AK8" i="3"/>
  <c r="BB8" i="3"/>
  <c r="BH8" i="3"/>
  <c r="BN8" i="3"/>
  <c r="BA8" i="3"/>
  <c r="AR8" i="3"/>
  <c r="BW8" i="3"/>
  <c r="AK9" i="3"/>
  <c r="BB9" i="3"/>
  <c r="BH9" i="3"/>
  <c r="BN9" i="3"/>
  <c r="BA9" i="3"/>
  <c r="AR9" i="3"/>
  <c r="BW9" i="3"/>
  <c r="AK6" i="3"/>
  <c r="BB6" i="3"/>
  <c r="BH6" i="3"/>
  <c r="BN6" i="3"/>
  <c r="BA6" i="3"/>
  <c r="AR6" i="3"/>
  <c r="BW6" i="3"/>
  <c r="AH6" i="3"/>
  <c r="AH7" i="3"/>
  <c r="AH8" i="3"/>
  <c r="AH9" i="3"/>
  <c r="BX6" i="3"/>
  <c r="BY6" i="3"/>
  <c r="BX7" i="3"/>
  <c r="BY7" i="3"/>
  <c r="AA6" i="3"/>
  <c r="AB6" i="3"/>
  <c r="BX8" i="3"/>
  <c r="BY8" i="3"/>
  <c r="AA7" i="3"/>
  <c r="BU6" i="3"/>
  <c r="BU7" i="3"/>
  <c r="BU8" i="3"/>
  <c r="BV8" i="3"/>
  <c r="AB7" i="3"/>
  <c r="BX9" i="3"/>
  <c r="BY9" i="3"/>
  <c r="AA8" i="3"/>
  <c r="BU9" i="3"/>
  <c r="BV9" i="3"/>
  <c r="AB8" i="3"/>
  <c r="AA9" i="3"/>
  <c r="AB9" i="3"/>
  <c r="AU6" i="3"/>
  <c r="AU7" i="3"/>
  <c r="AU8" i="3"/>
  <c r="AU9" i="3"/>
  <c r="AG6" i="3"/>
  <c r="AG7" i="3"/>
  <c r="AG8" i="3"/>
  <c r="AG9" i="3"/>
  <c r="R6" i="3"/>
  <c r="T6" i="3"/>
  <c r="R7" i="3"/>
  <c r="T7" i="3"/>
  <c r="R8" i="3"/>
  <c r="T8" i="3"/>
  <c r="R9" i="3"/>
  <c r="T9" i="3"/>
  <c r="J58" i="36"/>
  <c r="O58" i="36"/>
  <c r="J59" i="36"/>
  <c r="O59" i="36"/>
  <c r="J60" i="36"/>
  <c r="O60" i="36"/>
  <c r="J61" i="36"/>
  <c r="O61" i="36"/>
  <c r="AY14" i="3"/>
  <c r="AY15" i="3"/>
  <c r="BE13" i="3"/>
  <c r="BE14" i="3" a="1"/>
  <c r="BE14" i="3"/>
  <c r="AY16" i="3"/>
  <c r="BF13" i="3"/>
  <c r="BF14" i="3" a="1"/>
  <c r="BF14" i="3"/>
  <c r="AY17" i="3"/>
  <c r="BG13" i="3"/>
  <c r="BG14" i="3" a="1"/>
  <c r="BG14" i="3"/>
  <c r="BF15" i="3" a="1"/>
  <c r="BF15" i="3"/>
  <c r="BG15" i="3" a="1"/>
  <c r="BG15" i="3"/>
  <c r="BD13" i="3"/>
  <c r="BD15" i="3" a="1"/>
  <c r="BD15" i="3"/>
  <c r="BG16" i="3" a="1"/>
  <c r="BG16" i="3"/>
  <c r="BD16" i="3" a="1"/>
  <c r="BD16" i="3"/>
  <c r="BE16" i="3" a="1"/>
  <c r="BE16" i="3"/>
  <c r="BD17" i="3" a="1"/>
  <c r="BD17" i="3"/>
  <c r="BE17" i="3" a="1"/>
  <c r="BE17" i="3"/>
  <c r="BF17" i="3" a="1"/>
  <c r="BF17" i="3"/>
  <c r="BK14" i="3"/>
  <c r="BL14" i="3"/>
  <c r="BM14" i="3"/>
  <c r="BL15" i="3"/>
  <c r="BM15" i="3"/>
  <c r="BJ15" i="3"/>
  <c r="BM16" i="3"/>
  <c r="BJ16" i="3"/>
  <c r="BK16" i="3"/>
  <c r="BJ17" i="3"/>
  <c r="BK17" i="3"/>
  <c r="BL17" i="3"/>
  <c r="BQ13" i="3"/>
  <c r="BQ14" i="3" a="1"/>
  <c r="BQ14" i="3"/>
  <c r="BR13" i="3"/>
  <c r="BR14" i="3" a="1"/>
  <c r="BR14" i="3"/>
  <c r="BS13" i="3"/>
  <c r="BS14" i="3" a="1"/>
  <c r="BS14" i="3"/>
  <c r="BR15" i="3" a="1"/>
  <c r="BR15" i="3"/>
  <c r="BS15" i="3" a="1"/>
  <c r="BS15" i="3"/>
  <c r="BP13" i="3"/>
  <c r="BP15" i="3" a="1"/>
  <c r="BP15" i="3"/>
  <c r="BS16" i="3" a="1"/>
  <c r="BS16" i="3"/>
  <c r="BP16" i="3" a="1"/>
  <c r="BP16" i="3"/>
  <c r="BQ16" i="3" a="1"/>
  <c r="BQ16" i="3"/>
  <c r="BP17" i="3" a="1"/>
  <c r="BP17" i="3"/>
  <c r="BQ17" i="3" a="1"/>
  <c r="BQ17" i="3"/>
  <c r="BR17" i="3" a="1"/>
  <c r="BR17" i="3"/>
  <c r="AH14" i="3"/>
  <c r="AH15" i="3"/>
  <c r="AH16" i="3"/>
  <c r="BX14" i="3"/>
  <c r="BY14" i="3"/>
  <c r="BX15" i="3"/>
  <c r="BY15" i="3"/>
  <c r="AA14" i="3"/>
  <c r="AB14" i="3"/>
  <c r="BX16" i="3"/>
  <c r="BY16" i="3"/>
  <c r="AA15" i="3"/>
  <c r="AB15" i="3"/>
  <c r="AH17" i="3"/>
  <c r="BX17" i="3"/>
  <c r="BY17" i="3"/>
  <c r="AA16" i="3"/>
  <c r="AB16" i="3"/>
  <c r="AA17" i="3"/>
  <c r="AB17" i="3"/>
  <c r="AU14" i="3"/>
  <c r="AU15" i="3"/>
  <c r="AU16" i="3"/>
  <c r="AU17" i="3"/>
  <c r="AG14" i="3"/>
  <c r="AG15" i="3"/>
  <c r="AG16" i="3"/>
  <c r="R14" i="3"/>
  <c r="T14" i="3"/>
  <c r="R15" i="3"/>
  <c r="T15" i="3"/>
  <c r="AG17" i="3"/>
  <c r="R16" i="3"/>
  <c r="T16" i="3"/>
  <c r="R17" i="3"/>
  <c r="T17" i="3"/>
  <c r="J62" i="36"/>
  <c r="O62" i="36"/>
  <c r="J63" i="36"/>
  <c r="O63" i="36"/>
  <c r="J64" i="36"/>
  <c r="O64" i="36"/>
  <c r="J65" i="36"/>
  <c r="O65" i="36"/>
  <c r="AY22" i="3"/>
  <c r="AY23" i="3"/>
  <c r="BE21" i="3"/>
  <c r="BE22" i="3" a="1"/>
  <c r="BE22" i="3"/>
  <c r="AY24" i="3"/>
  <c r="BF21" i="3"/>
  <c r="BF22" i="3" a="1"/>
  <c r="BF22" i="3"/>
  <c r="AY25" i="3"/>
  <c r="BG21" i="3"/>
  <c r="BG22" i="3" a="1"/>
  <c r="BG22" i="3"/>
  <c r="BF23" i="3" a="1"/>
  <c r="BF23" i="3"/>
  <c r="BG23" i="3" a="1"/>
  <c r="BG23" i="3"/>
  <c r="BD21" i="3"/>
  <c r="BD23" i="3" a="1"/>
  <c r="BD23" i="3"/>
  <c r="BG24" i="3" a="1"/>
  <c r="BG24" i="3"/>
  <c r="BD24" i="3" a="1"/>
  <c r="BD24" i="3"/>
  <c r="BE24" i="3" a="1"/>
  <c r="BE24" i="3"/>
  <c r="BD25" i="3" a="1"/>
  <c r="BD25" i="3"/>
  <c r="BE25" i="3" a="1"/>
  <c r="BE25" i="3"/>
  <c r="BF25" i="3" a="1"/>
  <c r="BF25" i="3"/>
  <c r="BK22" i="3"/>
  <c r="BL22" i="3"/>
  <c r="BM22" i="3"/>
  <c r="BL23" i="3"/>
  <c r="BM23" i="3"/>
  <c r="BJ23" i="3"/>
  <c r="BM24" i="3"/>
  <c r="BJ24" i="3"/>
  <c r="BK24" i="3"/>
  <c r="BJ25" i="3"/>
  <c r="BK25" i="3"/>
  <c r="BL25" i="3"/>
  <c r="BQ21" i="3"/>
  <c r="BQ22" i="3" a="1"/>
  <c r="BQ22" i="3"/>
  <c r="BR21" i="3"/>
  <c r="BR22" i="3" a="1"/>
  <c r="BR22" i="3"/>
  <c r="BS21" i="3"/>
  <c r="BS22" i="3" a="1"/>
  <c r="BS22" i="3"/>
  <c r="BR23" i="3" a="1"/>
  <c r="BR23" i="3"/>
  <c r="BS23" i="3" a="1"/>
  <c r="BS23" i="3"/>
  <c r="BP21" i="3"/>
  <c r="BP23" i="3" a="1"/>
  <c r="BP23" i="3"/>
  <c r="BS24" i="3" a="1"/>
  <c r="BS24" i="3"/>
  <c r="BP24" i="3" a="1"/>
  <c r="BP24" i="3"/>
  <c r="BQ24" i="3" a="1"/>
  <c r="BQ24" i="3"/>
  <c r="BP25" i="3" a="1"/>
  <c r="BP25" i="3"/>
  <c r="BQ25" i="3" a="1"/>
  <c r="BQ25" i="3"/>
  <c r="BR25" i="3" a="1"/>
  <c r="BR25" i="3"/>
  <c r="AH22" i="3"/>
  <c r="AH23" i="3"/>
  <c r="AH24" i="3"/>
  <c r="BX22" i="3"/>
  <c r="BY22" i="3"/>
  <c r="AH25" i="3"/>
  <c r="BX23" i="3"/>
  <c r="BY23" i="3"/>
  <c r="AA22" i="3"/>
  <c r="AB22" i="3"/>
  <c r="BX24" i="3"/>
  <c r="BY24" i="3"/>
  <c r="AA23" i="3"/>
  <c r="AB23" i="3"/>
  <c r="BX25" i="3"/>
  <c r="BY25" i="3"/>
  <c r="AA24" i="3"/>
  <c r="AB24" i="3"/>
  <c r="AA25" i="3"/>
  <c r="AB25" i="3"/>
  <c r="AU22" i="3"/>
  <c r="AU23" i="3"/>
  <c r="AU24" i="3"/>
  <c r="AU25" i="3"/>
  <c r="AG22" i="3"/>
  <c r="AG23" i="3"/>
  <c r="AG24" i="3"/>
  <c r="R22" i="3"/>
  <c r="T22" i="3"/>
  <c r="AG25" i="3"/>
  <c r="R23" i="3"/>
  <c r="T23" i="3"/>
  <c r="R24" i="3"/>
  <c r="T24" i="3"/>
  <c r="R25" i="3"/>
  <c r="T25" i="3"/>
  <c r="J66" i="36"/>
  <c r="O66" i="36"/>
  <c r="J67" i="36"/>
  <c r="O67" i="36"/>
  <c r="J68" i="36"/>
  <c r="O68" i="36"/>
  <c r="J69" i="36"/>
  <c r="O69" i="36"/>
  <c r="AY30" i="3"/>
  <c r="AY31" i="3"/>
  <c r="BE29" i="3"/>
  <c r="BE30" i="3" a="1"/>
  <c r="BE30" i="3"/>
  <c r="AY32" i="3"/>
  <c r="BF29" i="3"/>
  <c r="BF30" i="3" a="1"/>
  <c r="BF30" i="3"/>
  <c r="AY33" i="3"/>
  <c r="BG29" i="3"/>
  <c r="BG30" i="3" a="1"/>
  <c r="BG30" i="3"/>
  <c r="BF31" i="3" a="1"/>
  <c r="BF31" i="3"/>
  <c r="BG31" i="3" a="1"/>
  <c r="BG31" i="3"/>
  <c r="BD29" i="3"/>
  <c r="BD31" i="3" a="1"/>
  <c r="BD31" i="3"/>
  <c r="BG32" i="3" a="1"/>
  <c r="BG32" i="3"/>
  <c r="BD32" i="3" a="1"/>
  <c r="BD32" i="3"/>
  <c r="BE32" i="3" a="1"/>
  <c r="BE32" i="3"/>
  <c r="BD33" i="3" a="1"/>
  <c r="BD33" i="3"/>
  <c r="BE33" i="3" a="1"/>
  <c r="BE33" i="3"/>
  <c r="BF33" i="3" a="1"/>
  <c r="BF33" i="3"/>
  <c r="BK30" i="3"/>
  <c r="BL30" i="3"/>
  <c r="BM30" i="3"/>
  <c r="BL31" i="3"/>
  <c r="BM31" i="3"/>
  <c r="BJ31" i="3"/>
  <c r="BM32" i="3"/>
  <c r="BJ32" i="3"/>
  <c r="BK32" i="3"/>
  <c r="BJ33" i="3"/>
  <c r="BK33" i="3"/>
  <c r="BL33" i="3"/>
  <c r="BQ29" i="3"/>
  <c r="BQ30" i="3" a="1"/>
  <c r="BQ30" i="3"/>
  <c r="BR29" i="3"/>
  <c r="BR30" i="3" a="1"/>
  <c r="BR30" i="3"/>
  <c r="BS29" i="3"/>
  <c r="BS30" i="3" a="1"/>
  <c r="BS30" i="3"/>
  <c r="BR31" i="3" a="1"/>
  <c r="BR31" i="3"/>
  <c r="BS31" i="3" a="1"/>
  <c r="BS31" i="3"/>
  <c r="BP29" i="3"/>
  <c r="BP31" i="3" a="1"/>
  <c r="BP31" i="3"/>
  <c r="BS32" i="3" a="1"/>
  <c r="BS32" i="3"/>
  <c r="BP32" i="3" a="1"/>
  <c r="BP32" i="3"/>
  <c r="BQ32" i="3" a="1"/>
  <c r="BQ32" i="3"/>
  <c r="BP33" i="3" a="1"/>
  <c r="BP33" i="3"/>
  <c r="BQ33" i="3" a="1"/>
  <c r="BQ33" i="3"/>
  <c r="BR33" i="3" a="1"/>
  <c r="BR33" i="3"/>
  <c r="AH30" i="3"/>
  <c r="AH31" i="3"/>
  <c r="BX30" i="3"/>
  <c r="BY30" i="3"/>
  <c r="AH32" i="3"/>
  <c r="AH33" i="3"/>
  <c r="BX31" i="3"/>
  <c r="BY31" i="3"/>
  <c r="AA30" i="3"/>
  <c r="AB30" i="3"/>
  <c r="BX32" i="3"/>
  <c r="BY32" i="3"/>
  <c r="AA31" i="3"/>
  <c r="AB31" i="3"/>
  <c r="BX33" i="3"/>
  <c r="BY33" i="3"/>
  <c r="AA32" i="3"/>
  <c r="AB32" i="3"/>
  <c r="AA33" i="3"/>
  <c r="AB33" i="3"/>
  <c r="AU30" i="3"/>
  <c r="AU31" i="3"/>
  <c r="AU32" i="3"/>
  <c r="AU33" i="3"/>
  <c r="AG30" i="3"/>
  <c r="AG31" i="3"/>
  <c r="R30" i="3"/>
  <c r="T30" i="3"/>
  <c r="AG32" i="3"/>
  <c r="AG33" i="3"/>
  <c r="R31" i="3"/>
  <c r="T31" i="3"/>
  <c r="R32" i="3"/>
  <c r="T32" i="3"/>
  <c r="R33" i="3"/>
  <c r="T33" i="3"/>
  <c r="J70" i="36"/>
  <c r="O70" i="36"/>
  <c r="J71" i="36"/>
  <c r="O71" i="36"/>
  <c r="J72" i="36"/>
  <c r="O72" i="36"/>
  <c r="J73" i="36"/>
  <c r="O73" i="36"/>
  <c r="AY38" i="3"/>
  <c r="AY39" i="3"/>
  <c r="BE37" i="3"/>
  <c r="BE38" i="3" a="1"/>
  <c r="BE38" i="3"/>
  <c r="AY40" i="3"/>
  <c r="BF37" i="3"/>
  <c r="BF38" i="3" a="1"/>
  <c r="BF38" i="3"/>
  <c r="AY41" i="3"/>
  <c r="BG37" i="3"/>
  <c r="BG38" i="3" a="1"/>
  <c r="BG38" i="3"/>
  <c r="BF39" i="3" a="1"/>
  <c r="BF39" i="3"/>
  <c r="BG39" i="3" a="1"/>
  <c r="BG39" i="3"/>
  <c r="BD37" i="3"/>
  <c r="BD39" i="3" a="1"/>
  <c r="BD39" i="3"/>
  <c r="BG40" i="3" a="1"/>
  <c r="BG40" i="3"/>
  <c r="BD40" i="3" a="1"/>
  <c r="BD40" i="3"/>
  <c r="BE40" i="3" a="1"/>
  <c r="BE40" i="3"/>
  <c r="BD41" i="3" a="1"/>
  <c r="BD41" i="3"/>
  <c r="BE41" i="3" a="1"/>
  <c r="BE41" i="3"/>
  <c r="BF41" i="3" a="1"/>
  <c r="BF41" i="3"/>
  <c r="BK38" i="3"/>
  <c r="BL38" i="3"/>
  <c r="BM38" i="3"/>
  <c r="BL39" i="3"/>
  <c r="BM39" i="3"/>
  <c r="BJ39" i="3"/>
  <c r="BM40" i="3"/>
  <c r="BJ40" i="3"/>
  <c r="BK40" i="3"/>
  <c r="BJ41" i="3"/>
  <c r="BK41" i="3"/>
  <c r="BL41" i="3"/>
  <c r="BQ37" i="3"/>
  <c r="BQ38" i="3" a="1"/>
  <c r="BQ38" i="3"/>
  <c r="BR37" i="3"/>
  <c r="BR38" i="3" a="1"/>
  <c r="BR38" i="3"/>
  <c r="BS37" i="3"/>
  <c r="BS38" i="3" a="1"/>
  <c r="BS38" i="3"/>
  <c r="BR39" i="3" a="1"/>
  <c r="BR39" i="3"/>
  <c r="BS39" i="3" a="1"/>
  <c r="BS39" i="3"/>
  <c r="BP37" i="3"/>
  <c r="BP39" i="3" a="1"/>
  <c r="BP39" i="3"/>
  <c r="BS40" i="3" a="1"/>
  <c r="BS40" i="3"/>
  <c r="BP40" i="3" a="1"/>
  <c r="BP40" i="3"/>
  <c r="BQ40" i="3" a="1"/>
  <c r="BQ40" i="3"/>
  <c r="BP41" i="3" a="1"/>
  <c r="BP41" i="3"/>
  <c r="BQ41" i="3" a="1"/>
  <c r="BQ41" i="3"/>
  <c r="BR41" i="3" a="1"/>
  <c r="BR41" i="3"/>
  <c r="AH38" i="3"/>
  <c r="AH39" i="3"/>
  <c r="AH40" i="3"/>
  <c r="AH41" i="3"/>
  <c r="BX38" i="3"/>
  <c r="BY38" i="3"/>
  <c r="BX39" i="3"/>
  <c r="BY39" i="3"/>
  <c r="AA38" i="3"/>
  <c r="AB38" i="3"/>
  <c r="BX40" i="3"/>
  <c r="BY40" i="3"/>
  <c r="AA39" i="3"/>
  <c r="AB39" i="3"/>
  <c r="BX41" i="3"/>
  <c r="BY41" i="3"/>
  <c r="AA40" i="3"/>
  <c r="AB40" i="3"/>
  <c r="AA41" i="3"/>
  <c r="AB41" i="3"/>
  <c r="AU38" i="3"/>
  <c r="AU39" i="3"/>
  <c r="AU40" i="3"/>
  <c r="AU41" i="3"/>
  <c r="AG38" i="3"/>
  <c r="AG39" i="3"/>
  <c r="AG40" i="3"/>
  <c r="AG41" i="3"/>
  <c r="R38" i="3"/>
  <c r="T38" i="3"/>
  <c r="R39" i="3"/>
  <c r="T39" i="3"/>
  <c r="R40" i="3"/>
  <c r="T40" i="3"/>
  <c r="R41" i="3"/>
  <c r="T41" i="3"/>
  <c r="J74" i="36"/>
  <c r="O74" i="36"/>
  <c r="J75" i="36"/>
  <c r="O75" i="36"/>
  <c r="J76" i="36"/>
  <c r="O76" i="36"/>
  <c r="J77" i="36"/>
  <c r="O77" i="36"/>
  <c r="AY46" i="3"/>
  <c r="AY47" i="3"/>
  <c r="BE45" i="3"/>
  <c r="BE46" i="3" a="1"/>
  <c r="BE46" i="3"/>
  <c r="AY48" i="3"/>
  <c r="BF45" i="3"/>
  <c r="BF46" i="3" a="1"/>
  <c r="BF46" i="3"/>
  <c r="AY49" i="3"/>
  <c r="BG45" i="3"/>
  <c r="BG46" i="3" a="1"/>
  <c r="BG46" i="3"/>
  <c r="BF47" i="3" a="1"/>
  <c r="BF47" i="3"/>
  <c r="BG47" i="3" a="1"/>
  <c r="BG47" i="3"/>
  <c r="BD45" i="3"/>
  <c r="BD47" i="3" a="1"/>
  <c r="BD47" i="3"/>
  <c r="BG48" i="3" a="1"/>
  <c r="BG48" i="3"/>
  <c r="BD48" i="3" a="1"/>
  <c r="BD48" i="3"/>
  <c r="BE48" i="3" a="1"/>
  <c r="BE48" i="3"/>
  <c r="BD49" i="3" a="1"/>
  <c r="BD49" i="3"/>
  <c r="BE49" i="3" a="1"/>
  <c r="BE49" i="3"/>
  <c r="BF49" i="3" a="1"/>
  <c r="BF49" i="3"/>
  <c r="BK46" i="3"/>
  <c r="BL46" i="3"/>
  <c r="BM46" i="3"/>
  <c r="BL47" i="3"/>
  <c r="BM47" i="3"/>
  <c r="BJ47" i="3"/>
  <c r="BM48" i="3"/>
  <c r="BJ48" i="3"/>
  <c r="BK48" i="3"/>
  <c r="BJ49" i="3"/>
  <c r="BK49" i="3"/>
  <c r="BL49" i="3"/>
  <c r="BQ45" i="3"/>
  <c r="BQ46" i="3" a="1"/>
  <c r="BQ46" i="3"/>
  <c r="BR45" i="3"/>
  <c r="BR46" i="3" a="1"/>
  <c r="BR46" i="3"/>
  <c r="BS45" i="3"/>
  <c r="BS46" i="3" a="1"/>
  <c r="BS46" i="3"/>
  <c r="BR47" i="3" a="1"/>
  <c r="BR47" i="3"/>
  <c r="BS47" i="3" a="1"/>
  <c r="BS47" i="3"/>
  <c r="BP45" i="3"/>
  <c r="BP47" i="3" a="1"/>
  <c r="BP47" i="3"/>
  <c r="BS48" i="3" a="1"/>
  <c r="BS48" i="3"/>
  <c r="BP48" i="3" a="1"/>
  <c r="BP48" i="3"/>
  <c r="BQ48" i="3" a="1"/>
  <c r="BQ48" i="3"/>
  <c r="BP49" i="3" a="1"/>
  <c r="BP49" i="3"/>
  <c r="BQ49" i="3" a="1"/>
  <c r="BQ49" i="3"/>
  <c r="BR49" i="3" a="1"/>
  <c r="BR49" i="3"/>
  <c r="AH46" i="3"/>
  <c r="AH47" i="3"/>
  <c r="AH48" i="3"/>
  <c r="BX46" i="3"/>
  <c r="BY46" i="3"/>
  <c r="AH49" i="3"/>
  <c r="BX47" i="3"/>
  <c r="BY47" i="3"/>
  <c r="AA46" i="3"/>
  <c r="AB46" i="3"/>
  <c r="BX48" i="3"/>
  <c r="BY48" i="3"/>
  <c r="AA47" i="3"/>
  <c r="AB47" i="3"/>
  <c r="BX49" i="3"/>
  <c r="BY49" i="3"/>
  <c r="AA48" i="3"/>
  <c r="AB48" i="3"/>
  <c r="AA49" i="3"/>
  <c r="AB49" i="3"/>
  <c r="AU46" i="3"/>
  <c r="AU47" i="3"/>
  <c r="AU48" i="3"/>
  <c r="AU49" i="3"/>
  <c r="AG46" i="3"/>
  <c r="AG47" i="3"/>
  <c r="AG48" i="3"/>
  <c r="R46" i="3"/>
  <c r="T46" i="3"/>
  <c r="AG49" i="3"/>
  <c r="R47" i="3"/>
  <c r="T47" i="3"/>
  <c r="R48" i="3"/>
  <c r="T48" i="3"/>
  <c r="R49" i="3"/>
  <c r="T49" i="3"/>
  <c r="J78" i="36"/>
  <c r="O78" i="36"/>
  <c r="J79" i="36"/>
  <c r="O79" i="36"/>
  <c r="J80" i="36"/>
  <c r="O80" i="36"/>
  <c r="J81" i="36"/>
  <c r="O81" i="36"/>
  <c r="AY54" i="3"/>
  <c r="AY55" i="3"/>
  <c r="BE53" i="3"/>
  <c r="BE54" i="3" a="1"/>
  <c r="BE54" i="3"/>
  <c r="AY56" i="3"/>
  <c r="BF53" i="3"/>
  <c r="BF54" i="3" a="1"/>
  <c r="BF54" i="3"/>
  <c r="AY57" i="3"/>
  <c r="BG53" i="3"/>
  <c r="BG54" i="3" a="1"/>
  <c r="BG54" i="3"/>
  <c r="BF55" i="3" a="1"/>
  <c r="BF55" i="3"/>
  <c r="BG55" i="3" a="1"/>
  <c r="BG55" i="3"/>
  <c r="BD53" i="3"/>
  <c r="BD55" i="3" a="1"/>
  <c r="BD55" i="3"/>
  <c r="BG56" i="3" a="1"/>
  <c r="BG56" i="3"/>
  <c r="BD56" i="3" a="1"/>
  <c r="BD56" i="3"/>
  <c r="BE56" i="3" a="1"/>
  <c r="BE56" i="3"/>
  <c r="BD57" i="3" a="1"/>
  <c r="BD57" i="3"/>
  <c r="BE57" i="3" a="1"/>
  <c r="BE57" i="3"/>
  <c r="BF57" i="3" a="1"/>
  <c r="BF57" i="3"/>
  <c r="BK54" i="3"/>
  <c r="BL54" i="3"/>
  <c r="BM54" i="3"/>
  <c r="BL55" i="3"/>
  <c r="BM55" i="3"/>
  <c r="BJ55" i="3"/>
  <c r="BM56" i="3"/>
  <c r="BJ56" i="3"/>
  <c r="BK56" i="3"/>
  <c r="BJ57" i="3"/>
  <c r="BK57" i="3"/>
  <c r="BL57" i="3"/>
  <c r="BQ53" i="3"/>
  <c r="BQ54" i="3" a="1"/>
  <c r="BQ54" i="3"/>
  <c r="BR53" i="3"/>
  <c r="BR54" i="3" a="1"/>
  <c r="BR54" i="3"/>
  <c r="BS53" i="3"/>
  <c r="BS54" i="3" a="1"/>
  <c r="BS54" i="3"/>
  <c r="BR55" i="3" a="1"/>
  <c r="BR55" i="3"/>
  <c r="BS55" i="3" a="1"/>
  <c r="BS55" i="3"/>
  <c r="BP53" i="3"/>
  <c r="BP55" i="3" a="1"/>
  <c r="BP55" i="3"/>
  <c r="BS56" i="3" a="1"/>
  <c r="BS56" i="3"/>
  <c r="BP56" i="3" a="1"/>
  <c r="BP56" i="3"/>
  <c r="BQ56" i="3" a="1"/>
  <c r="BQ56" i="3"/>
  <c r="BP57" i="3" a="1"/>
  <c r="BP57" i="3"/>
  <c r="BQ57" i="3" a="1"/>
  <c r="BQ57" i="3"/>
  <c r="BR57" i="3" a="1"/>
  <c r="BR57" i="3"/>
  <c r="AH54" i="3"/>
  <c r="AH55" i="3"/>
  <c r="AH56" i="3"/>
  <c r="BX54" i="3"/>
  <c r="BY54" i="3"/>
  <c r="BX55" i="3"/>
  <c r="BY55" i="3"/>
  <c r="AA54" i="3"/>
  <c r="AB54" i="3"/>
  <c r="AH57" i="3"/>
  <c r="BX56" i="3"/>
  <c r="BY56" i="3"/>
  <c r="AA55" i="3"/>
  <c r="AB55" i="3"/>
  <c r="BX57" i="3"/>
  <c r="BY57" i="3"/>
  <c r="AA56" i="3"/>
  <c r="AB56" i="3"/>
  <c r="AA57" i="3"/>
  <c r="AB57" i="3"/>
  <c r="AU54" i="3"/>
  <c r="AU55" i="3"/>
  <c r="AU56" i="3"/>
  <c r="AU57" i="3"/>
  <c r="AG54" i="3"/>
  <c r="AG55" i="3"/>
  <c r="AG56" i="3"/>
  <c r="R54" i="3"/>
  <c r="T54" i="3"/>
  <c r="R55" i="3"/>
  <c r="T55" i="3"/>
  <c r="AG57" i="3"/>
  <c r="R56" i="3"/>
  <c r="T56" i="3"/>
  <c r="R57" i="3"/>
  <c r="T57" i="3"/>
  <c r="J82" i="36"/>
  <c r="O82" i="36"/>
  <c r="J83" i="36"/>
  <c r="O83" i="36"/>
  <c r="J84" i="36"/>
  <c r="O84" i="36"/>
  <c r="J85" i="36"/>
  <c r="O85" i="36"/>
  <c r="AY62" i="3"/>
  <c r="AY63" i="3"/>
  <c r="BE61" i="3"/>
  <c r="BE62" i="3" a="1"/>
  <c r="BE62" i="3"/>
  <c r="AY64" i="3"/>
  <c r="BF61" i="3"/>
  <c r="BF62" i="3" a="1"/>
  <c r="BF62" i="3"/>
  <c r="AY65" i="3"/>
  <c r="BG61" i="3"/>
  <c r="BG62" i="3" a="1"/>
  <c r="BG62" i="3"/>
  <c r="BF63" i="3" a="1"/>
  <c r="BF63" i="3"/>
  <c r="BG63" i="3" a="1"/>
  <c r="BG63" i="3"/>
  <c r="BD61" i="3"/>
  <c r="BD63" i="3" a="1"/>
  <c r="BD63" i="3"/>
  <c r="BE64" i="3" a="1"/>
  <c r="BE64" i="3"/>
  <c r="BG64" i="3" a="1"/>
  <c r="BG64" i="3"/>
  <c r="BD64" i="3" a="1"/>
  <c r="BD64" i="3"/>
  <c r="BD65" i="3" a="1"/>
  <c r="BD65" i="3"/>
  <c r="BE65" i="3" a="1"/>
  <c r="BE65" i="3"/>
  <c r="BF65" i="3" a="1"/>
  <c r="BF65" i="3"/>
  <c r="BK62" i="3"/>
  <c r="BL62" i="3"/>
  <c r="BM62" i="3"/>
  <c r="BL63" i="3"/>
  <c r="BM63" i="3"/>
  <c r="BJ63" i="3"/>
  <c r="BK64" i="3"/>
  <c r="BM64" i="3"/>
  <c r="BJ64" i="3"/>
  <c r="BJ65" i="3"/>
  <c r="BK65" i="3"/>
  <c r="BL65" i="3"/>
  <c r="BQ61" i="3"/>
  <c r="BQ62" i="3" a="1"/>
  <c r="BQ62" i="3"/>
  <c r="BR61" i="3"/>
  <c r="BR62" i="3" a="1"/>
  <c r="BR62" i="3"/>
  <c r="BS61" i="3"/>
  <c r="BS62" i="3" a="1"/>
  <c r="BS62" i="3"/>
  <c r="BR63" i="3" a="1"/>
  <c r="BR63" i="3"/>
  <c r="BS63" i="3" a="1"/>
  <c r="BS63" i="3"/>
  <c r="BP61" i="3"/>
  <c r="BP63" i="3" a="1"/>
  <c r="BP63" i="3"/>
  <c r="BQ64" i="3" a="1"/>
  <c r="BQ64" i="3"/>
  <c r="BS64" i="3" a="1"/>
  <c r="BS64" i="3"/>
  <c r="BP64" i="3" a="1"/>
  <c r="BP64" i="3"/>
  <c r="BP65" i="3" a="1"/>
  <c r="BP65" i="3"/>
  <c r="BQ65" i="3" a="1"/>
  <c r="BQ65" i="3"/>
  <c r="BR65" i="3" a="1"/>
  <c r="BR65" i="3"/>
  <c r="AH62" i="3"/>
  <c r="AH63" i="3"/>
  <c r="AH64" i="3"/>
  <c r="BX62" i="3"/>
  <c r="BY62" i="3"/>
  <c r="AH65" i="3"/>
  <c r="BX63" i="3"/>
  <c r="BY63" i="3"/>
  <c r="AA62" i="3"/>
  <c r="AB62" i="3"/>
  <c r="BX64" i="3"/>
  <c r="BY64" i="3"/>
  <c r="AA63" i="3"/>
  <c r="AB63" i="3"/>
  <c r="BX65" i="3"/>
  <c r="BY65" i="3"/>
  <c r="AA64" i="3"/>
  <c r="AB64" i="3"/>
  <c r="AA65" i="3"/>
  <c r="AB65" i="3"/>
  <c r="AU62" i="3"/>
  <c r="AU63" i="3"/>
  <c r="AU64" i="3"/>
  <c r="AU65" i="3"/>
  <c r="AG62" i="3"/>
  <c r="AG63" i="3"/>
  <c r="AG64" i="3"/>
  <c r="R62" i="3"/>
  <c r="T62" i="3"/>
  <c r="AG65" i="3"/>
  <c r="R63" i="3"/>
  <c r="T63" i="3"/>
  <c r="R64" i="3"/>
  <c r="T64" i="3"/>
  <c r="R65" i="3"/>
  <c r="T65" i="3"/>
  <c r="J86" i="36"/>
  <c r="O86" i="36"/>
  <c r="J87" i="36"/>
  <c r="O87" i="36"/>
  <c r="J88" i="36"/>
  <c r="O88" i="36"/>
  <c r="J89" i="36"/>
  <c r="O89" i="36"/>
  <c r="O90" i="36"/>
  <c r="I69" i="3"/>
  <c r="J92" i="36"/>
  <c r="I70" i="3"/>
  <c r="J93" i="36"/>
  <c r="I71" i="3"/>
  <c r="J94" i="36"/>
  <c r="I72" i="3"/>
  <c r="J95" i="36"/>
  <c r="I73" i="3"/>
  <c r="J96" i="36"/>
  <c r="I74" i="3"/>
  <c r="J97" i="36"/>
  <c r="I75" i="3"/>
  <c r="J98" i="36"/>
  <c r="I76" i="3"/>
  <c r="J99" i="36"/>
  <c r="N69" i="3" a="1"/>
  <c r="N69" i="3"/>
  <c r="J100" i="36"/>
  <c r="N70" i="3"/>
  <c r="J101" i="36"/>
  <c r="N71" i="3"/>
  <c r="J102" i="36"/>
  <c r="N72" i="3"/>
  <c r="J103" i="36"/>
  <c r="N73" i="3"/>
  <c r="J104" i="36"/>
  <c r="N74" i="3"/>
  <c r="J105" i="36"/>
  <c r="N75" i="3"/>
  <c r="J106" i="36"/>
  <c r="N76" i="3"/>
  <c r="J107" i="36"/>
  <c r="O92" i="36"/>
  <c r="O93" i="36"/>
  <c r="O94" i="36"/>
  <c r="O95" i="36"/>
  <c r="O96" i="36"/>
  <c r="O97" i="36"/>
  <c r="O98" i="36"/>
  <c r="O99" i="36"/>
  <c r="O100" i="36"/>
  <c r="O101" i="36"/>
  <c r="O102" i="36"/>
  <c r="O103" i="36"/>
  <c r="O104" i="36"/>
  <c r="O105" i="36"/>
  <c r="O106" i="36"/>
  <c r="O107" i="36"/>
  <c r="O108" i="36"/>
  <c r="H110" i="36"/>
  <c r="H111" i="36"/>
  <c r="H112" i="36"/>
  <c r="H113" i="36"/>
  <c r="H114" i="36"/>
  <c r="H115" i="36"/>
  <c r="H116" i="36"/>
  <c r="H117" i="36"/>
  <c r="C110" i="36"/>
  <c r="C111" i="36"/>
  <c r="C112" i="36"/>
  <c r="C113" i="36"/>
  <c r="C114" i="36"/>
  <c r="C115" i="36"/>
  <c r="C116" i="36"/>
  <c r="C117" i="36"/>
  <c r="K110" i="36"/>
  <c r="I110" i="36"/>
  <c r="L110" i="36"/>
  <c r="I111" i="36"/>
  <c r="I112" i="36"/>
  <c r="I113" i="36"/>
  <c r="I114" i="36"/>
  <c r="I115" i="36"/>
  <c r="I116" i="36"/>
  <c r="I117" i="36"/>
  <c r="J110" i="36"/>
  <c r="J111" i="36"/>
  <c r="J112" i="36"/>
  <c r="J113" i="36"/>
  <c r="J114" i="36"/>
  <c r="J115" i="36"/>
  <c r="J116" i="36"/>
  <c r="J117" i="36"/>
  <c r="E110" i="36"/>
  <c r="E111" i="36"/>
  <c r="E112" i="36"/>
  <c r="E113" i="36"/>
  <c r="E114" i="36"/>
  <c r="E115" i="36"/>
  <c r="E116" i="36"/>
  <c r="E117" i="36"/>
  <c r="M110" i="36"/>
  <c r="D110" i="36"/>
  <c r="D111" i="36"/>
  <c r="D112" i="36"/>
  <c r="D113" i="36"/>
  <c r="D114" i="36"/>
  <c r="D115" i="36"/>
  <c r="D116" i="36"/>
  <c r="D117" i="36"/>
  <c r="O110" i="36" a="1"/>
  <c r="K111" i="36"/>
  <c r="L111" i="36"/>
  <c r="M111" i="36"/>
  <c r="O111" i="36" a="1"/>
  <c r="K112" i="36"/>
  <c r="L112" i="36"/>
  <c r="M112" i="36"/>
  <c r="O112" i="36" a="1"/>
  <c r="K113" i="36"/>
  <c r="L113" i="36"/>
  <c r="M113" i="36"/>
  <c r="O113" i="36" a="1"/>
  <c r="K114" i="36"/>
  <c r="L114" i="36"/>
  <c r="M114" i="36"/>
  <c r="O114" i="36" a="1"/>
  <c r="K115" i="36"/>
  <c r="L115" i="36"/>
  <c r="M115" i="36"/>
  <c r="O115" i="36" a="1"/>
  <c r="K116" i="36"/>
  <c r="L116" i="36"/>
  <c r="M116" i="36"/>
  <c r="O116" i="36" a="1"/>
  <c r="K117" i="36"/>
  <c r="L117" i="36"/>
  <c r="M117" i="36"/>
  <c r="O117" i="36" a="1"/>
  <c r="O110" i="36"/>
  <c r="O111" i="36"/>
  <c r="O112" i="36"/>
  <c r="O113" i="36"/>
  <c r="O114" i="36"/>
  <c r="O115" i="36"/>
  <c r="O116" i="36"/>
  <c r="O117" i="36"/>
  <c r="O118" i="36"/>
  <c r="J8" i="36"/>
  <c r="O8" i="36"/>
  <c r="J9" i="36"/>
  <c r="O9" i="36"/>
  <c r="J10" i="36"/>
  <c r="O10" i="36"/>
  <c r="J11" i="36"/>
  <c r="O11" i="36"/>
  <c r="J12" i="36"/>
  <c r="O12" i="36"/>
  <c r="J13" i="36"/>
  <c r="O13" i="36"/>
  <c r="J14" i="36"/>
  <c r="O14" i="36"/>
  <c r="J15" i="36"/>
  <c r="O15" i="36"/>
  <c r="J16" i="36"/>
  <c r="O16" i="36"/>
  <c r="J17" i="36"/>
  <c r="O17" i="36"/>
  <c r="J18" i="36"/>
  <c r="O18" i="36"/>
  <c r="J19" i="36"/>
  <c r="O19" i="36"/>
  <c r="J20" i="36"/>
  <c r="O20" i="36"/>
  <c r="J21" i="36"/>
  <c r="O21" i="36"/>
  <c r="J22" i="36"/>
  <c r="O22" i="36"/>
  <c r="J23" i="36"/>
  <c r="O23" i="36"/>
  <c r="J24" i="36"/>
  <c r="O24" i="36"/>
  <c r="J25" i="36"/>
  <c r="O25" i="36"/>
  <c r="J26" i="36"/>
  <c r="O26" i="36"/>
  <c r="J27" i="36"/>
  <c r="O27" i="36"/>
  <c r="J28" i="36"/>
  <c r="O28" i="36"/>
  <c r="J29" i="36"/>
  <c r="O29" i="36"/>
  <c r="J30" i="36"/>
  <c r="O30" i="36"/>
  <c r="J31" i="36"/>
  <c r="O31" i="36"/>
  <c r="J32" i="36"/>
  <c r="O32" i="36"/>
  <c r="J33" i="36"/>
  <c r="O33" i="36"/>
  <c r="J34" i="36"/>
  <c r="O34" i="36"/>
  <c r="J35" i="36"/>
  <c r="O35" i="36"/>
  <c r="J36" i="36"/>
  <c r="O36" i="36"/>
  <c r="J37" i="36"/>
  <c r="O37" i="36"/>
  <c r="J38" i="36"/>
  <c r="O38" i="36"/>
  <c r="J39" i="36"/>
  <c r="O39" i="36"/>
  <c r="J40" i="36"/>
  <c r="O40" i="36"/>
  <c r="J41" i="36"/>
  <c r="O41" i="36"/>
  <c r="J42" i="36"/>
  <c r="O42" i="36"/>
  <c r="J43" i="36"/>
  <c r="O43" i="36"/>
  <c r="J44" i="36"/>
  <c r="O44" i="36"/>
  <c r="J45" i="36"/>
  <c r="O45" i="36"/>
  <c r="J46" i="36"/>
  <c r="O46" i="36"/>
  <c r="J47" i="36"/>
  <c r="O47" i="36"/>
  <c r="J48" i="36"/>
  <c r="O48" i="36"/>
  <c r="J49" i="36"/>
  <c r="O49" i="36"/>
  <c r="J50" i="36"/>
  <c r="O50" i="36"/>
  <c r="J51" i="36"/>
  <c r="O51" i="36"/>
  <c r="J52" i="36"/>
  <c r="O52" i="36"/>
  <c r="J53" i="36"/>
  <c r="O53" i="36"/>
  <c r="J54" i="36"/>
  <c r="O54" i="36"/>
  <c r="J55" i="36"/>
  <c r="O55" i="36"/>
  <c r="O56" i="36"/>
  <c r="I80" i="3"/>
  <c r="J120" i="36"/>
  <c r="I81" i="3"/>
  <c r="J121" i="36"/>
  <c r="I82" i="3"/>
  <c r="J122" i="36"/>
  <c r="I83" i="3"/>
  <c r="J123" i="36"/>
  <c r="N80" i="3"/>
  <c r="J124" i="36"/>
  <c r="N81" i="3"/>
  <c r="J125" i="36"/>
  <c r="N82" i="3"/>
  <c r="J126" i="36"/>
  <c r="N83" i="3"/>
  <c r="J127" i="36"/>
  <c r="O120" i="36"/>
  <c r="O121" i="36"/>
  <c r="O122" i="36"/>
  <c r="O123" i="36"/>
  <c r="O124" i="36"/>
  <c r="O125" i="36"/>
  <c r="O126" i="36"/>
  <c r="O127" i="36"/>
  <c r="O128" i="36"/>
  <c r="H130" i="36"/>
  <c r="K130" i="36"/>
  <c r="I130" i="36"/>
  <c r="L130" i="36"/>
  <c r="H131" i="36"/>
  <c r="H132" i="36"/>
  <c r="H133" i="36"/>
  <c r="I131" i="36"/>
  <c r="I132" i="36"/>
  <c r="I133" i="36"/>
  <c r="J130" i="36"/>
  <c r="J131" i="36"/>
  <c r="J132" i="36"/>
  <c r="J133" i="36"/>
  <c r="E130" i="36"/>
  <c r="E131" i="36"/>
  <c r="E132" i="36"/>
  <c r="E133" i="36"/>
  <c r="M130" i="36"/>
  <c r="C130" i="36"/>
  <c r="C131" i="36"/>
  <c r="C132" i="36"/>
  <c r="C133" i="36"/>
  <c r="D130" i="36"/>
  <c r="D131" i="36"/>
  <c r="D132" i="36"/>
  <c r="D133" i="36"/>
  <c r="O130" i="36" a="1"/>
  <c r="K131" i="36"/>
  <c r="L131" i="36"/>
  <c r="M131" i="36"/>
  <c r="O131" i="36" a="1"/>
  <c r="K132" i="36"/>
  <c r="L132" i="36"/>
  <c r="M132" i="36"/>
  <c r="O132" i="36" a="1"/>
  <c r="K133" i="36"/>
  <c r="L133" i="36"/>
  <c r="M133" i="36"/>
  <c r="O133" i="36" a="1"/>
  <c r="O130" i="36"/>
  <c r="O131" i="36"/>
  <c r="O132" i="36"/>
  <c r="O133" i="36"/>
  <c r="O134" i="36"/>
  <c r="I86" i="3"/>
  <c r="J136" i="36"/>
  <c r="I87" i="3"/>
  <c r="J137" i="36"/>
  <c r="N86" i="3"/>
  <c r="J138" i="36"/>
  <c r="N87" i="3"/>
  <c r="J139" i="36"/>
  <c r="O136" i="36"/>
  <c r="O137" i="36"/>
  <c r="O138" i="36"/>
  <c r="O139" i="36"/>
  <c r="O140" i="36"/>
  <c r="H142" i="36"/>
  <c r="K142" i="36"/>
  <c r="I142" i="36"/>
  <c r="L142" i="36"/>
  <c r="H143" i="36"/>
  <c r="I143" i="36"/>
  <c r="J142" i="36"/>
  <c r="J143" i="36"/>
  <c r="E142" i="36"/>
  <c r="E143" i="36"/>
  <c r="M142" i="36"/>
  <c r="C142" i="36"/>
  <c r="C143" i="36"/>
  <c r="D142" i="36"/>
  <c r="D143" i="36"/>
  <c r="O142" i="36" a="1"/>
  <c r="K143" i="36"/>
  <c r="L143" i="36"/>
  <c r="M143" i="36"/>
  <c r="O143" i="36" a="1"/>
  <c r="O142" i="36"/>
  <c r="O143" i="36"/>
  <c r="O144" i="36"/>
  <c r="I90" i="3"/>
  <c r="J146" i="36"/>
  <c r="N90" i="3"/>
  <c r="J147" i="36"/>
  <c r="O146" i="36"/>
  <c r="O147" i="36"/>
  <c r="O148" i="36"/>
  <c r="I93" i="3"/>
  <c r="J150" i="36"/>
  <c r="N93" i="3"/>
  <c r="J151" i="36"/>
  <c r="O150" i="36"/>
  <c r="O151" i="36"/>
  <c r="O152" i="36"/>
  <c r="H154" i="36"/>
  <c r="K154" i="36"/>
  <c r="I154" i="36"/>
  <c r="L154" i="36"/>
  <c r="J154" i="36"/>
  <c r="E154" i="36"/>
  <c r="M154" i="36"/>
  <c r="C154" i="36"/>
  <c r="D154" i="36"/>
  <c r="O154" i="36"/>
  <c r="O155" i="36"/>
  <c r="H157" i="36"/>
  <c r="K157" i="36"/>
  <c r="I157" i="36"/>
  <c r="L157" i="36"/>
  <c r="J157" i="36"/>
  <c r="E157" i="36"/>
  <c r="M157" i="36"/>
  <c r="C157" i="36"/>
  <c r="D157" i="36"/>
  <c r="O157" i="36"/>
  <c r="O158" i="36"/>
  <c r="I97" i="3"/>
  <c r="J160" i="36"/>
  <c r="O160" i="36"/>
  <c r="I98" i="3"/>
  <c r="J161" i="36"/>
  <c r="O161" i="36"/>
  <c r="I99" i="3"/>
  <c r="J162" i="36"/>
  <c r="O162" i="36"/>
  <c r="J163" i="36"/>
  <c r="O163" i="36"/>
  <c r="J164" i="36"/>
  <c r="O164" i="36"/>
  <c r="J165" i="36"/>
  <c r="O165" i="36"/>
  <c r="J166" i="36"/>
  <c r="O166" i="36"/>
  <c r="J167" i="36"/>
  <c r="O167" i="36"/>
  <c r="J168" i="36"/>
  <c r="O168" i="36"/>
  <c r="N4" i="36"/>
  <c r="N5" i="36"/>
  <c r="T58" i="36"/>
  <c r="T59" i="36"/>
  <c r="T60" i="36"/>
  <c r="T61" i="36"/>
  <c r="T62" i="36"/>
  <c r="T63" i="36"/>
  <c r="T64" i="36"/>
  <c r="T65" i="36"/>
  <c r="T66" i="36"/>
  <c r="T67" i="36"/>
  <c r="T68" i="36"/>
  <c r="T69" i="36"/>
  <c r="T70" i="36"/>
  <c r="T71" i="36"/>
  <c r="T72" i="36"/>
  <c r="T73" i="36"/>
  <c r="T74" i="36"/>
  <c r="T75" i="36"/>
  <c r="T76" i="36"/>
  <c r="T77" i="36"/>
  <c r="T78" i="36"/>
  <c r="T79" i="36"/>
  <c r="T80" i="36"/>
  <c r="T81" i="36"/>
  <c r="T82" i="36"/>
  <c r="T83" i="36"/>
  <c r="T84" i="36"/>
  <c r="T85" i="36"/>
  <c r="T86" i="36"/>
  <c r="T87" i="36"/>
  <c r="T88" i="36"/>
  <c r="T89" i="36"/>
  <c r="T90" i="36"/>
  <c r="T92" i="36"/>
  <c r="T93" i="36"/>
  <c r="T94" i="36"/>
  <c r="T95" i="36"/>
  <c r="T96" i="36"/>
  <c r="T97" i="36"/>
  <c r="T98" i="36"/>
  <c r="T99" i="36"/>
  <c r="T100" i="36"/>
  <c r="T101" i="36"/>
  <c r="T102" i="36"/>
  <c r="T103" i="36"/>
  <c r="T104" i="36"/>
  <c r="T105" i="36"/>
  <c r="T106" i="36"/>
  <c r="T107" i="36"/>
  <c r="T108" i="36"/>
  <c r="P110" i="36"/>
  <c r="Q110" i="36"/>
  <c r="R110" i="36"/>
  <c r="T110" i="36" a="1"/>
  <c r="P111" i="36"/>
  <c r="Q111" i="36"/>
  <c r="R111" i="36"/>
  <c r="T111" i="36" a="1"/>
  <c r="P112" i="36"/>
  <c r="Q112" i="36"/>
  <c r="R112" i="36"/>
  <c r="T112" i="36" a="1"/>
  <c r="P113" i="36"/>
  <c r="Q113" i="36"/>
  <c r="R113" i="36"/>
  <c r="T113" i="36" a="1"/>
  <c r="P114" i="36"/>
  <c r="Q114" i="36"/>
  <c r="R114" i="36"/>
  <c r="T114" i="36" a="1"/>
  <c r="P115" i="36"/>
  <c r="Q115" i="36"/>
  <c r="R115" i="36"/>
  <c r="T115" i="36" a="1"/>
  <c r="P116" i="36"/>
  <c r="Q116" i="36"/>
  <c r="R116" i="36"/>
  <c r="T116" i="36" a="1"/>
  <c r="P117" i="36"/>
  <c r="Q117" i="36"/>
  <c r="R117" i="36"/>
  <c r="T117" i="36" a="1"/>
  <c r="T110" i="36"/>
  <c r="T111" i="36"/>
  <c r="T112" i="36"/>
  <c r="T113" i="36"/>
  <c r="T114" i="36"/>
  <c r="T115" i="36"/>
  <c r="T116" i="36"/>
  <c r="T117" i="36"/>
  <c r="T118" i="36"/>
  <c r="T8" i="36"/>
  <c r="T9" i="36"/>
  <c r="T10" i="36"/>
  <c r="T11" i="36"/>
  <c r="T12" i="36"/>
  <c r="T13" i="36"/>
  <c r="T14" i="36"/>
  <c r="T15" i="36"/>
  <c r="T16" i="36"/>
  <c r="T17" i="36"/>
  <c r="T18" i="36"/>
  <c r="T19" i="36"/>
  <c r="T20" i="36"/>
  <c r="T21" i="36"/>
  <c r="T22" i="36"/>
  <c r="T23" i="36"/>
  <c r="T24" i="36"/>
  <c r="T25" i="36"/>
  <c r="T26" i="36"/>
  <c r="T27" i="36"/>
  <c r="T28" i="36"/>
  <c r="T29" i="36"/>
  <c r="T30" i="36"/>
  <c r="T31" i="36"/>
  <c r="T32" i="36"/>
  <c r="T33" i="36"/>
  <c r="T34" i="36"/>
  <c r="T35" i="36"/>
  <c r="T36" i="36"/>
  <c r="T37" i="36"/>
  <c r="T38" i="36"/>
  <c r="T39" i="36"/>
  <c r="T40" i="36"/>
  <c r="T41" i="36"/>
  <c r="T42" i="36"/>
  <c r="T43" i="36"/>
  <c r="T44" i="36"/>
  <c r="T45" i="36"/>
  <c r="T46" i="36"/>
  <c r="T47" i="36"/>
  <c r="T48" i="36"/>
  <c r="T49" i="36"/>
  <c r="T50" i="36"/>
  <c r="T51" i="36"/>
  <c r="T52" i="36"/>
  <c r="T53" i="36"/>
  <c r="T54" i="36"/>
  <c r="T55" i="36"/>
  <c r="T56" i="36"/>
  <c r="T120" i="36"/>
  <c r="T121" i="36"/>
  <c r="T122" i="36"/>
  <c r="T123" i="36"/>
  <c r="T124" i="36"/>
  <c r="T125" i="36"/>
  <c r="T126" i="36"/>
  <c r="T127" i="36"/>
  <c r="T128" i="36"/>
  <c r="P130" i="36"/>
  <c r="Q130" i="36"/>
  <c r="R130" i="36"/>
  <c r="T130" i="36" a="1"/>
  <c r="P131" i="36"/>
  <c r="Q131" i="36"/>
  <c r="R131" i="36"/>
  <c r="T131" i="36" a="1"/>
  <c r="P132" i="36"/>
  <c r="Q132" i="36"/>
  <c r="R132" i="36"/>
  <c r="T132" i="36" a="1"/>
  <c r="P133" i="36"/>
  <c r="Q133" i="36"/>
  <c r="R133" i="36"/>
  <c r="T133" i="36" a="1"/>
  <c r="T130" i="36"/>
  <c r="T131" i="36"/>
  <c r="T132" i="36"/>
  <c r="T133" i="36"/>
  <c r="T134" i="36"/>
  <c r="T136" i="36"/>
  <c r="T137" i="36"/>
  <c r="T138" i="36"/>
  <c r="T139" i="36"/>
  <c r="T140" i="36"/>
  <c r="P142" i="36"/>
  <c r="Q142" i="36"/>
  <c r="R142" i="36"/>
  <c r="T142" i="36" a="1"/>
  <c r="P143" i="36"/>
  <c r="Q143" i="36"/>
  <c r="R143" i="36"/>
  <c r="T143" i="36" a="1"/>
  <c r="T142" i="36"/>
  <c r="T143" i="36"/>
  <c r="T144" i="36"/>
  <c r="T146" i="36"/>
  <c r="T147" i="36"/>
  <c r="T148" i="36"/>
  <c r="T150" i="36"/>
  <c r="T151" i="36"/>
  <c r="T152" i="36"/>
  <c r="P154" i="36"/>
  <c r="Q154" i="36"/>
  <c r="R154" i="36"/>
  <c r="T154" i="36"/>
  <c r="T155" i="36"/>
  <c r="P157" i="36"/>
  <c r="Q157" i="36"/>
  <c r="R157" i="36"/>
  <c r="T157" i="36"/>
  <c r="T158" i="36"/>
  <c r="T160" i="36"/>
  <c r="T161" i="36"/>
  <c r="T162" i="36"/>
  <c r="T163" i="36"/>
  <c r="T164" i="36"/>
  <c r="T165" i="36"/>
  <c r="T166" i="36"/>
  <c r="T167" i="36"/>
  <c r="T168" i="36"/>
  <c r="S4" i="36"/>
  <c r="S5" i="36"/>
  <c r="Y58" i="36"/>
  <c r="Y59" i="36"/>
  <c r="Y60" i="36"/>
  <c r="Y61" i="36"/>
  <c r="Y62" i="36"/>
  <c r="Y63" i="36"/>
  <c r="Y64" i="36"/>
  <c r="Y65" i="36"/>
  <c r="Y66" i="36"/>
  <c r="Y67" i="36"/>
  <c r="Y68" i="36"/>
  <c r="Y69" i="36"/>
  <c r="Y70" i="36"/>
  <c r="Y71" i="36"/>
  <c r="Y72" i="36"/>
  <c r="Y73" i="36"/>
  <c r="Y74" i="36"/>
  <c r="Y75" i="36"/>
  <c r="Y76" i="36"/>
  <c r="Y77" i="36"/>
  <c r="Y78" i="36"/>
  <c r="Y79" i="36"/>
  <c r="Y80" i="36"/>
  <c r="Y81" i="36"/>
  <c r="Y82" i="36"/>
  <c r="Y83" i="36"/>
  <c r="Y84" i="36"/>
  <c r="Y85" i="36"/>
  <c r="Y86" i="36"/>
  <c r="Y87" i="36"/>
  <c r="Y88" i="36"/>
  <c r="Y89" i="36"/>
  <c r="Y90" i="36"/>
  <c r="Y92" i="36"/>
  <c r="Y93" i="36"/>
  <c r="Y94" i="36"/>
  <c r="Y95" i="36"/>
  <c r="Y96" i="36"/>
  <c r="Y97" i="36"/>
  <c r="Y98" i="36"/>
  <c r="Y99" i="36"/>
  <c r="Y100" i="36"/>
  <c r="Y101" i="36"/>
  <c r="Y102" i="36"/>
  <c r="Y103" i="36"/>
  <c r="Y104" i="36"/>
  <c r="Y105" i="36"/>
  <c r="Y106" i="36"/>
  <c r="Y107" i="36"/>
  <c r="Y108" i="36"/>
  <c r="U110" i="36"/>
  <c r="V110" i="36"/>
  <c r="W110" i="36"/>
  <c r="Y110" i="36" a="1"/>
  <c r="U111" i="36"/>
  <c r="V111" i="36"/>
  <c r="W111" i="36"/>
  <c r="Y111" i="36" a="1"/>
  <c r="U112" i="36"/>
  <c r="V112" i="36"/>
  <c r="W112" i="36"/>
  <c r="Y112" i="36" a="1"/>
  <c r="U113" i="36"/>
  <c r="V113" i="36"/>
  <c r="W113" i="36"/>
  <c r="Y113" i="36" a="1"/>
  <c r="U114" i="36"/>
  <c r="V114" i="36"/>
  <c r="W114" i="36"/>
  <c r="Y114" i="36" a="1"/>
  <c r="U115" i="36"/>
  <c r="V115" i="36"/>
  <c r="W115" i="36"/>
  <c r="Y115" i="36" a="1"/>
  <c r="U116" i="36"/>
  <c r="V116" i="36"/>
  <c r="W116" i="36"/>
  <c r="Y116" i="36" a="1"/>
  <c r="U117" i="36"/>
  <c r="V117" i="36"/>
  <c r="W117" i="36"/>
  <c r="Y117" i="36" a="1"/>
  <c r="Y110" i="36"/>
  <c r="Y111" i="36"/>
  <c r="Y112" i="36"/>
  <c r="Y113" i="36"/>
  <c r="Y114" i="36"/>
  <c r="Y115" i="36"/>
  <c r="Y116" i="36"/>
  <c r="Y117" i="36"/>
  <c r="Y118" i="36"/>
  <c r="Y8" i="36"/>
  <c r="Y9" i="36"/>
  <c r="Y10" i="36"/>
  <c r="Y11" i="36"/>
  <c r="Y12" i="36"/>
  <c r="Y13" i="36"/>
  <c r="Y14" i="36"/>
  <c r="Y15" i="36"/>
  <c r="Y16" i="36"/>
  <c r="Y17" i="36"/>
  <c r="Y18" i="36"/>
  <c r="Y19" i="36"/>
  <c r="Y20" i="36"/>
  <c r="Y21" i="36"/>
  <c r="Y22" i="36"/>
  <c r="Y23" i="36"/>
  <c r="Y24" i="36"/>
  <c r="Y25" i="36"/>
  <c r="Y26" i="36"/>
  <c r="Y27" i="36"/>
  <c r="Y28" i="36"/>
  <c r="Y29" i="36"/>
  <c r="Y30" i="36"/>
  <c r="Y31" i="36"/>
  <c r="Y32" i="36"/>
  <c r="Y33" i="36"/>
  <c r="Y34" i="36"/>
  <c r="Y35" i="36"/>
  <c r="Y36" i="36"/>
  <c r="Y37" i="36"/>
  <c r="Y38" i="36"/>
  <c r="Y39" i="36"/>
  <c r="Y40" i="36"/>
  <c r="Y41" i="36"/>
  <c r="Y42" i="36"/>
  <c r="Y43" i="36"/>
  <c r="Y44" i="36"/>
  <c r="Y45" i="36"/>
  <c r="Y46" i="36"/>
  <c r="Y47" i="36"/>
  <c r="Y48" i="36"/>
  <c r="Y49" i="36"/>
  <c r="Y50" i="36"/>
  <c r="Y51" i="36"/>
  <c r="Y52" i="36"/>
  <c r="Y53" i="36"/>
  <c r="Y54" i="36"/>
  <c r="Y55" i="36"/>
  <c r="Y56" i="36"/>
  <c r="Y120" i="36"/>
  <c r="Y121" i="36"/>
  <c r="Y122" i="36"/>
  <c r="Y123" i="36"/>
  <c r="Y124" i="36"/>
  <c r="Y125" i="36"/>
  <c r="Y126" i="36"/>
  <c r="Y127" i="36"/>
  <c r="Y128" i="36"/>
  <c r="U130" i="36"/>
  <c r="V130" i="36"/>
  <c r="W130" i="36"/>
  <c r="Y130" i="36" a="1"/>
  <c r="U131" i="36"/>
  <c r="V131" i="36"/>
  <c r="W131" i="36"/>
  <c r="Y131" i="36" a="1"/>
  <c r="U132" i="36"/>
  <c r="V132" i="36"/>
  <c r="W132" i="36"/>
  <c r="Y132" i="36" a="1"/>
  <c r="U133" i="36"/>
  <c r="V133" i="36"/>
  <c r="W133" i="36"/>
  <c r="Y133" i="36" a="1"/>
  <c r="Y130" i="36"/>
  <c r="Y131" i="36"/>
  <c r="Y132" i="36"/>
  <c r="Y133" i="36"/>
  <c r="Y134" i="36"/>
  <c r="Y136" i="36"/>
  <c r="Y137" i="36"/>
  <c r="Y138" i="36"/>
  <c r="Y139" i="36"/>
  <c r="Y140" i="36"/>
  <c r="U142" i="36"/>
  <c r="V142" i="36"/>
  <c r="W142" i="36"/>
  <c r="Y142" i="36" a="1"/>
  <c r="U143" i="36"/>
  <c r="V143" i="36"/>
  <c r="W143" i="36"/>
  <c r="Y143" i="36" a="1"/>
  <c r="Y142" i="36"/>
  <c r="Y143" i="36"/>
  <c r="Y144" i="36"/>
  <c r="Y146" i="36"/>
  <c r="Y147" i="36"/>
  <c r="Y148" i="36"/>
  <c r="Y150" i="36"/>
  <c r="Y151" i="36"/>
  <c r="Y152" i="36"/>
  <c r="U154" i="36"/>
  <c r="V154" i="36"/>
  <c r="W154" i="36"/>
  <c r="Y154" i="36"/>
  <c r="Y155" i="36"/>
  <c r="U157" i="36"/>
  <c r="V157" i="36"/>
  <c r="W157" i="36"/>
  <c r="Y157" i="36"/>
  <c r="Y158" i="36"/>
  <c r="Y160" i="36"/>
  <c r="Y161" i="36"/>
  <c r="Y162" i="36"/>
  <c r="Y163" i="36"/>
  <c r="Y164" i="36"/>
  <c r="Y165" i="36"/>
  <c r="Y166" i="36"/>
  <c r="Y167" i="36"/>
  <c r="Y168" i="36"/>
  <c r="X4" i="36"/>
  <c r="X5" i="36"/>
  <c r="AD58" i="36"/>
  <c r="AD59" i="36"/>
  <c r="AD60" i="36"/>
  <c r="AD61" i="36"/>
  <c r="AD62" i="36"/>
  <c r="AD63" i="36"/>
  <c r="AD64" i="36"/>
  <c r="AD65" i="36"/>
  <c r="AD66" i="36"/>
  <c r="AD67" i="36"/>
  <c r="AD68" i="36"/>
  <c r="AD69" i="36"/>
  <c r="AD70" i="36"/>
  <c r="AD71" i="36"/>
  <c r="AD72" i="36"/>
  <c r="AD73" i="36"/>
  <c r="AD74" i="36"/>
  <c r="AD75" i="36"/>
  <c r="AD76" i="36"/>
  <c r="AD77" i="36"/>
  <c r="AD78" i="36"/>
  <c r="AD79" i="36"/>
  <c r="AD80" i="36"/>
  <c r="AD81" i="36"/>
  <c r="AD82" i="36"/>
  <c r="AD83" i="36"/>
  <c r="AD84" i="36"/>
  <c r="AD85" i="36"/>
  <c r="AD86" i="36"/>
  <c r="AD87" i="36"/>
  <c r="AD88" i="36"/>
  <c r="AD89" i="36"/>
  <c r="AD90" i="36"/>
  <c r="AD92" i="36"/>
  <c r="AD93" i="36"/>
  <c r="AD94" i="36"/>
  <c r="AD95" i="36"/>
  <c r="AD96" i="36"/>
  <c r="AD97" i="36"/>
  <c r="AD98" i="36"/>
  <c r="AD99" i="36"/>
  <c r="AD100" i="36"/>
  <c r="AD101" i="36"/>
  <c r="AD102" i="36"/>
  <c r="AD103" i="36"/>
  <c r="AD104" i="36"/>
  <c r="AD105" i="36"/>
  <c r="AD106" i="36"/>
  <c r="AD107" i="36"/>
  <c r="AD108" i="36"/>
  <c r="Z110" i="36"/>
  <c r="AA110" i="36"/>
  <c r="AB110" i="36"/>
  <c r="AD110" i="36" a="1"/>
  <c r="Z111" i="36"/>
  <c r="AA111" i="36"/>
  <c r="AB111" i="36"/>
  <c r="AD111" i="36" a="1"/>
  <c r="Z112" i="36"/>
  <c r="AA112" i="36"/>
  <c r="AB112" i="36"/>
  <c r="AD112" i="36" a="1"/>
  <c r="Z113" i="36"/>
  <c r="AA113" i="36"/>
  <c r="AB113" i="36"/>
  <c r="AD113" i="36" a="1"/>
  <c r="Z114" i="36"/>
  <c r="AA114" i="36"/>
  <c r="AB114" i="36"/>
  <c r="AD114" i="36" a="1"/>
  <c r="Z115" i="36"/>
  <c r="AA115" i="36"/>
  <c r="AB115" i="36"/>
  <c r="AD115" i="36" a="1"/>
  <c r="Z116" i="36"/>
  <c r="AA116" i="36"/>
  <c r="AB116" i="36"/>
  <c r="AD116" i="36" a="1"/>
  <c r="Z117" i="36"/>
  <c r="AA117" i="36"/>
  <c r="AB117" i="36"/>
  <c r="AD117" i="36" a="1"/>
  <c r="AD110" i="36"/>
  <c r="AD111" i="36"/>
  <c r="AD112" i="36"/>
  <c r="AD113" i="36"/>
  <c r="AD114" i="36"/>
  <c r="AD115" i="36"/>
  <c r="AD116" i="36"/>
  <c r="AD117" i="36"/>
  <c r="AD118" i="36"/>
  <c r="AD8" i="36"/>
  <c r="AD9" i="36"/>
  <c r="AD10" i="36"/>
  <c r="AD11" i="36"/>
  <c r="AD12" i="36"/>
  <c r="AD13" i="36"/>
  <c r="AD14" i="36"/>
  <c r="AD15" i="36"/>
  <c r="AD16" i="36"/>
  <c r="AD17" i="36"/>
  <c r="AD18" i="36"/>
  <c r="AD19" i="36"/>
  <c r="AD20" i="36"/>
  <c r="AD21" i="36"/>
  <c r="AD22" i="36"/>
  <c r="AD23" i="36"/>
  <c r="AD24" i="36"/>
  <c r="AD25" i="36"/>
  <c r="AD26" i="36"/>
  <c r="AD27" i="36"/>
  <c r="AD28" i="36"/>
  <c r="AD29" i="36"/>
  <c r="AD30" i="36"/>
  <c r="AD31" i="36"/>
  <c r="AD32" i="36"/>
  <c r="AD33" i="36"/>
  <c r="AD34" i="36"/>
  <c r="AD35" i="36"/>
  <c r="AD36" i="36"/>
  <c r="AD37" i="36"/>
  <c r="AD38" i="36"/>
  <c r="AD39" i="36"/>
  <c r="AD40" i="36"/>
  <c r="AD41" i="36"/>
  <c r="AD42" i="36"/>
  <c r="AD43" i="36"/>
  <c r="AD44" i="36"/>
  <c r="AD45" i="36"/>
  <c r="AD46" i="36"/>
  <c r="AD47" i="36"/>
  <c r="AD48" i="36"/>
  <c r="AD49" i="36"/>
  <c r="AD50" i="36"/>
  <c r="AD51" i="36"/>
  <c r="AD52" i="36"/>
  <c r="AD53" i="36"/>
  <c r="AD54" i="36"/>
  <c r="AD55" i="36"/>
  <c r="AD56" i="36"/>
  <c r="AD120" i="36"/>
  <c r="AD121" i="36"/>
  <c r="AD122" i="36"/>
  <c r="AD123" i="36"/>
  <c r="AD124" i="36"/>
  <c r="AD125" i="36"/>
  <c r="AD126" i="36"/>
  <c r="AD127" i="36"/>
  <c r="AD128" i="36"/>
  <c r="Z130" i="36"/>
  <c r="AA130" i="36"/>
  <c r="AB130" i="36"/>
  <c r="AD130" i="36" a="1"/>
  <c r="Z131" i="36"/>
  <c r="AA131" i="36"/>
  <c r="AB131" i="36"/>
  <c r="AD131" i="36" a="1"/>
  <c r="Z132" i="36"/>
  <c r="AA132" i="36"/>
  <c r="AB132" i="36"/>
  <c r="AD132" i="36" a="1"/>
  <c r="Z133" i="36"/>
  <c r="AA133" i="36"/>
  <c r="AB133" i="36"/>
  <c r="AD133" i="36" a="1"/>
  <c r="AD130" i="36"/>
  <c r="AD131" i="36"/>
  <c r="AD132" i="36"/>
  <c r="AD133" i="36"/>
  <c r="AD134" i="36"/>
  <c r="AD136" i="36"/>
  <c r="AD137" i="36"/>
  <c r="AD138" i="36"/>
  <c r="AD139" i="36"/>
  <c r="AD140" i="36"/>
  <c r="Z142" i="36"/>
  <c r="AA142" i="36"/>
  <c r="AB142" i="36"/>
  <c r="AD142" i="36" a="1"/>
  <c r="Z143" i="36"/>
  <c r="AA143" i="36"/>
  <c r="AB143" i="36"/>
  <c r="AD143" i="36" a="1"/>
  <c r="AD142" i="36"/>
  <c r="AD143" i="36"/>
  <c r="AD144" i="36"/>
  <c r="AD146" i="36"/>
  <c r="AD147" i="36"/>
  <c r="AD148" i="36"/>
  <c r="AD150" i="36"/>
  <c r="AD151" i="36"/>
  <c r="AD152" i="36"/>
  <c r="Z154" i="36"/>
  <c r="AA154" i="36"/>
  <c r="AB154" i="36"/>
  <c r="AD154" i="36"/>
  <c r="AD155" i="36"/>
  <c r="Z157" i="36"/>
  <c r="AA157" i="36"/>
  <c r="AB157" i="36"/>
  <c r="AD157" i="36"/>
  <c r="AD158" i="36"/>
  <c r="AD160" i="36"/>
  <c r="AD161" i="36"/>
  <c r="AD162" i="36"/>
  <c r="AD163" i="36"/>
  <c r="AD164" i="36"/>
  <c r="AD165" i="36"/>
  <c r="AD166" i="36"/>
  <c r="AD167" i="36"/>
  <c r="AD168" i="36"/>
  <c r="AC4" i="36"/>
  <c r="AC5" i="36"/>
  <c r="AI58" i="36"/>
  <c r="AI59" i="36"/>
  <c r="AI60" i="36"/>
  <c r="AI61" i="36"/>
  <c r="AI62" i="36"/>
  <c r="AI63" i="36"/>
  <c r="AI64" i="36"/>
  <c r="AI65" i="36"/>
  <c r="AI66" i="36"/>
  <c r="AI67" i="36"/>
  <c r="AI68" i="36"/>
  <c r="AI69" i="36"/>
  <c r="AI70" i="36"/>
  <c r="AI71" i="36"/>
  <c r="AI72" i="36"/>
  <c r="AI73" i="36"/>
  <c r="AI74" i="36"/>
  <c r="AI75" i="36"/>
  <c r="AI76" i="36"/>
  <c r="AI77" i="36"/>
  <c r="AI78" i="36"/>
  <c r="AI79" i="36"/>
  <c r="AI80" i="36"/>
  <c r="AI81" i="36"/>
  <c r="AI82" i="36"/>
  <c r="AI83" i="36"/>
  <c r="AI84" i="36"/>
  <c r="AI85" i="36"/>
  <c r="AI86" i="36"/>
  <c r="AI87" i="36"/>
  <c r="AI88" i="36"/>
  <c r="AI89" i="36"/>
  <c r="AI90" i="36"/>
  <c r="AI92" i="36"/>
  <c r="AI93" i="36"/>
  <c r="AI94" i="36"/>
  <c r="AI95" i="36"/>
  <c r="AI96" i="36"/>
  <c r="AI97" i="36"/>
  <c r="AI98" i="36"/>
  <c r="AI99" i="36"/>
  <c r="AI100" i="36"/>
  <c r="AI101" i="36"/>
  <c r="AI102" i="36"/>
  <c r="AI103" i="36"/>
  <c r="AI104" i="36"/>
  <c r="AI105" i="36"/>
  <c r="AI106" i="36"/>
  <c r="AI107" i="36"/>
  <c r="AI108" i="36"/>
  <c r="AE110" i="36"/>
  <c r="AF110" i="36"/>
  <c r="AG110" i="36"/>
  <c r="AI110" i="36" a="1"/>
  <c r="AE111" i="36"/>
  <c r="AF111" i="36"/>
  <c r="AG111" i="36"/>
  <c r="AI111" i="36" a="1"/>
  <c r="AE112" i="36"/>
  <c r="AF112" i="36"/>
  <c r="AG112" i="36"/>
  <c r="AI112" i="36" a="1"/>
  <c r="AE113" i="36"/>
  <c r="AF113" i="36"/>
  <c r="AG113" i="36"/>
  <c r="AI113" i="36" a="1"/>
  <c r="AE114" i="36"/>
  <c r="AF114" i="36"/>
  <c r="AG114" i="36"/>
  <c r="AI114" i="36" a="1"/>
  <c r="AE115" i="36"/>
  <c r="AF115" i="36"/>
  <c r="AG115" i="36"/>
  <c r="AI115" i="36" a="1"/>
  <c r="AE116" i="36"/>
  <c r="AF116" i="36"/>
  <c r="AG116" i="36"/>
  <c r="AI116" i="36" a="1"/>
  <c r="AE117" i="36"/>
  <c r="AF117" i="36"/>
  <c r="AG117" i="36"/>
  <c r="AI117" i="36" a="1"/>
  <c r="AI110" i="36"/>
  <c r="AI111" i="36"/>
  <c r="AI112" i="36"/>
  <c r="AI113" i="36"/>
  <c r="AI114" i="36"/>
  <c r="AI115" i="36"/>
  <c r="AI116" i="36"/>
  <c r="AI117" i="36"/>
  <c r="AI118" i="36"/>
  <c r="AI8" i="36"/>
  <c r="AI9" i="36"/>
  <c r="AI10" i="36"/>
  <c r="AI11" i="36"/>
  <c r="AI12" i="36"/>
  <c r="AI13" i="36"/>
  <c r="AI14" i="36"/>
  <c r="AI15" i="36"/>
  <c r="AI16" i="36"/>
  <c r="AI17" i="36"/>
  <c r="AI18" i="36"/>
  <c r="AI19" i="36"/>
  <c r="AI20" i="36"/>
  <c r="AI21" i="36"/>
  <c r="AI22" i="36"/>
  <c r="AI23" i="36"/>
  <c r="AI24" i="36"/>
  <c r="AI25" i="36"/>
  <c r="AI26" i="36"/>
  <c r="AI27" i="36"/>
  <c r="AI28" i="36"/>
  <c r="AI29" i="36"/>
  <c r="AI30" i="36"/>
  <c r="AI31" i="36"/>
  <c r="AI32" i="36"/>
  <c r="AI33" i="36"/>
  <c r="AI34" i="36"/>
  <c r="AI35" i="36"/>
  <c r="AI36" i="36"/>
  <c r="AI37" i="36"/>
  <c r="AI38" i="36"/>
  <c r="AI39" i="36"/>
  <c r="AI40" i="36"/>
  <c r="AI41" i="36"/>
  <c r="AI42" i="36"/>
  <c r="AI43" i="36"/>
  <c r="AI44" i="36"/>
  <c r="AI45" i="36"/>
  <c r="AI46" i="36"/>
  <c r="AI47" i="36"/>
  <c r="AI48" i="36"/>
  <c r="AI49" i="36"/>
  <c r="AI50" i="36"/>
  <c r="AI51" i="36"/>
  <c r="AI52" i="36"/>
  <c r="AI53" i="36"/>
  <c r="AI54" i="36"/>
  <c r="AI55" i="36"/>
  <c r="AI56" i="36"/>
  <c r="AI120" i="36"/>
  <c r="AI121" i="36"/>
  <c r="AI122" i="36"/>
  <c r="AI123" i="36"/>
  <c r="AI124" i="36"/>
  <c r="AI125" i="36"/>
  <c r="AI126" i="36"/>
  <c r="AI127" i="36"/>
  <c r="AI128" i="36"/>
  <c r="AE130" i="36"/>
  <c r="AF130" i="36"/>
  <c r="AG130" i="36"/>
  <c r="AI130" i="36" a="1"/>
  <c r="AE131" i="36"/>
  <c r="AF131" i="36"/>
  <c r="AG131" i="36"/>
  <c r="AI131" i="36" a="1"/>
  <c r="AE132" i="36"/>
  <c r="AF132" i="36"/>
  <c r="AG132" i="36"/>
  <c r="AI132" i="36" a="1"/>
  <c r="AE133" i="36"/>
  <c r="AF133" i="36"/>
  <c r="AG133" i="36"/>
  <c r="AI133" i="36" a="1"/>
  <c r="AI130" i="36"/>
  <c r="AI131" i="36"/>
  <c r="AI132" i="36"/>
  <c r="AI133" i="36"/>
  <c r="AI134" i="36"/>
  <c r="AI136" i="36"/>
  <c r="AI137" i="36"/>
  <c r="AI138" i="36"/>
  <c r="AI139" i="36"/>
  <c r="AI140" i="36"/>
  <c r="AE142" i="36"/>
  <c r="AF142" i="36"/>
  <c r="AG142" i="36"/>
  <c r="AI142" i="36" a="1"/>
  <c r="AE143" i="36"/>
  <c r="AF143" i="36"/>
  <c r="AG143" i="36"/>
  <c r="AI143" i="36" a="1"/>
  <c r="AI142" i="36"/>
  <c r="AI143" i="36"/>
  <c r="AI144" i="36"/>
  <c r="AI146" i="36"/>
  <c r="AI147" i="36"/>
  <c r="AI148" i="36"/>
  <c r="AI150" i="36"/>
  <c r="AI151" i="36"/>
  <c r="AI152" i="36"/>
  <c r="AE154" i="36"/>
  <c r="AF154" i="36"/>
  <c r="AG154" i="36"/>
  <c r="AI154" i="36"/>
  <c r="AI155" i="36"/>
  <c r="AE157" i="36"/>
  <c r="AF157" i="36"/>
  <c r="AG157" i="36"/>
  <c r="AI157" i="36"/>
  <c r="AI158" i="36"/>
  <c r="AI160" i="36"/>
  <c r="AI161" i="36"/>
  <c r="AI162" i="36"/>
  <c r="AI163" i="36"/>
  <c r="AI164" i="36"/>
  <c r="AI165" i="36"/>
  <c r="AI166" i="36"/>
  <c r="AI167" i="36"/>
  <c r="AI168" i="36"/>
  <c r="AH4" i="36"/>
  <c r="AH5" i="36"/>
  <c r="N1" i="36"/>
  <c r="S1" i="36"/>
  <c r="X1" i="36"/>
  <c r="AC1" i="36"/>
  <c r="AH1" i="36"/>
  <c r="AI169" i="36"/>
  <c r="A8" i="37"/>
  <c r="AD169" i="36"/>
  <c r="Q8" i="37"/>
  <c r="P8" i="37"/>
  <c r="O8" i="37"/>
  <c r="N8" i="37"/>
  <c r="M8" i="37"/>
  <c r="L8" i="37"/>
  <c r="K8" i="37"/>
  <c r="J8" i="37"/>
  <c r="I8" i="37"/>
  <c r="H8" i="37"/>
  <c r="G8" i="37"/>
  <c r="F8" i="37"/>
  <c r="E8" i="37"/>
  <c r="A7" i="37"/>
  <c r="Y169" i="36"/>
  <c r="Q7" i="37"/>
  <c r="P7" i="37"/>
  <c r="O7" i="37"/>
  <c r="N7" i="37"/>
  <c r="M7" i="37"/>
  <c r="L7" i="37"/>
  <c r="K7" i="37"/>
  <c r="J7" i="37"/>
  <c r="I7" i="37"/>
  <c r="H7" i="37"/>
  <c r="G7" i="37"/>
  <c r="F7" i="37"/>
  <c r="E7" i="37"/>
  <c r="A6" i="37"/>
  <c r="T169" i="36"/>
  <c r="Q6" i="37"/>
  <c r="P6" i="37"/>
  <c r="O6" i="37"/>
  <c r="N6" i="37"/>
  <c r="M6" i="37"/>
  <c r="L6" i="37"/>
  <c r="K6" i="37"/>
  <c r="J6" i="37"/>
  <c r="I6" i="37"/>
  <c r="H6" i="37"/>
  <c r="G6" i="37"/>
  <c r="F6" i="37"/>
  <c r="E6" i="37"/>
  <c r="A5" i="37"/>
  <c r="Q5" i="37"/>
  <c r="P5" i="37"/>
  <c r="O5" i="37"/>
  <c r="N5" i="37"/>
  <c r="M5" i="37"/>
  <c r="L5" i="37"/>
  <c r="K5" i="37"/>
  <c r="J5" i="37"/>
  <c r="I5" i="37"/>
  <c r="H5" i="37"/>
  <c r="G5" i="37"/>
  <c r="F5" i="37"/>
  <c r="E5" i="37"/>
  <c r="O169" i="36"/>
  <c r="A4" i="37"/>
  <c r="Q4" i="37"/>
  <c r="P4" i="37"/>
  <c r="O4" i="37"/>
  <c r="N4" i="37"/>
  <c r="M4" i="37"/>
  <c r="L4" i="37"/>
  <c r="K4" i="37"/>
  <c r="J4" i="37"/>
  <c r="I4" i="37"/>
  <c r="H4" i="37"/>
  <c r="G4" i="37"/>
  <c r="F4" i="37"/>
  <c r="E4" i="37"/>
  <c r="H40" i="36"/>
  <c r="H44" i="36"/>
  <c r="H48" i="36"/>
  <c r="H52" i="36"/>
  <c r="H8" i="36"/>
  <c r="H9" i="36"/>
  <c r="H12" i="36"/>
  <c r="H16" i="36"/>
  <c r="H32" i="36"/>
  <c r="H20" i="36"/>
  <c r="H24" i="36"/>
  <c r="H28" i="36"/>
  <c r="H36" i="36"/>
  <c r="A4" i="38" a="1"/>
  <c r="A4" i="38"/>
  <c r="H41" i="36"/>
  <c r="H45" i="36"/>
  <c r="H49" i="36"/>
  <c r="H53" i="36"/>
  <c r="H10" i="36"/>
  <c r="H13" i="36"/>
  <c r="H17" i="36"/>
  <c r="H33" i="36"/>
  <c r="H21" i="36"/>
  <c r="H25" i="36"/>
  <c r="H29" i="36"/>
  <c r="H37" i="36"/>
  <c r="A5" i="38" a="1"/>
  <c r="A5" i="38"/>
  <c r="H42" i="36"/>
  <c r="H46" i="36"/>
  <c r="H50" i="36"/>
  <c r="H54" i="36"/>
  <c r="H11" i="36"/>
  <c r="H14" i="36"/>
  <c r="H18" i="36"/>
  <c r="H34" i="36"/>
  <c r="H22" i="36"/>
  <c r="H26" i="36"/>
  <c r="H30" i="36"/>
  <c r="H38" i="36"/>
  <c r="A6" i="38" a="1"/>
  <c r="H43" i="36"/>
  <c r="H47" i="36"/>
  <c r="H51" i="36"/>
  <c r="H55" i="36"/>
  <c r="H15" i="36"/>
  <c r="H19" i="36"/>
  <c r="H35" i="36"/>
  <c r="H23" i="36"/>
  <c r="H27" i="36"/>
  <c r="H31" i="36"/>
  <c r="H39" i="36"/>
  <c r="A7" i="38" a="1"/>
  <c r="A6" i="38"/>
  <c r="A7" i="38"/>
  <c r="A8" i="38" a="1"/>
  <c r="A8" i="38"/>
  <c r="A9" i="38" a="1"/>
  <c r="A9" i="38"/>
  <c r="A10" i="38" a="1"/>
  <c r="A11" i="38" a="1"/>
  <c r="A12" i="38" a="1"/>
  <c r="A13" i="38" a="1"/>
  <c r="A14" i="38" a="1"/>
  <c r="A15" i="38" a="1"/>
  <c r="A16" i="38" a="1"/>
  <c r="A17" i="38" a="1"/>
  <c r="A18" i="38" a="1"/>
  <c r="A19" i="38" a="1"/>
  <c r="A10" i="38"/>
  <c r="A11" i="38"/>
  <c r="A12" i="38"/>
  <c r="A13" i="38"/>
  <c r="A14" i="38"/>
  <c r="A15" i="38"/>
  <c r="A16" i="38"/>
  <c r="A17" i="38"/>
  <c r="A18" i="38"/>
  <c r="A19" i="38"/>
  <c r="D3" i="38" a="1"/>
  <c r="D3" i="38"/>
  <c r="C5" i="38"/>
  <c r="D5" i="38"/>
  <c r="E5" i="38"/>
  <c r="F5" i="38"/>
  <c r="G5" i="38"/>
  <c r="H5" i="38"/>
  <c r="I5" i="38"/>
  <c r="J5" i="38"/>
  <c r="K5" i="38"/>
  <c r="L5" i="38"/>
  <c r="M5" i="38"/>
  <c r="N5" i="38"/>
  <c r="O5" i="38"/>
  <c r="P5" i="38"/>
  <c r="Q5" i="38"/>
  <c r="R5" i="38"/>
  <c r="S5" i="38"/>
  <c r="C6" i="38"/>
  <c r="D6" i="38"/>
  <c r="E6" i="38"/>
  <c r="F6" i="38"/>
  <c r="G6" i="38"/>
  <c r="H6" i="38"/>
  <c r="I6" i="38"/>
  <c r="J6" i="38"/>
  <c r="K6" i="38"/>
  <c r="L6" i="38"/>
  <c r="M6" i="38"/>
  <c r="N6" i="38"/>
  <c r="O6" i="38"/>
  <c r="P6" i="38"/>
  <c r="Q6" i="38"/>
  <c r="R6" i="38"/>
  <c r="S6" i="38"/>
  <c r="C7" i="38"/>
  <c r="D7" i="38"/>
  <c r="E7" i="38"/>
  <c r="F7" i="38"/>
  <c r="G7" i="38"/>
  <c r="H7" i="38"/>
  <c r="I7" i="38"/>
  <c r="J7" i="38"/>
  <c r="K7" i="38"/>
  <c r="L7" i="38"/>
  <c r="M7" i="38"/>
  <c r="N7" i="38"/>
  <c r="O7" i="38"/>
  <c r="P7" i="38"/>
  <c r="Q7" i="38"/>
  <c r="R7" i="38"/>
  <c r="S7" i="38"/>
  <c r="C8" i="38"/>
  <c r="D8" i="38"/>
  <c r="E8" i="38"/>
  <c r="F8" i="38"/>
  <c r="G8" i="38"/>
  <c r="H8" i="38"/>
  <c r="I8" i="38"/>
  <c r="J8" i="38"/>
  <c r="K8" i="38"/>
  <c r="L8" i="38"/>
  <c r="M8" i="38"/>
  <c r="N8" i="38"/>
  <c r="O8" i="38"/>
  <c r="P8" i="38"/>
  <c r="Q8" i="38"/>
  <c r="R8" i="38"/>
  <c r="S8" i="38"/>
  <c r="C4" i="38"/>
  <c r="M4" i="38"/>
  <c r="N4" i="38"/>
  <c r="O4" i="38"/>
  <c r="P4" i="38"/>
  <c r="Q4" i="38"/>
  <c r="R4" i="38"/>
  <c r="S4" i="38"/>
  <c r="A30" i="38" a="1"/>
  <c r="A30" i="38"/>
  <c r="D4" i="38"/>
  <c r="E4" i="38"/>
  <c r="F4" i="38"/>
  <c r="G4" i="38"/>
  <c r="H4" i="38"/>
  <c r="I4" i="38"/>
  <c r="J4" i="38"/>
  <c r="K4" i="38"/>
  <c r="L4" i="38"/>
  <c r="O69" i="3"/>
  <c r="O70" i="3"/>
  <c r="O71" i="3"/>
  <c r="O72" i="3"/>
  <c r="O73" i="3"/>
  <c r="O74" i="3"/>
  <c r="O75" i="3"/>
  <c r="O76" i="3"/>
  <c r="O80" i="3"/>
  <c r="O81" i="3"/>
  <c r="O82" i="3"/>
  <c r="O83" i="3"/>
  <c r="O86" i="3"/>
  <c r="O87" i="3"/>
  <c r="O90" i="3"/>
  <c r="O93" i="3"/>
  <c r="O97" i="3"/>
  <c r="O98" i="3"/>
  <c r="O99" i="3"/>
  <c r="O4" i="3"/>
  <c r="O5" i="3"/>
  <c r="O6" i="3"/>
  <c r="O7" i="3"/>
  <c r="O8" i="3"/>
  <c r="O9" i="3"/>
  <c r="O12" i="3"/>
  <c r="O13" i="3"/>
  <c r="O14" i="3"/>
  <c r="O15" i="3"/>
  <c r="O16" i="3"/>
  <c r="O17" i="3"/>
  <c r="O20" i="3"/>
  <c r="O21" i="3"/>
  <c r="O22" i="3"/>
  <c r="O23" i="3"/>
  <c r="O24" i="3"/>
  <c r="O25" i="3"/>
  <c r="O28" i="3"/>
  <c r="O29" i="3"/>
  <c r="O30" i="3"/>
  <c r="O31" i="3"/>
  <c r="O32" i="3"/>
  <c r="O33" i="3"/>
  <c r="O36" i="3"/>
  <c r="O37" i="3"/>
  <c r="O38" i="3"/>
  <c r="O39" i="3"/>
  <c r="O40" i="3"/>
  <c r="O41" i="3"/>
  <c r="O44" i="3"/>
  <c r="O45" i="3"/>
  <c r="O46" i="3"/>
  <c r="O47" i="3"/>
  <c r="O48" i="3"/>
  <c r="O49" i="3"/>
  <c r="O52" i="3"/>
  <c r="O53" i="3"/>
  <c r="O54" i="3"/>
  <c r="O55" i="3"/>
  <c r="O56" i="3"/>
  <c r="O57" i="3"/>
  <c r="O60" i="3"/>
  <c r="O61" i="3"/>
  <c r="O62" i="3"/>
  <c r="O63" i="3"/>
  <c r="O64" i="3"/>
  <c r="O65" i="3"/>
  <c r="O101" i="3"/>
  <c r="O102" i="3"/>
  <c r="O103" i="3"/>
  <c r="O105" i="3"/>
  <c r="O106" i="3"/>
  <c r="O107" i="3"/>
  <c r="O109" i="3"/>
  <c r="Q100" i="3"/>
  <c r="C3" i="32"/>
  <c r="C93" i="32"/>
  <c r="C90" i="32"/>
  <c r="C87" i="32"/>
  <c r="C86" i="32"/>
  <c r="C83" i="32"/>
  <c r="C82" i="32"/>
  <c r="C81" i="32"/>
  <c r="C80" i="32"/>
  <c r="C75" i="32"/>
  <c r="C74" i="32"/>
  <c r="C73" i="32"/>
  <c r="C72" i="32"/>
  <c r="C71" i="32"/>
  <c r="C70" i="32"/>
  <c r="C69" i="32"/>
  <c r="C68" i="32"/>
  <c r="C65" i="32"/>
  <c r="C64" i="32"/>
  <c r="C63" i="32"/>
  <c r="C62" i="32"/>
  <c r="C61" i="32"/>
  <c r="C60" i="32"/>
  <c r="C57" i="32"/>
  <c r="C56" i="32"/>
  <c r="C55" i="32"/>
  <c r="C54" i="32"/>
  <c r="C53" i="32"/>
  <c r="C52" i="32"/>
  <c r="C49" i="32"/>
  <c r="C48" i="32"/>
  <c r="C47" i="32"/>
  <c r="C46" i="32"/>
  <c r="C45" i="32"/>
  <c r="C44" i="32"/>
  <c r="C41" i="32"/>
  <c r="C40" i="32"/>
  <c r="C39" i="32"/>
  <c r="C38" i="32"/>
  <c r="C37" i="32"/>
  <c r="C36" i="32"/>
  <c r="C33" i="32"/>
  <c r="C32" i="32"/>
  <c r="C31" i="32"/>
  <c r="C30" i="32"/>
  <c r="C29" i="32"/>
  <c r="C28" i="32"/>
  <c r="C25" i="32"/>
  <c r="C24" i="32"/>
  <c r="C23" i="32"/>
  <c r="C22" i="32"/>
  <c r="C21" i="32"/>
  <c r="C20" i="32"/>
  <c r="C17" i="32"/>
  <c r="C16" i="32"/>
  <c r="C15" i="32"/>
  <c r="C14" i="32"/>
  <c r="C13" i="32"/>
  <c r="C12" i="32"/>
  <c r="C9" i="32"/>
  <c r="C8" i="32"/>
  <c r="C7" i="32"/>
  <c r="C6" i="32"/>
  <c r="C5" i="32"/>
  <c r="C4" i="32"/>
  <c r="G2" i="3"/>
  <c r="H36" i="32"/>
  <c r="H37" i="32"/>
  <c r="H38" i="32"/>
  <c r="H39" i="32"/>
  <c r="H40" i="32"/>
  <c r="H41" i="32"/>
  <c r="H42" i="32"/>
  <c r="H43" i="32"/>
  <c r="H44" i="32"/>
  <c r="H45" i="32"/>
  <c r="H46" i="32"/>
  <c r="H47" i="32"/>
  <c r="H48" i="32"/>
  <c r="H49" i="32"/>
  <c r="H50" i="32"/>
  <c r="H51" i="32"/>
  <c r="H52" i="32"/>
  <c r="H53" i="32"/>
  <c r="H54" i="32"/>
  <c r="H55" i="32"/>
  <c r="H56" i="32"/>
  <c r="H57" i="32"/>
  <c r="H58" i="32"/>
  <c r="H59" i="32"/>
  <c r="H60" i="32"/>
  <c r="H35" i="32"/>
  <c r="I9" i="6"/>
  <c r="J14" i="3"/>
  <c r="M13" i="3"/>
  <c r="J16" i="3"/>
  <c r="I17" i="6"/>
  <c r="M29" i="3"/>
  <c r="M30" i="3"/>
  <c r="J32" i="3"/>
  <c r="BV7" i="3"/>
  <c r="BV6" i="3"/>
  <c r="BU22" i="3"/>
  <c r="BU23" i="3"/>
  <c r="BV23" i="3"/>
  <c r="BU24" i="3"/>
  <c r="BV24" i="3"/>
  <c r="BU25" i="3"/>
  <c r="BV25" i="3"/>
  <c r="I33" i="6"/>
  <c r="I32" i="6"/>
  <c r="I31" i="6"/>
  <c r="I30" i="6"/>
  <c r="I29" i="6"/>
  <c r="I28" i="6"/>
  <c r="I27" i="6"/>
  <c r="I26" i="6"/>
  <c r="I25" i="6"/>
  <c r="I24" i="6"/>
  <c r="I23" i="6"/>
  <c r="I22" i="6"/>
  <c r="I21" i="6"/>
  <c r="I20" i="6"/>
  <c r="I19" i="6"/>
  <c r="I18" i="6"/>
  <c r="I16" i="6"/>
  <c r="I15" i="6"/>
  <c r="I14" i="6"/>
  <c r="I13" i="6"/>
  <c r="I12" i="6"/>
  <c r="I11" i="6"/>
  <c r="I10" i="6"/>
  <c r="I8" i="6"/>
  <c r="I7" i="6"/>
  <c r="I6" i="6"/>
  <c r="I5" i="6"/>
  <c r="I4" i="6"/>
  <c r="I3" i="6"/>
  <c r="I2" i="6"/>
  <c r="G93" i="3"/>
  <c r="G90" i="3"/>
  <c r="G87" i="3"/>
  <c r="G86" i="3"/>
  <c r="G83" i="3"/>
  <c r="G82" i="3"/>
  <c r="G81" i="3"/>
  <c r="G80" i="3"/>
  <c r="G76" i="3"/>
  <c r="G75" i="3"/>
  <c r="G74" i="3"/>
  <c r="G73" i="3"/>
  <c r="G72" i="3"/>
  <c r="G71" i="3"/>
  <c r="G70" i="3"/>
  <c r="G69" i="3"/>
  <c r="G65" i="3"/>
  <c r="G64" i="3"/>
  <c r="G63" i="3"/>
  <c r="G62" i="3"/>
  <c r="G61" i="3"/>
  <c r="G60" i="3"/>
  <c r="G57" i="3"/>
  <c r="G56" i="3"/>
  <c r="G55" i="3"/>
  <c r="G54" i="3"/>
  <c r="G53" i="3"/>
  <c r="G52" i="3"/>
  <c r="G49" i="3"/>
  <c r="G48" i="3"/>
  <c r="G47" i="3"/>
  <c r="G46" i="3"/>
  <c r="G45" i="3"/>
  <c r="G44" i="3"/>
  <c r="G41" i="3"/>
  <c r="G40" i="3"/>
  <c r="G39" i="3"/>
  <c r="G38" i="3"/>
  <c r="G37" i="3"/>
  <c r="G36" i="3"/>
  <c r="G33" i="3"/>
  <c r="G32" i="3"/>
  <c r="G31" i="3"/>
  <c r="G30" i="3"/>
  <c r="G29" i="3"/>
  <c r="G28" i="3"/>
  <c r="G25" i="3"/>
  <c r="G24" i="3"/>
  <c r="G23" i="3"/>
  <c r="G22" i="3"/>
  <c r="G21" i="3"/>
  <c r="G20" i="3"/>
  <c r="G17" i="3"/>
  <c r="G16" i="3"/>
  <c r="G15" i="3"/>
  <c r="G14" i="3"/>
  <c r="G13" i="3"/>
  <c r="G12" i="3"/>
  <c r="G9" i="3"/>
  <c r="G8" i="3"/>
  <c r="G7" i="3"/>
  <c r="G6" i="3"/>
  <c r="G5" i="3"/>
  <c r="G4" i="3"/>
  <c r="F93" i="3"/>
  <c r="F90" i="3"/>
  <c r="F87" i="3"/>
  <c r="F86" i="3"/>
  <c r="F83" i="3"/>
  <c r="F82" i="3"/>
  <c r="F81" i="3"/>
  <c r="F80" i="3"/>
  <c r="F76" i="3"/>
  <c r="F75" i="3"/>
  <c r="F74" i="3"/>
  <c r="F73" i="3"/>
  <c r="F72" i="3"/>
  <c r="F71" i="3"/>
  <c r="F70" i="3"/>
  <c r="F69" i="3"/>
  <c r="F65" i="3"/>
  <c r="F64" i="3"/>
  <c r="F63" i="3"/>
  <c r="F62" i="3"/>
  <c r="F61" i="3"/>
  <c r="F60" i="3"/>
  <c r="F57" i="3"/>
  <c r="F56" i="3"/>
  <c r="F55" i="3"/>
  <c r="F54" i="3"/>
  <c r="F53" i="3"/>
  <c r="F52" i="3"/>
  <c r="F49" i="3"/>
  <c r="F48" i="3"/>
  <c r="F47" i="3"/>
  <c r="F46" i="3"/>
  <c r="F45" i="3"/>
  <c r="F44" i="3"/>
  <c r="F41" i="3"/>
  <c r="F40" i="3"/>
  <c r="F39" i="3"/>
  <c r="F38" i="3"/>
  <c r="F37" i="3"/>
  <c r="F36" i="3"/>
  <c r="F33" i="3"/>
  <c r="F32" i="3"/>
  <c r="F31" i="3"/>
  <c r="F30" i="3"/>
  <c r="F29" i="3"/>
  <c r="F28" i="3"/>
  <c r="F25" i="3"/>
  <c r="F24" i="3"/>
  <c r="F23" i="3"/>
  <c r="F22" i="3"/>
  <c r="F21" i="3"/>
  <c r="F20" i="3"/>
  <c r="F17" i="3"/>
  <c r="F16" i="3"/>
  <c r="F15" i="3"/>
  <c r="F14" i="3"/>
  <c r="F13" i="3"/>
  <c r="F12" i="3"/>
  <c r="F9" i="3"/>
  <c r="F8" i="3"/>
  <c r="F7" i="3"/>
  <c r="F6" i="3"/>
  <c r="F5" i="3"/>
  <c r="F4" i="3"/>
  <c r="H32" i="32"/>
  <c r="H31" i="32"/>
  <c r="H30" i="32"/>
  <c r="H29" i="32"/>
  <c r="H28" i="32"/>
  <c r="H27" i="32"/>
  <c r="H26" i="32"/>
  <c r="H25" i="32"/>
  <c r="H24" i="32"/>
  <c r="H23" i="32"/>
  <c r="H22" i="32"/>
  <c r="H21" i="32"/>
  <c r="H20" i="32"/>
  <c r="H19" i="32"/>
  <c r="H18" i="32"/>
  <c r="H17" i="32"/>
  <c r="H16" i="32"/>
  <c r="H15" i="32"/>
  <c r="H14" i="32"/>
  <c r="H13" i="32"/>
  <c r="H12" i="32"/>
  <c r="H11" i="32"/>
  <c r="H10" i="32"/>
  <c r="H9" i="32"/>
  <c r="H8" i="32"/>
  <c r="H7" i="32"/>
  <c r="H6" i="32"/>
  <c r="H5" i="32"/>
  <c r="AX26" i="35"/>
  <c r="AX27" i="35"/>
  <c r="AX28" i="35"/>
  <c r="AX19" i="35"/>
  <c r="AX20" i="35"/>
  <c r="AX21" i="35"/>
  <c r="AX12" i="35"/>
  <c r="AX13" i="35"/>
  <c r="AX14" i="35"/>
  <c r="AX5" i="35"/>
  <c r="AX6" i="35"/>
  <c r="AX7" i="35"/>
  <c r="AX25" i="35"/>
  <c r="AX18" i="35"/>
  <c r="AX11" i="35"/>
  <c r="AX4" i="35"/>
  <c r="J26" i="35"/>
  <c r="J27" i="35"/>
  <c r="J28" i="35"/>
  <c r="J19" i="35"/>
  <c r="J20" i="35"/>
  <c r="J21" i="35"/>
  <c r="J12" i="35"/>
  <c r="J13" i="35"/>
  <c r="J14" i="35"/>
  <c r="J5" i="35"/>
  <c r="J6" i="35"/>
  <c r="J7" i="35"/>
  <c r="J25" i="35"/>
  <c r="J18" i="35"/>
  <c r="J11" i="35"/>
  <c r="Z14" i="3"/>
  <c r="J4" i="35"/>
  <c r="AL26" i="35"/>
  <c r="AL25" i="35"/>
  <c r="AL20" i="35"/>
  <c r="AL19" i="35"/>
  <c r="AL12" i="35"/>
  <c r="AL11" i="35"/>
  <c r="AL6" i="35"/>
  <c r="AL5" i="35"/>
  <c r="AH23" i="35"/>
  <c r="AH22" i="35"/>
  <c r="AH9" i="35"/>
  <c r="AH8" i="35"/>
  <c r="AD16" i="35"/>
  <c r="AD15" i="35"/>
  <c r="AB21" i="35"/>
  <c r="AB20" i="35"/>
  <c r="AB11" i="35"/>
  <c r="AB10" i="35"/>
  <c r="X16" i="35"/>
  <c r="X15" i="35"/>
  <c r="T23" i="35"/>
  <c r="T22" i="35"/>
  <c r="T9" i="35"/>
  <c r="T8" i="35"/>
  <c r="P26" i="35"/>
  <c r="P25" i="35"/>
  <c r="P20" i="35"/>
  <c r="P19" i="35"/>
  <c r="P12" i="35"/>
  <c r="P11" i="35"/>
  <c r="P6" i="35"/>
  <c r="P5" i="35"/>
  <c r="AA11" i="35"/>
  <c r="BV22" i="3"/>
  <c r="BU30" i="3"/>
  <c r="BV30" i="3"/>
  <c r="BU31" i="3"/>
  <c r="BV31" i="3"/>
  <c r="BU32" i="3"/>
  <c r="BV32" i="3"/>
  <c r="BU33" i="3"/>
  <c r="BV33" i="3"/>
  <c r="BU14" i="3"/>
  <c r="BV14" i="3"/>
  <c r="BU15" i="3"/>
  <c r="BV15" i="3"/>
  <c r="BU16" i="3"/>
  <c r="BV16" i="3"/>
  <c r="BU17" i="3"/>
  <c r="BV17" i="3"/>
  <c r="AF15" i="35"/>
  <c r="BU54" i="3"/>
  <c r="BV54" i="3"/>
  <c r="BU55" i="3"/>
  <c r="BV55" i="3"/>
  <c r="BU56" i="3"/>
  <c r="BV56" i="3"/>
  <c r="BU57" i="3"/>
  <c r="BV57" i="3"/>
  <c r="BU62" i="3"/>
  <c r="BV62" i="3"/>
  <c r="BU63" i="3"/>
  <c r="BV63" i="3"/>
  <c r="BU64" i="3"/>
  <c r="BV64" i="3"/>
  <c r="BU65" i="3"/>
  <c r="BV65" i="3"/>
  <c r="BU46" i="3"/>
  <c r="BV46" i="3"/>
  <c r="BU47" i="3"/>
  <c r="BV47" i="3"/>
  <c r="BU48" i="3"/>
  <c r="BV48" i="3"/>
  <c r="BU49" i="3"/>
  <c r="BV49" i="3"/>
  <c r="AF16" i="35"/>
  <c r="AJ23" i="35"/>
  <c r="BU38" i="3"/>
  <c r="BV38" i="3"/>
  <c r="BU39" i="3"/>
  <c r="BV39" i="3"/>
  <c r="BU40" i="3"/>
  <c r="BV40" i="3"/>
  <c r="BU41" i="3"/>
  <c r="BV41" i="3"/>
  <c r="AJ22" i="35"/>
  <c r="AJ9" i="35"/>
  <c r="AJ8" i="35"/>
  <c r="AN26" i="35"/>
  <c r="AN25" i="35"/>
  <c r="AN20" i="35"/>
  <c r="AN19" i="35"/>
  <c r="AN12" i="35"/>
  <c r="AN11" i="35"/>
  <c r="AN6" i="35"/>
  <c r="AN5" i="35"/>
  <c r="AB25" i="35"/>
  <c r="Z24" i="35"/>
  <c r="AA23" i="35"/>
  <c r="AQ17" i="35"/>
  <c r="AQ18" i="35"/>
  <c r="AQ19" i="35"/>
  <c r="AQ20" i="35"/>
  <c r="AQ21" i="35"/>
  <c r="AQ22" i="35"/>
  <c r="AQ24" i="35"/>
  <c r="AQ25" i="35"/>
  <c r="AQ26" i="35"/>
  <c r="AQ27" i="35"/>
  <c r="AQ28" i="35"/>
  <c r="AQ29" i="35"/>
  <c r="AM26" i="35"/>
  <c r="AM20" i="35"/>
  <c r="AM12" i="35"/>
  <c r="AM6" i="35"/>
  <c r="AI23" i="35"/>
  <c r="AI9" i="35"/>
  <c r="AE16" i="35"/>
  <c r="AA21" i="35"/>
  <c r="W16" i="35"/>
  <c r="S23" i="35"/>
  <c r="S9" i="35"/>
  <c r="O26" i="35"/>
  <c r="O20" i="35"/>
  <c r="O12" i="35"/>
  <c r="AM25" i="35"/>
  <c r="AM19" i="35"/>
  <c r="AM11" i="35"/>
  <c r="AM5" i="35"/>
  <c r="AI22" i="35"/>
  <c r="AI8" i="35"/>
  <c r="AE15" i="35"/>
  <c r="AA20" i="35"/>
  <c r="AA10" i="35"/>
  <c r="W15" i="35"/>
  <c r="S22" i="35"/>
  <c r="S8" i="35"/>
  <c r="O25" i="35"/>
  <c r="O19" i="35"/>
  <c r="O11" i="35"/>
  <c r="Z21" i="35"/>
  <c r="Z11" i="35"/>
  <c r="Z10" i="35"/>
  <c r="V16" i="35"/>
  <c r="R23" i="35"/>
  <c r="R9" i="35"/>
  <c r="Z20" i="35"/>
  <c r="V15" i="35"/>
  <c r="R22" i="35"/>
  <c r="R8" i="35"/>
  <c r="N26" i="35"/>
  <c r="N20" i="35"/>
  <c r="N12" i="35"/>
  <c r="N25" i="35"/>
  <c r="N19" i="35"/>
  <c r="N11" i="35"/>
  <c r="N6" i="35"/>
  <c r="N5" i="35"/>
  <c r="O6" i="35"/>
  <c r="O5" i="35"/>
  <c r="H11" i="35"/>
  <c r="H12" i="35"/>
  <c r="H13" i="35"/>
  <c r="H14" i="35"/>
  <c r="S15" i="3"/>
  <c r="I12" i="35"/>
  <c r="Z15" i="3"/>
  <c r="K12" i="35"/>
  <c r="X15" i="3"/>
  <c r="L12" i="35"/>
  <c r="H19" i="35"/>
  <c r="S23" i="3"/>
  <c r="I19" i="35"/>
  <c r="Z23" i="3"/>
  <c r="K19" i="35"/>
  <c r="X23" i="3"/>
  <c r="L19" i="35"/>
  <c r="H26" i="35"/>
  <c r="S31" i="3"/>
  <c r="I26" i="35"/>
  <c r="Z31" i="3"/>
  <c r="K26" i="35"/>
  <c r="X31" i="3"/>
  <c r="L26" i="35"/>
  <c r="AV5" i="35"/>
  <c r="S39" i="3"/>
  <c r="AW5" i="35"/>
  <c r="Z39" i="3"/>
  <c r="AY5" i="35"/>
  <c r="X39" i="3"/>
  <c r="AZ5" i="35"/>
  <c r="AV12" i="35"/>
  <c r="S47" i="3"/>
  <c r="AW12" i="35"/>
  <c r="Z47" i="3"/>
  <c r="AY12" i="35"/>
  <c r="X47" i="3"/>
  <c r="AZ12" i="35"/>
  <c r="AV19" i="35"/>
  <c r="S55" i="3"/>
  <c r="AW19" i="35"/>
  <c r="Z55" i="3"/>
  <c r="AY19" i="35"/>
  <c r="X55" i="3"/>
  <c r="AZ19" i="35"/>
  <c r="AV26" i="35"/>
  <c r="S63" i="3"/>
  <c r="AW26" i="35"/>
  <c r="Z63" i="3"/>
  <c r="AY26" i="35"/>
  <c r="X63" i="3"/>
  <c r="AZ26" i="35"/>
  <c r="S16" i="3"/>
  <c r="I13" i="35"/>
  <c r="Z16" i="3"/>
  <c r="K13" i="35"/>
  <c r="X16" i="3"/>
  <c r="L13" i="35"/>
  <c r="H20" i="35"/>
  <c r="S24" i="3"/>
  <c r="I20" i="35"/>
  <c r="Z24" i="3"/>
  <c r="K20" i="35"/>
  <c r="X24" i="3"/>
  <c r="L20" i="35"/>
  <c r="H27" i="35"/>
  <c r="S32" i="3"/>
  <c r="I27" i="35"/>
  <c r="Z32" i="3"/>
  <c r="K27" i="35"/>
  <c r="X32" i="3"/>
  <c r="L27" i="35"/>
  <c r="AV6" i="35"/>
  <c r="S40" i="3"/>
  <c r="AW6" i="35"/>
  <c r="Z40" i="3"/>
  <c r="AY6" i="35"/>
  <c r="X40" i="3"/>
  <c r="AZ6" i="35"/>
  <c r="AV13" i="35"/>
  <c r="S48" i="3"/>
  <c r="AW13" i="35"/>
  <c r="Z48" i="3"/>
  <c r="AY13" i="35"/>
  <c r="X48" i="3"/>
  <c r="AZ13" i="35"/>
  <c r="AV20" i="35"/>
  <c r="S56" i="3"/>
  <c r="AW20" i="35"/>
  <c r="Z56" i="3"/>
  <c r="AY20" i="35"/>
  <c r="X56" i="3"/>
  <c r="AZ20" i="35"/>
  <c r="AV27" i="35"/>
  <c r="S64" i="3"/>
  <c r="AW27" i="35"/>
  <c r="Z64" i="3"/>
  <c r="AY27" i="35"/>
  <c r="X64" i="3"/>
  <c r="AZ27" i="35"/>
  <c r="S17" i="3"/>
  <c r="I14" i="35"/>
  <c r="Z17" i="3"/>
  <c r="K14" i="35"/>
  <c r="X17" i="3"/>
  <c r="L14" i="35"/>
  <c r="H21" i="35"/>
  <c r="S25" i="3"/>
  <c r="I21" i="35"/>
  <c r="Z25" i="3"/>
  <c r="K21" i="35"/>
  <c r="X25" i="3"/>
  <c r="L21" i="35"/>
  <c r="H28" i="35"/>
  <c r="S33" i="3"/>
  <c r="I28" i="35"/>
  <c r="Z33" i="3"/>
  <c r="K28" i="35"/>
  <c r="X33" i="3"/>
  <c r="L28" i="35"/>
  <c r="AV7" i="35"/>
  <c r="S41" i="3"/>
  <c r="AW7" i="35"/>
  <c r="Z41" i="3"/>
  <c r="AY7" i="35"/>
  <c r="X41" i="3"/>
  <c r="AZ7" i="35"/>
  <c r="AV14" i="35"/>
  <c r="S49" i="3"/>
  <c r="AW14" i="35"/>
  <c r="Z49" i="3"/>
  <c r="AY14" i="35"/>
  <c r="X49" i="3"/>
  <c r="AZ14" i="35"/>
  <c r="AV21" i="35"/>
  <c r="S57" i="3"/>
  <c r="AW21" i="35"/>
  <c r="Z57" i="3"/>
  <c r="AY21" i="35"/>
  <c r="X57" i="3"/>
  <c r="AZ21" i="35"/>
  <c r="AV28" i="35"/>
  <c r="S65" i="3"/>
  <c r="AW28" i="35"/>
  <c r="Z65" i="3"/>
  <c r="AY28" i="35"/>
  <c r="X65" i="3"/>
  <c r="AZ28" i="35"/>
  <c r="X62" i="3"/>
  <c r="AZ25" i="35"/>
  <c r="X54" i="3"/>
  <c r="AZ18" i="35"/>
  <c r="X46" i="3"/>
  <c r="AZ11" i="35"/>
  <c r="X38" i="3"/>
  <c r="AZ4" i="35"/>
  <c r="X30" i="3"/>
  <c r="L25" i="35"/>
  <c r="X22" i="3"/>
  <c r="L18" i="35"/>
  <c r="X14" i="3"/>
  <c r="L11" i="35"/>
  <c r="Z62" i="3"/>
  <c r="AY25" i="35"/>
  <c r="Z54" i="3"/>
  <c r="AY18" i="35"/>
  <c r="Z46" i="3"/>
  <c r="AY11" i="35"/>
  <c r="Z38" i="3"/>
  <c r="AY4" i="35"/>
  <c r="Z30" i="3"/>
  <c r="K25" i="35"/>
  <c r="Z22" i="3"/>
  <c r="K18" i="35"/>
  <c r="K11" i="35"/>
  <c r="S62" i="3"/>
  <c r="AW25" i="35"/>
  <c r="S54" i="3"/>
  <c r="AW18" i="35"/>
  <c r="S46" i="3"/>
  <c r="AW11" i="35"/>
  <c r="S38" i="3"/>
  <c r="AW4" i="35"/>
  <c r="S30" i="3"/>
  <c r="I25" i="35"/>
  <c r="S22" i="3"/>
  <c r="I18" i="35"/>
  <c r="S14" i="3"/>
  <c r="I11" i="35"/>
  <c r="AV25" i="35"/>
  <c r="AV18" i="35"/>
  <c r="AV11" i="35"/>
  <c r="AV4" i="35"/>
  <c r="H25" i="35"/>
  <c r="H18" i="35"/>
  <c r="H5" i="35"/>
  <c r="S7" i="3"/>
  <c r="I5" i="35"/>
  <c r="Z7" i="3"/>
  <c r="K5" i="35"/>
  <c r="X7" i="3"/>
  <c r="L5" i="35"/>
  <c r="H6" i="35"/>
  <c r="S8" i="3"/>
  <c r="I6" i="35"/>
  <c r="Z8" i="3"/>
  <c r="K6" i="35"/>
  <c r="X8" i="3"/>
  <c r="L6" i="35"/>
  <c r="H7" i="35"/>
  <c r="S9" i="3"/>
  <c r="I7" i="35"/>
  <c r="Z9" i="3"/>
  <c r="K7" i="35"/>
  <c r="X9" i="3"/>
  <c r="L7" i="35"/>
  <c r="X6" i="3"/>
  <c r="L4" i="35"/>
  <c r="Z6" i="3"/>
  <c r="K4" i="35"/>
  <c r="S6" i="3"/>
  <c r="I4" i="35"/>
  <c r="H4" i="35"/>
  <c r="AQ11" i="35"/>
  <c r="AR11" i="35"/>
  <c r="AS11" i="35"/>
  <c r="AT11" i="35"/>
  <c r="AR18" i="35"/>
  <c r="AS18" i="35"/>
  <c r="AT18" i="35"/>
  <c r="AR25" i="35"/>
  <c r="AS25" i="35"/>
  <c r="AT25" i="35"/>
  <c r="AQ12" i="35"/>
  <c r="AR12" i="35"/>
  <c r="AS12" i="35"/>
  <c r="AT12" i="35"/>
  <c r="AR19" i="35"/>
  <c r="AS19" i="35"/>
  <c r="AT19" i="35"/>
  <c r="AR26" i="35"/>
  <c r="AS26" i="35"/>
  <c r="AT26" i="35"/>
  <c r="AQ13" i="35"/>
  <c r="AR13" i="35"/>
  <c r="AS13" i="35"/>
  <c r="AT13" i="35"/>
  <c r="AR20" i="35"/>
  <c r="AS20" i="35"/>
  <c r="AT20" i="35"/>
  <c r="AR27" i="35"/>
  <c r="AS27" i="35"/>
  <c r="AT27" i="35"/>
  <c r="AQ14" i="35"/>
  <c r="AR14" i="35"/>
  <c r="AS14" i="35"/>
  <c r="AT14" i="35"/>
  <c r="AR21" i="35"/>
  <c r="AS21" i="35"/>
  <c r="AT21" i="35"/>
  <c r="AR28" i="35"/>
  <c r="AS28" i="35"/>
  <c r="AT28" i="35"/>
  <c r="AQ15" i="35"/>
  <c r="AR15" i="35"/>
  <c r="AS15" i="35"/>
  <c r="AT15" i="35"/>
  <c r="AR22" i="35"/>
  <c r="AS22" i="35"/>
  <c r="AT22" i="35"/>
  <c r="AR29" i="35"/>
  <c r="AS29" i="35"/>
  <c r="AT29" i="35"/>
  <c r="AT24" i="35"/>
  <c r="AT17" i="35"/>
  <c r="AT10" i="35"/>
  <c r="AS24" i="35"/>
  <c r="AS17" i="35"/>
  <c r="AS10" i="35"/>
  <c r="AR24" i="35"/>
  <c r="AR17" i="35"/>
  <c r="AR10" i="35"/>
  <c r="AQ10" i="35"/>
  <c r="AQ4" i="35"/>
  <c r="AR4" i="35"/>
  <c r="AS4" i="35"/>
  <c r="AT4" i="35"/>
  <c r="AQ5" i="35"/>
  <c r="AR5" i="35"/>
  <c r="AS5" i="35"/>
  <c r="AT5" i="35"/>
  <c r="AQ6" i="35"/>
  <c r="AR6" i="35"/>
  <c r="AS6" i="35"/>
  <c r="AT6" i="35"/>
  <c r="AQ7" i="35"/>
  <c r="AR7" i="35"/>
  <c r="AS7" i="35"/>
  <c r="AT7" i="35"/>
  <c r="AQ8" i="35"/>
  <c r="AR8" i="35"/>
  <c r="AS8" i="35"/>
  <c r="AT8" i="35"/>
  <c r="AQ3" i="35"/>
  <c r="AT3" i="35"/>
  <c r="AS3" i="35"/>
  <c r="AR3" i="35"/>
  <c r="D25" i="35"/>
  <c r="E25" i="35"/>
  <c r="F25" i="35"/>
  <c r="D26" i="35"/>
  <c r="E26" i="35"/>
  <c r="F26" i="35"/>
  <c r="D27" i="35"/>
  <c r="E27" i="35"/>
  <c r="F27" i="35"/>
  <c r="D28" i="35"/>
  <c r="E28" i="35"/>
  <c r="F28" i="35"/>
  <c r="D29" i="35"/>
  <c r="E29" i="35"/>
  <c r="F29" i="35"/>
  <c r="F24" i="35"/>
  <c r="E24" i="35"/>
  <c r="D24" i="35"/>
  <c r="C25" i="35"/>
  <c r="C26" i="35"/>
  <c r="C27" i="35"/>
  <c r="C28" i="35"/>
  <c r="C29" i="35"/>
  <c r="C24" i="35"/>
  <c r="C18" i="35"/>
  <c r="D18" i="35"/>
  <c r="E18" i="35"/>
  <c r="F18" i="35"/>
  <c r="C19" i="35"/>
  <c r="D19" i="35"/>
  <c r="E19" i="35"/>
  <c r="F19" i="35"/>
  <c r="C20" i="35"/>
  <c r="D20" i="35"/>
  <c r="E20" i="35"/>
  <c r="F20" i="35"/>
  <c r="C21" i="35"/>
  <c r="D21" i="35"/>
  <c r="E21" i="35"/>
  <c r="F21" i="35"/>
  <c r="C22" i="35"/>
  <c r="D22" i="35"/>
  <c r="E22" i="35"/>
  <c r="F22" i="35"/>
  <c r="E17" i="35"/>
  <c r="D17" i="35"/>
  <c r="F17" i="35"/>
  <c r="C17" i="35"/>
  <c r="D11" i="35"/>
  <c r="E11" i="35"/>
  <c r="F11" i="35"/>
  <c r="D12" i="35"/>
  <c r="E12" i="35"/>
  <c r="F12" i="35"/>
  <c r="D13" i="35"/>
  <c r="E13" i="35"/>
  <c r="F13" i="35"/>
  <c r="D14" i="35"/>
  <c r="E14" i="35"/>
  <c r="F14" i="35"/>
  <c r="D15" i="35"/>
  <c r="E15" i="35"/>
  <c r="F15" i="35"/>
  <c r="F10" i="35"/>
  <c r="E10" i="35"/>
  <c r="D10" i="35"/>
  <c r="C11" i="35"/>
  <c r="C12" i="35"/>
  <c r="C13" i="35"/>
  <c r="C14" i="35"/>
  <c r="C15" i="35"/>
  <c r="C10" i="35"/>
  <c r="D4" i="35"/>
  <c r="E4" i="35"/>
  <c r="D5" i="35"/>
  <c r="E5" i="35"/>
  <c r="D6" i="35"/>
  <c r="E6" i="35"/>
  <c r="D7" i="35"/>
  <c r="E7" i="35"/>
  <c r="D8" i="35"/>
  <c r="E8" i="35"/>
  <c r="F4" i="35"/>
  <c r="F5" i="35"/>
  <c r="F6" i="35"/>
  <c r="F7" i="35"/>
  <c r="F8" i="35"/>
  <c r="F3" i="35"/>
  <c r="E3" i="35"/>
  <c r="D3" i="35"/>
  <c r="C4" i="35"/>
  <c r="C5" i="35"/>
  <c r="C6" i="35"/>
  <c r="C7" i="35"/>
  <c r="C8" i="35"/>
  <c r="C3" i="35"/>
  <c r="J4" i="3"/>
  <c r="J65" i="3"/>
  <c r="J62" i="3"/>
  <c r="J63" i="3"/>
  <c r="J64" i="3"/>
  <c r="J61" i="3"/>
  <c r="J60" i="3"/>
  <c r="M65" i="3"/>
  <c r="M62" i="3"/>
  <c r="M63" i="3"/>
  <c r="M64" i="3"/>
  <c r="M61" i="3"/>
  <c r="M60" i="3"/>
  <c r="M57" i="3"/>
  <c r="M54" i="3"/>
  <c r="M55" i="3"/>
  <c r="M56" i="3"/>
  <c r="M53" i="3"/>
  <c r="M52" i="3"/>
  <c r="M49" i="3"/>
  <c r="M47" i="3"/>
  <c r="M48" i="3"/>
  <c r="M46" i="3"/>
  <c r="M45" i="3"/>
  <c r="M44" i="3"/>
  <c r="M41" i="3"/>
  <c r="M38" i="3"/>
  <c r="M39" i="3"/>
  <c r="M40" i="3"/>
  <c r="M37" i="3"/>
  <c r="M36" i="3"/>
  <c r="M33" i="3"/>
  <c r="M31" i="3"/>
  <c r="M32" i="3"/>
  <c r="M28" i="3"/>
  <c r="M25" i="3"/>
  <c r="M22" i="3"/>
  <c r="M23" i="3"/>
  <c r="M24" i="3"/>
  <c r="M21" i="3"/>
  <c r="M20" i="3"/>
  <c r="M17" i="3"/>
  <c r="M14" i="3"/>
  <c r="M15" i="3"/>
  <c r="M16" i="3"/>
  <c r="M12" i="3"/>
  <c r="M9" i="3"/>
  <c r="M6" i="3"/>
  <c r="M7" i="3"/>
  <c r="M8" i="3"/>
  <c r="M5" i="3"/>
  <c r="M4" i="3"/>
  <c r="J57" i="3"/>
  <c r="J54" i="3"/>
  <c r="J55" i="3"/>
  <c r="J56" i="3"/>
  <c r="J53" i="3"/>
  <c r="J52" i="3"/>
  <c r="J49" i="3"/>
  <c r="J46" i="3"/>
  <c r="J47" i="3"/>
  <c r="J48" i="3"/>
  <c r="J45" i="3"/>
  <c r="J44" i="3"/>
  <c r="J41" i="3"/>
  <c r="J38" i="3"/>
  <c r="J39" i="3"/>
  <c r="J40" i="3"/>
  <c r="J37" i="3"/>
  <c r="J36" i="3"/>
  <c r="J33" i="3"/>
  <c r="J30" i="3"/>
  <c r="J31" i="3"/>
  <c r="J29" i="3"/>
  <c r="J28" i="3"/>
  <c r="J25" i="3"/>
  <c r="J22" i="3"/>
  <c r="J23" i="3"/>
  <c r="J24" i="3"/>
  <c r="J21" i="3"/>
  <c r="J20" i="3"/>
  <c r="J17" i="3"/>
  <c r="J15" i="3"/>
  <c r="J13" i="3"/>
  <c r="J12" i="3"/>
  <c r="J9" i="3"/>
  <c r="J6" i="3"/>
  <c r="J7" i="3"/>
  <c r="J8" i="3"/>
  <c r="J5" i="3"/>
  <c r="Q97" i="3"/>
  <c r="G92" i="3"/>
  <c r="F92" i="3"/>
  <c r="CB65" i="3"/>
  <c r="CC65" i="3"/>
  <c r="CB63" i="3"/>
  <c r="CC63" i="3"/>
  <c r="CB64" i="3"/>
  <c r="CC64" i="3"/>
  <c r="CY65" i="3" a="1"/>
  <c r="CY65" i="3"/>
  <c r="CB62" i="3"/>
  <c r="CC62" i="3"/>
  <c r="CD65" i="3"/>
  <c r="CD63" i="3"/>
  <c r="CD64" i="3"/>
  <c r="CW65" i="3" a="1"/>
  <c r="CW65" i="3"/>
  <c r="CD62" i="3"/>
  <c r="CV65" i="3" a="1"/>
  <c r="CV65" i="3"/>
  <c r="CS65" i="3" a="1"/>
  <c r="CS65" i="3"/>
  <c r="CR65" i="3" a="1"/>
  <c r="CR65" i="3"/>
  <c r="CQ65" i="3" a="1"/>
  <c r="CQ65" i="3"/>
  <c r="CP65" i="3" a="1"/>
  <c r="CP65" i="3"/>
  <c r="CO65" i="3" a="1"/>
  <c r="CO65" i="3"/>
  <c r="CN65" i="3" a="1"/>
  <c r="CN65" i="3"/>
  <c r="CM65" i="3" a="1"/>
  <c r="CM65" i="3"/>
  <c r="CF65" i="3"/>
  <c r="CE65" i="3"/>
  <c r="AF65" i="3"/>
  <c r="Y65" i="3"/>
  <c r="W65" i="3"/>
  <c r="V65" i="3"/>
  <c r="U65" i="3"/>
  <c r="CE64" i="3"/>
  <c r="CF62" i="3"/>
  <c r="CF64" i="3"/>
  <c r="CE62" i="3"/>
  <c r="CE63" i="3"/>
  <c r="CF63" i="3"/>
  <c r="DG64" i="3" a="1"/>
  <c r="DG64" i="3"/>
  <c r="DF64" i="3" a="1"/>
  <c r="DF64" i="3"/>
  <c r="DE64" i="3" a="1"/>
  <c r="DE64" i="3"/>
  <c r="DD64" i="3" a="1"/>
  <c r="DD64" i="3"/>
  <c r="DC64" i="3" a="1"/>
  <c r="DC64" i="3"/>
  <c r="DB64" i="3" a="1"/>
  <c r="DB64" i="3"/>
  <c r="DA64" i="3" a="1"/>
  <c r="DA64" i="3"/>
  <c r="CZ64" i="3" a="1"/>
  <c r="CZ64" i="3"/>
  <c r="CY64" i="3" a="1"/>
  <c r="CY64" i="3"/>
  <c r="CX64" i="3" a="1"/>
  <c r="CX64" i="3"/>
  <c r="CW64" i="3" a="1"/>
  <c r="CW64" i="3"/>
  <c r="CU64" i="3" a="1"/>
  <c r="CU64" i="3"/>
  <c r="CT64" i="3" a="1"/>
  <c r="CT64" i="3"/>
  <c r="CS64" i="3" a="1"/>
  <c r="CS64" i="3"/>
  <c r="CR64" i="3" a="1"/>
  <c r="CR64" i="3"/>
  <c r="CQ64" i="3" a="1"/>
  <c r="CQ64" i="3"/>
  <c r="CP64" i="3" a="1"/>
  <c r="CP64" i="3"/>
  <c r="CO64" i="3" a="1"/>
  <c r="CO64" i="3"/>
  <c r="CN64" i="3" a="1"/>
  <c r="CN64" i="3"/>
  <c r="CM64" i="3" a="1"/>
  <c r="CM64" i="3"/>
  <c r="CL64" i="3" a="1"/>
  <c r="CL64" i="3"/>
  <c r="AF64" i="3"/>
  <c r="Y64" i="3"/>
  <c r="W64" i="3"/>
  <c r="V64" i="3"/>
  <c r="U64" i="3"/>
  <c r="DG63" i="3" a="1"/>
  <c r="DG63" i="3"/>
  <c r="DF63" i="3" a="1"/>
  <c r="DF63" i="3"/>
  <c r="DE63" i="3" a="1"/>
  <c r="DE63" i="3"/>
  <c r="DD63" i="3" a="1"/>
  <c r="DD63" i="3"/>
  <c r="DC63" i="3" a="1"/>
  <c r="DC63" i="3"/>
  <c r="DB63" i="3" a="1"/>
  <c r="DB63" i="3"/>
  <c r="DA63" i="3" a="1"/>
  <c r="DA63" i="3"/>
  <c r="CZ63" i="3" a="1"/>
  <c r="CZ63" i="3"/>
  <c r="CY63" i="3" a="1"/>
  <c r="CY63" i="3"/>
  <c r="CX63" i="3" a="1"/>
  <c r="CX63" i="3"/>
  <c r="CW63" i="3" a="1"/>
  <c r="CW63" i="3"/>
  <c r="CU63" i="3" a="1"/>
  <c r="CU63" i="3"/>
  <c r="CT63" i="3" a="1"/>
  <c r="CT63" i="3"/>
  <c r="CQ63" i="3" a="1"/>
  <c r="CQ63" i="3"/>
  <c r="CP63" i="3" a="1"/>
  <c r="CP63" i="3"/>
  <c r="CM63" i="3" a="1"/>
  <c r="CM63" i="3"/>
  <c r="CL63" i="3" a="1"/>
  <c r="CL63" i="3"/>
  <c r="AF63" i="3"/>
  <c r="Y63" i="3"/>
  <c r="W63" i="3"/>
  <c r="V63" i="3"/>
  <c r="U63" i="3"/>
  <c r="DG62" i="3" a="1"/>
  <c r="DG62" i="3"/>
  <c r="DF62" i="3" a="1"/>
  <c r="DF62" i="3"/>
  <c r="DE62" i="3" a="1"/>
  <c r="DE62" i="3"/>
  <c r="DD62" i="3" a="1"/>
  <c r="DD62" i="3"/>
  <c r="DC62" i="3" a="1"/>
  <c r="DC62" i="3"/>
  <c r="DB62" i="3" a="1"/>
  <c r="DB62" i="3"/>
  <c r="DA62" i="3" a="1"/>
  <c r="DA62" i="3"/>
  <c r="CZ62" i="3" a="1"/>
  <c r="CZ62" i="3"/>
  <c r="CY62" i="3" a="1"/>
  <c r="CY62" i="3"/>
  <c r="CU62" i="3" a="1"/>
  <c r="CU62" i="3"/>
  <c r="CT62" i="3"/>
  <c r="CS62" i="3" a="1"/>
  <c r="CS62" i="3"/>
  <c r="CR62" i="3" a="1"/>
  <c r="CR62" i="3"/>
  <c r="CQ62" i="3" a="1"/>
  <c r="CQ62" i="3"/>
  <c r="CP62" i="3" a="1"/>
  <c r="CP62" i="3"/>
  <c r="CM62" i="3" a="1"/>
  <c r="CM62" i="3"/>
  <c r="AF62" i="3"/>
  <c r="Y62" i="3"/>
  <c r="W62" i="3"/>
  <c r="V62" i="3"/>
  <c r="U62" i="3"/>
  <c r="CB49" i="3"/>
  <c r="CC49" i="3"/>
  <c r="CD49" i="3"/>
  <c r="CE49" i="3"/>
  <c r="CF49" i="3"/>
  <c r="CB54" i="3"/>
  <c r="CC54" i="3"/>
  <c r="CB55" i="3"/>
  <c r="CC55" i="3"/>
  <c r="CB56" i="3"/>
  <c r="CC56" i="3"/>
  <c r="CB57" i="3"/>
  <c r="CC57" i="3"/>
  <c r="CD54" i="3"/>
  <c r="CD55" i="3"/>
  <c r="CD56" i="3"/>
  <c r="CD57" i="3"/>
  <c r="CE54" i="3"/>
  <c r="CE55" i="3"/>
  <c r="CE56" i="3"/>
  <c r="CE57" i="3"/>
  <c r="CF54" i="3"/>
  <c r="CF55" i="3"/>
  <c r="CF56" i="3"/>
  <c r="CF57" i="3"/>
  <c r="CM60" i="3"/>
  <c r="CN62" i="3" a="1"/>
  <c r="CN62" i="3"/>
  <c r="CN63" i="3" a="1"/>
  <c r="CN63" i="3"/>
  <c r="CN60" i="3"/>
  <c r="CO62" i="3" a="1"/>
  <c r="CO62" i="3"/>
  <c r="CO63" i="3" a="1"/>
  <c r="CO63" i="3"/>
  <c r="CO60" i="3"/>
  <c r="CP60" i="3"/>
  <c r="CQ60" i="3"/>
  <c r="CR63" i="3" a="1"/>
  <c r="CR63" i="3"/>
  <c r="CR60" i="3"/>
  <c r="CS63" i="3" a="1"/>
  <c r="CS63" i="3"/>
  <c r="CS60" i="3"/>
  <c r="CV62" i="3" a="1"/>
  <c r="CV62" i="3"/>
  <c r="CV63" i="3" a="1"/>
  <c r="CV63" i="3"/>
  <c r="CV64" i="3" a="1"/>
  <c r="CV64" i="3"/>
  <c r="CV60" i="3"/>
  <c r="CW62" i="3" a="1"/>
  <c r="CW62" i="3"/>
  <c r="CW60" i="3"/>
  <c r="CX62" i="3" a="1"/>
  <c r="CX62" i="3"/>
  <c r="CY60" i="3"/>
  <c r="CD48" i="3"/>
  <c r="CB48" i="3"/>
  <c r="CF48" i="3"/>
  <c r="CC48" i="3"/>
  <c r="CE48" i="3"/>
  <c r="CD47" i="3"/>
  <c r="CB47" i="3"/>
  <c r="CF47" i="3"/>
  <c r="CC47" i="3"/>
  <c r="CE47" i="3"/>
  <c r="CW57" i="3" a="1"/>
  <c r="CW57" i="3"/>
  <c r="CV57" i="3" a="1"/>
  <c r="CV57" i="3"/>
  <c r="CS57" i="3" a="1"/>
  <c r="CS57" i="3"/>
  <c r="CQ57" i="3" a="1"/>
  <c r="CQ57" i="3"/>
  <c r="CP57" i="3" a="1"/>
  <c r="CP57" i="3"/>
  <c r="CO57" i="3" a="1"/>
  <c r="CO57" i="3"/>
  <c r="CM57" i="3" a="1"/>
  <c r="CM57" i="3"/>
  <c r="DA56" i="3" a="1"/>
  <c r="DA56" i="3"/>
  <c r="CZ56" i="3" a="1"/>
  <c r="CZ56" i="3"/>
  <c r="CY56" i="3" a="1"/>
  <c r="CY56" i="3"/>
  <c r="CX56" i="3" a="1"/>
  <c r="CX56" i="3"/>
  <c r="CW56" i="3" a="1"/>
  <c r="CW56" i="3"/>
  <c r="CV56" i="3" a="1"/>
  <c r="CV56" i="3"/>
  <c r="CQ56" i="3" a="1"/>
  <c r="CQ56" i="3"/>
  <c r="CP56" i="3" a="1"/>
  <c r="CP56" i="3"/>
  <c r="CM56" i="3" a="1"/>
  <c r="CM56" i="3"/>
  <c r="DA55" i="3" a="1"/>
  <c r="DA55" i="3"/>
  <c r="CZ55" i="3" a="1"/>
  <c r="CZ55" i="3"/>
  <c r="CY55" i="3" a="1"/>
  <c r="CY55" i="3"/>
  <c r="CX55" i="3" a="1"/>
  <c r="CX55" i="3"/>
  <c r="CW55" i="3" a="1"/>
  <c r="CW55" i="3"/>
  <c r="CV55" i="3" a="1"/>
  <c r="CV55" i="3"/>
  <c r="CS55" i="3" a="1"/>
  <c r="CS55" i="3"/>
  <c r="CR55" i="3" a="1"/>
  <c r="CR55" i="3"/>
  <c r="CQ55" i="3" a="1"/>
  <c r="CQ55" i="3"/>
  <c r="CP55" i="3" a="1"/>
  <c r="CP55" i="3"/>
  <c r="CO55" i="3" a="1"/>
  <c r="CO55" i="3"/>
  <c r="CN55" i="3" a="1"/>
  <c r="CN55" i="3"/>
  <c r="CM55" i="3" a="1"/>
  <c r="CM55" i="3"/>
  <c r="DA54" i="3" a="1"/>
  <c r="DA54" i="3"/>
  <c r="CZ54" i="3" a="1"/>
  <c r="CZ54" i="3"/>
  <c r="CY54" i="3" a="1"/>
  <c r="CY54" i="3"/>
  <c r="CX54" i="3" a="1"/>
  <c r="CX54" i="3"/>
  <c r="CW54" i="3" a="1"/>
  <c r="CW54" i="3"/>
  <c r="CV54" i="3" a="1"/>
  <c r="CV54" i="3"/>
  <c r="CT54" i="3"/>
  <c r="CS54" i="3" a="1"/>
  <c r="CS54" i="3"/>
  <c r="CR54" i="3" a="1"/>
  <c r="CR54" i="3"/>
  <c r="CQ54" i="3" a="1"/>
  <c r="CQ54" i="3"/>
  <c r="CP54" i="3" a="1"/>
  <c r="CP54" i="3"/>
  <c r="CO54" i="3" a="1"/>
  <c r="CO54" i="3"/>
  <c r="CN54" i="3" a="1"/>
  <c r="CN54" i="3"/>
  <c r="CM54" i="3" a="1"/>
  <c r="CM54" i="3"/>
  <c r="CD46" i="3"/>
  <c r="CB46" i="3"/>
  <c r="CC46" i="3"/>
  <c r="CE46" i="3"/>
  <c r="CF46" i="3"/>
  <c r="CY57" i="3" a="1"/>
  <c r="CY57" i="3"/>
  <c r="CR57" i="3" a="1"/>
  <c r="CR57" i="3"/>
  <c r="CN57" i="3" a="1"/>
  <c r="CN57" i="3"/>
  <c r="CS56" i="3" a="1"/>
  <c r="CS56" i="3"/>
  <c r="CR56" i="3" a="1"/>
  <c r="CR56" i="3"/>
  <c r="CO56" i="3" a="1"/>
  <c r="CO56" i="3"/>
  <c r="CN56" i="3" a="1"/>
  <c r="CN56" i="3"/>
  <c r="AF57" i="3"/>
  <c r="AF56" i="3"/>
  <c r="AF55" i="3"/>
  <c r="AF54" i="3"/>
  <c r="Y57" i="3"/>
  <c r="W57" i="3"/>
  <c r="V57" i="3"/>
  <c r="U57" i="3"/>
  <c r="Y56" i="3"/>
  <c r="W56" i="3"/>
  <c r="V56" i="3"/>
  <c r="U56" i="3"/>
  <c r="Y55" i="3"/>
  <c r="W55" i="3"/>
  <c r="V55" i="3"/>
  <c r="U55" i="3"/>
  <c r="Y54" i="3"/>
  <c r="W54" i="3"/>
  <c r="V54" i="3"/>
  <c r="U54" i="3"/>
  <c r="AZ65" i="3"/>
  <c r="AS65" i="3"/>
  <c r="AZ64" i="3"/>
  <c r="AS64" i="3"/>
  <c r="AZ63" i="3"/>
  <c r="AS63" i="3"/>
  <c r="AZ62" i="3"/>
  <c r="AS62" i="3"/>
  <c r="BM61" i="3"/>
  <c r="BL61" i="3"/>
  <c r="BK61" i="3"/>
  <c r="BJ61" i="3"/>
  <c r="AA61" i="3"/>
  <c r="Q60" i="3"/>
  <c r="AY60" i="3"/>
  <c r="AH60" i="3"/>
  <c r="H11" i="3"/>
  <c r="H27" i="3"/>
  <c r="H43" i="3"/>
  <c r="H59" i="3"/>
  <c r="G11" i="3"/>
  <c r="G27" i="3"/>
  <c r="G43" i="3"/>
  <c r="G59" i="3"/>
  <c r="F11" i="3"/>
  <c r="F27" i="3"/>
  <c r="F43" i="3"/>
  <c r="F59" i="3"/>
  <c r="AZ57" i="3"/>
  <c r="AS57" i="3"/>
  <c r="AZ56" i="3"/>
  <c r="AS56" i="3"/>
  <c r="AZ55" i="3"/>
  <c r="AS55" i="3"/>
  <c r="AZ54" i="3"/>
  <c r="AS54" i="3"/>
  <c r="BM53" i="3"/>
  <c r="BL53" i="3"/>
  <c r="BK53" i="3"/>
  <c r="BJ53" i="3"/>
  <c r="AA53" i="3"/>
  <c r="CY52" i="3"/>
  <c r="CW52" i="3"/>
  <c r="CV52" i="3"/>
  <c r="CS52" i="3"/>
  <c r="CR52" i="3"/>
  <c r="CQ52" i="3"/>
  <c r="CP52" i="3"/>
  <c r="CO52" i="3"/>
  <c r="CN52" i="3"/>
  <c r="CM52" i="3"/>
  <c r="Q52" i="3"/>
  <c r="AY52" i="3"/>
  <c r="AH52" i="3"/>
  <c r="H19" i="3"/>
  <c r="H35" i="3"/>
  <c r="H51" i="3"/>
  <c r="G19" i="3"/>
  <c r="G35" i="3"/>
  <c r="G51" i="3"/>
  <c r="F19" i="3"/>
  <c r="F35" i="3"/>
  <c r="F51" i="3"/>
  <c r="AW3" i="3"/>
  <c r="AGY62" i="30" a="1"/>
  <c r="AGY62" i="30"/>
  <c r="AGX62" i="30" a="1"/>
  <c r="AGX62" i="30"/>
  <c r="AGF62" i="30" a="1"/>
  <c r="AGF62" i="30"/>
  <c r="AGF61" i="30" a="1"/>
  <c r="AGF61" i="30"/>
  <c r="AGF60" i="30" a="1"/>
  <c r="AGF60" i="30"/>
  <c r="AGF59" i="30" a="1"/>
  <c r="AGF59" i="30"/>
  <c r="AGF58" i="30" a="1"/>
  <c r="AGF58" i="30"/>
  <c r="AGF57" i="30" a="1"/>
  <c r="AGF57" i="30"/>
  <c r="AGE62" i="30" a="1"/>
  <c r="AGE62" i="30"/>
  <c r="AGE61" i="30" a="1"/>
  <c r="AGE61" i="30"/>
  <c r="AGE60" i="30" a="1"/>
  <c r="AGE60" i="30"/>
  <c r="AGE59" i="30" a="1"/>
  <c r="AGE59" i="30"/>
  <c r="AGE58" i="30" a="1"/>
  <c r="AGE58" i="30"/>
  <c r="AGE57" i="30" a="1"/>
  <c r="AGE57" i="30"/>
  <c r="AGD57" i="30" a="1"/>
  <c r="AGD57" i="30"/>
  <c r="AGD58" i="30" a="1"/>
  <c r="AGD58" i="30"/>
  <c r="AGD59" i="30" a="1"/>
  <c r="AGD59" i="30"/>
  <c r="AGD60" i="30" a="1"/>
  <c r="AGD60" i="30"/>
  <c r="AGD61" i="30" a="1"/>
  <c r="AGD61" i="30"/>
  <c r="AGD62" i="30" a="1"/>
  <c r="AGD62" i="30"/>
  <c r="AGA60" i="30" a="1"/>
  <c r="AGA60" i="30"/>
  <c r="AGA61" i="30" a="1"/>
  <c r="AGA61" i="30"/>
  <c r="AGA62" i="30" a="1"/>
  <c r="AGA62" i="30"/>
  <c r="AFZ62" i="30" a="1"/>
  <c r="AFZ62" i="30"/>
  <c r="AFZ61" i="30" a="1"/>
  <c r="AFZ61" i="30"/>
  <c r="AFZ60" i="30" a="1"/>
  <c r="AFZ60" i="30"/>
  <c r="JZ62" i="30" a="1"/>
  <c r="JZ62" i="30"/>
  <c r="JZ61" i="30" a="1"/>
  <c r="JZ61" i="30"/>
  <c r="JZ60" i="30" a="1"/>
  <c r="JZ60" i="30"/>
  <c r="JZ59" i="30" a="1"/>
  <c r="JZ59" i="30"/>
  <c r="L68" i="3"/>
  <c r="K68" i="3"/>
  <c r="G68" i="3"/>
  <c r="F68" i="3"/>
  <c r="Q44" i="3"/>
  <c r="AH44" i="3"/>
  <c r="Q36" i="3"/>
  <c r="AH36" i="3"/>
  <c r="Q28" i="3"/>
  <c r="AY28" i="3"/>
  <c r="Q4" i="3"/>
  <c r="AY4" i="3"/>
  <c r="Q12" i="3"/>
  <c r="AY12" i="3"/>
  <c r="G89" i="3"/>
  <c r="G85" i="3"/>
  <c r="G79" i="3"/>
  <c r="K79" i="3"/>
  <c r="L79" i="3"/>
  <c r="F85" i="3"/>
  <c r="F89" i="3"/>
  <c r="F79" i="3"/>
  <c r="Q20" i="3"/>
  <c r="AH20" i="3"/>
  <c r="AH12" i="3"/>
  <c r="AY36" i="3"/>
  <c r="AH28" i="3"/>
  <c r="AY44" i="3"/>
  <c r="AY20" i="3"/>
  <c r="AH4" i="3"/>
  <c r="BK21" i="3"/>
  <c r="BM37" i="3"/>
  <c r="BL29" i="3"/>
  <c r="BL45" i="3"/>
  <c r="BM13" i="3"/>
  <c r="BJ5" i="3"/>
  <c r="BL21" i="3"/>
  <c r="BM29" i="3"/>
  <c r="BK37" i="3"/>
  <c r="BL13" i="3"/>
  <c r="BJ13" i="3"/>
  <c r="BJ45" i="3"/>
  <c r="BJ29" i="3"/>
  <c r="BM45" i="3"/>
  <c r="BK5" i="3"/>
  <c r="BJ21" i="3"/>
  <c r="BJ37" i="3"/>
  <c r="BK45" i="3"/>
  <c r="BL37" i="3"/>
  <c r="BK29" i="3"/>
  <c r="BK13" i="3"/>
  <c r="BM5" i="3"/>
  <c r="BM21" i="3"/>
  <c r="BL5" i="3"/>
  <c r="AZ47" i="3"/>
  <c r="AZ16" i="3"/>
  <c r="AZ31" i="3"/>
  <c r="AZ33" i="3"/>
  <c r="AZ6" i="3"/>
  <c r="AZ41" i="3"/>
  <c r="AZ22" i="3"/>
  <c r="AZ7" i="3"/>
  <c r="AZ14" i="3"/>
  <c r="AZ30" i="3"/>
  <c r="AZ24" i="3"/>
  <c r="AZ32" i="3"/>
  <c r="AZ17" i="3"/>
  <c r="AZ8" i="3"/>
  <c r="AZ38" i="3"/>
  <c r="AZ40" i="3"/>
  <c r="AZ23" i="3"/>
  <c r="AZ25" i="3"/>
  <c r="AZ48" i="3"/>
  <c r="AZ9" i="3"/>
  <c r="AZ49" i="3"/>
  <c r="AZ46" i="3"/>
  <c r="AZ39" i="3"/>
  <c r="AZ15" i="3"/>
  <c r="AS48" i="3"/>
  <c r="AS17" i="3"/>
  <c r="AS47" i="3"/>
  <c r="AS49" i="3"/>
  <c r="AS41" i="3"/>
  <c r="AS39" i="3"/>
  <c r="AS40" i="3"/>
  <c r="AS32" i="3"/>
  <c r="AS31" i="3"/>
  <c r="AS33" i="3"/>
  <c r="AS25" i="3"/>
  <c r="AS24" i="3"/>
  <c r="AS23" i="3"/>
  <c r="AS15" i="3"/>
  <c r="AS16" i="3"/>
  <c r="AS14" i="3"/>
  <c r="AS7" i="3"/>
  <c r="AS8" i="3"/>
  <c r="AS6" i="3"/>
  <c r="AS9" i="3"/>
  <c r="CB14" i="3"/>
  <c r="CC14" i="3"/>
  <c r="AS46" i="3"/>
  <c r="AS38" i="3"/>
  <c r="CB40" i="3"/>
  <c r="CB41" i="3"/>
  <c r="CB38" i="3"/>
  <c r="CB39" i="3"/>
  <c r="CB30" i="3"/>
  <c r="CB31" i="3"/>
  <c r="AS30" i="3"/>
  <c r="CB32" i="3"/>
  <c r="CB33" i="3"/>
  <c r="CB24" i="3"/>
  <c r="CB25" i="3"/>
  <c r="CB22" i="3"/>
  <c r="AS22" i="3"/>
  <c r="CB23" i="3"/>
  <c r="CB15" i="3"/>
  <c r="CF15" i="3"/>
  <c r="CB17" i="3"/>
  <c r="CE17" i="3"/>
  <c r="CB16" i="3"/>
  <c r="CE16" i="3"/>
  <c r="CB8" i="3"/>
  <c r="CE8" i="3"/>
  <c r="CB6" i="3"/>
  <c r="CC6" i="3"/>
  <c r="CB9" i="3"/>
  <c r="CF9" i="3"/>
  <c r="CB7" i="3"/>
  <c r="CE7" i="3"/>
  <c r="CD17" i="3"/>
  <c r="CD41" i="3"/>
  <c r="CD33" i="3"/>
  <c r="CD25" i="3"/>
  <c r="CE14" i="3"/>
  <c r="CF14" i="3"/>
  <c r="CD40" i="3"/>
  <c r="CF41" i="3"/>
  <c r="CE41" i="3"/>
  <c r="CC41" i="3"/>
  <c r="CF40" i="3"/>
  <c r="CE40" i="3"/>
  <c r="CC40" i="3"/>
  <c r="CD38" i="3"/>
  <c r="CD39" i="3"/>
  <c r="CF39" i="3"/>
  <c r="CE39" i="3"/>
  <c r="CC39" i="3"/>
  <c r="CF38" i="3"/>
  <c r="CE38" i="3"/>
  <c r="CC38" i="3"/>
  <c r="CD30" i="3"/>
  <c r="CD31" i="3"/>
  <c r="CC32" i="3"/>
  <c r="CE32" i="3"/>
  <c r="CF32" i="3"/>
  <c r="CD32" i="3"/>
  <c r="CF31" i="3"/>
  <c r="CC31" i="3"/>
  <c r="CE31" i="3"/>
  <c r="CF33" i="3"/>
  <c r="CC33" i="3"/>
  <c r="CE33" i="3"/>
  <c r="CC30" i="3"/>
  <c r="CE30" i="3"/>
  <c r="CF30" i="3"/>
  <c r="CD22" i="3"/>
  <c r="CD23" i="3"/>
  <c r="CE22" i="3"/>
  <c r="CF22" i="3"/>
  <c r="CC22" i="3"/>
  <c r="CD24" i="3"/>
  <c r="CF25" i="3"/>
  <c r="CC25" i="3"/>
  <c r="CE25" i="3"/>
  <c r="CC23" i="3"/>
  <c r="CF23" i="3"/>
  <c r="CE23" i="3"/>
  <c r="CE24" i="3"/>
  <c r="CC24" i="3"/>
  <c r="CF24" i="3"/>
  <c r="CD15" i="3"/>
  <c r="CD14" i="3"/>
  <c r="CC16" i="3"/>
  <c r="CE15" i="3"/>
  <c r="CC15" i="3"/>
  <c r="CC17" i="3"/>
  <c r="CF17" i="3"/>
  <c r="CF16" i="3"/>
  <c r="CD16" i="3"/>
  <c r="CE6" i="3"/>
  <c r="CF8" i="3"/>
  <c r="CD6" i="3"/>
  <c r="CC9" i="3"/>
  <c r="CF6" i="3"/>
  <c r="CD9" i="3"/>
  <c r="CE9" i="3"/>
  <c r="CC8" i="3"/>
  <c r="CF7" i="3"/>
  <c r="CC7" i="3"/>
  <c r="CD8" i="3"/>
  <c r="CD7" i="3"/>
  <c r="CP46" i="3" a="1"/>
  <c r="CP46" i="3"/>
  <c r="CR47" i="3" a="1"/>
  <c r="CR47" i="3"/>
  <c r="CW47" i="3" a="1"/>
  <c r="CW47" i="3"/>
  <c r="CW49" i="3" a="1"/>
  <c r="CW49" i="3"/>
  <c r="CP49" i="3" a="1"/>
  <c r="CP49" i="3"/>
  <c r="CX49" i="3" a="1"/>
  <c r="CX49" i="3"/>
  <c r="CX48" i="3" a="1"/>
  <c r="CX48" i="3"/>
  <c r="CQ47" i="3" a="1"/>
  <c r="CQ47" i="3"/>
  <c r="CP48" i="3" a="1"/>
  <c r="CP48" i="3"/>
  <c r="CY47" i="3" a="1"/>
  <c r="CY47" i="3"/>
  <c r="CX47" i="3" a="1"/>
  <c r="CX47" i="3"/>
  <c r="CP47" i="3" a="1"/>
  <c r="CP47" i="3"/>
  <c r="CW48" i="3" a="1"/>
  <c r="CW48" i="3"/>
  <c r="CS47" i="3" a="1"/>
  <c r="CS47" i="3"/>
  <c r="CQ48" i="3" a="1"/>
  <c r="CQ48" i="3"/>
  <c r="AA45" i="3"/>
  <c r="CR49" i="3" a="1"/>
  <c r="CR49" i="3"/>
  <c r="CN49" i="3" a="1"/>
  <c r="CN49" i="3"/>
  <c r="CY48" i="3" a="1"/>
  <c r="CY48" i="3"/>
  <c r="CS48" i="3" a="1"/>
  <c r="CS48" i="3"/>
  <c r="CR48" i="3" a="1"/>
  <c r="CR48" i="3"/>
  <c r="CO48" i="3" a="1"/>
  <c r="CO48" i="3"/>
  <c r="CN48" i="3" a="1"/>
  <c r="CN48" i="3"/>
  <c r="DB46" i="3" a="1"/>
  <c r="DB46" i="3"/>
  <c r="CT48" i="3" a="1"/>
  <c r="CT48" i="3"/>
  <c r="DF48" i="3" a="1"/>
  <c r="DF48" i="3"/>
  <c r="CO47" i="3" a="1"/>
  <c r="CO47" i="3"/>
  <c r="CM46" i="3" a="1"/>
  <c r="CM46" i="3"/>
  <c r="CN46" i="3" a="1"/>
  <c r="CN46" i="3"/>
  <c r="CZ47" i="3" a="1"/>
  <c r="CZ47" i="3"/>
  <c r="CT46" i="3"/>
  <c r="CT49" i="3" a="1"/>
  <c r="CT49" i="3"/>
  <c r="CV46" i="3" a="1"/>
  <c r="CV46" i="3"/>
  <c r="DF47" i="3" a="1"/>
  <c r="DF47" i="3"/>
  <c r="DF46" i="3" a="1"/>
  <c r="DF46" i="3"/>
  <c r="DE47" i="3" a="1"/>
  <c r="DE47" i="3"/>
  <c r="CU48" i="3" a="1"/>
  <c r="CU48" i="3"/>
  <c r="DD48" i="3" a="1"/>
  <c r="DD48" i="3"/>
  <c r="CX46" i="3" a="1"/>
  <c r="CX46" i="3"/>
  <c r="CO46" i="3" a="1"/>
  <c r="CO46" i="3"/>
  <c r="DB47" i="3" a="1"/>
  <c r="DB47" i="3"/>
  <c r="CU49" i="3" a="1"/>
  <c r="CU49" i="3"/>
  <c r="CZ49" i="3" a="1"/>
  <c r="CZ49" i="3"/>
  <c r="DA49" i="3" a="1"/>
  <c r="DA49" i="3"/>
  <c r="CL49" i="3" a="1"/>
  <c r="CL49" i="3"/>
  <c r="DG48" i="3" a="1"/>
  <c r="DG48" i="3"/>
  <c r="DD49" i="3" a="1"/>
  <c r="DD49" i="3"/>
  <c r="DC49" i="3" a="1"/>
  <c r="DC49" i="3"/>
  <c r="CV47" i="3" a="1"/>
  <c r="CV47" i="3"/>
  <c r="CZ48" i="3" a="1"/>
  <c r="CZ48" i="3"/>
  <c r="CY46" i="3" a="1"/>
  <c r="CY46" i="3"/>
  <c r="CL48" i="3" a="1"/>
  <c r="CL48" i="3"/>
  <c r="DC46" i="3" a="1"/>
  <c r="DC46" i="3"/>
  <c r="CT47" i="3" a="1"/>
  <c r="CT47" i="3"/>
  <c r="DD47" i="3" a="1"/>
  <c r="DD47" i="3"/>
  <c r="CV48" i="3" a="1"/>
  <c r="CV48" i="3"/>
  <c r="CU46" i="3" a="1"/>
  <c r="CU46" i="3"/>
  <c r="DE48" i="3" a="1"/>
  <c r="DE48" i="3"/>
  <c r="DD46" i="3" a="1"/>
  <c r="DD46" i="3"/>
  <c r="DE46" i="3" a="1"/>
  <c r="DE46" i="3"/>
  <c r="DE49" i="3" a="1"/>
  <c r="DE49" i="3"/>
  <c r="CQ46" i="3" a="1"/>
  <c r="CQ46" i="3"/>
  <c r="DA47" i="3" a="1"/>
  <c r="DA47" i="3"/>
  <c r="CZ46" i="3" a="1"/>
  <c r="CZ46" i="3"/>
  <c r="DC47" i="3" a="1"/>
  <c r="DC47" i="3"/>
  <c r="CN47" i="3" a="1"/>
  <c r="CN47" i="3"/>
  <c r="CL47" i="3" a="1"/>
  <c r="CL47" i="3"/>
  <c r="DG46" i="3" a="1"/>
  <c r="DG46" i="3"/>
  <c r="CW46" i="3" a="1"/>
  <c r="CW46" i="3"/>
  <c r="DF49" i="3" a="1"/>
  <c r="DF49" i="3"/>
  <c r="CV49" i="3" a="1"/>
  <c r="CV49" i="3"/>
  <c r="CS46" i="3" a="1"/>
  <c r="CS46" i="3"/>
  <c r="DA48" i="3" a="1"/>
  <c r="DA48" i="3"/>
  <c r="DG49" i="3" a="1"/>
  <c r="DG49" i="3"/>
  <c r="DG47" i="3" a="1"/>
  <c r="DG47" i="3"/>
  <c r="CM49" i="3" a="1"/>
  <c r="CM49" i="3"/>
  <c r="CM48" i="3" a="1"/>
  <c r="CM48" i="3"/>
  <c r="DB48" i="3" a="1"/>
  <c r="DB48" i="3"/>
  <c r="CR46" i="3" a="1"/>
  <c r="CR46" i="3"/>
  <c r="CM47" i="3" a="1"/>
  <c r="CM47" i="3"/>
  <c r="CU47" i="3" a="1"/>
  <c r="CU47" i="3"/>
  <c r="DB49" i="3" a="1"/>
  <c r="DB49" i="3"/>
  <c r="DC48" i="3" a="1"/>
  <c r="DC48" i="3"/>
  <c r="DA46" i="3" a="1"/>
  <c r="DA46" i="3"/>
  <c r="CO49" i="3" a="1"/>
  <c r="CO49" i="3"/>
  <c r="CY49" i="3" a="1"/>
  <c r="CY49" i="3"/>
  <c r="CQ49" i="3" a="1"/>
  <c r="CQ49" i="3"/>
  <c r="CS49" i="3" a="1"/>
  <c r="CS49" i="3"/>
  <c r="CY40" i="3" a="1"/>
  <c r="CY40" i="3"/>
  <c r="CO40" i="3" a="1"/>
  <c r="CO40" i="3"/>
  <c r="CR40" i="3" a="1"/>
  <c r="CR40" i="3"/>
  <c r="CS40" i="3" a="1"/>
  <c r="CS40" i="3"/>
  <c r="CR41" i="3" a="1"/>
  <c r="CR41" i="3"/>
  <c r="CN40" i="3" a="1"/>
  <c r="CN40" i="3"/>
  <c r="CN41" i="3" a="1"/>
  <c r="CN41" i="3"/>
  <c r="CP38" i="3" a="1"/>
  <c r="CP38" i="3"/>
  <c r="CP41" i="3" a="1"/>
  <c r="CP41" i="3"/>
  <c r="CP40" i="3" a="1"/>
  <c r="CP40" i="3"/>
  <c r="CR39" i="3" a="1"/>
  <c r="CR39" i="3"/>
  <c r="CP39" i="3" a="1"/>
  <c r="CP39" i="3"/>
  <c r="CW41" i="3" a="1"/>
  <c r="CW41" i="3"/>
  <c r="CX40" i="3" a="1"/>
  <c r="CX40" i="3"/>
  <c r="CY39" i="3" a="1"/>
  <c r="CY39" i="3"/>
  <c r="CX39" i="3" a="1"/>
  <c r="CX39" i="3"/>
  <c r="CW39" i="3" a="1"/>
  <c r="CW39" i="3"/>
  <c r="CQ40" i="3" a="1"/>
  <c r="CQ40" i="3"/>
  <c r="CS39" i="3" a="1"/>
  <c r="CS39" i="3"/>
  <c r="CW40" i="3" a="1"/>
  <c r="CW40" i="3"/>
  <c r="CX41" i="3" a="1"/>
  <c r="CX41" i="3"/>
  <c r="CQ39" i="3" a="1"/>
  <c r="CQ39" i="3"/>
  <c r="DA39" i="3" a="1"/>
  <c r="DA39" i="3"/>
  <c r="CR38" i="3" a="1"/>
  <c r="CR38" i="3"/>
  <c r="CV41" i="3" a="1"/>
  <c r="CV41" i="3"/>
  <c r="DE39" i="3" a="1"/>
  <c r="DE39" i="3"/>
  <c r="CM39" i="3" a="1"/>
  <c r="CM39" i="3"/>
  <c r="DG38" i="3" a="1"/>
  <c r="DG38" i="3"/>
  <c r="DG41" i="3" a="1"/>
  <c r="DG41" i="3"/>
  <c r="CL38" i="3" a="1"/>
  <c r="CL38" i="3"/>
  <c r="DF38" i="3" a="1"/>
  <c r="DF38" i="3"/>
  <c r="CV40" i="3" a="1"/>
  <c r="CV40" i="3"/>
  <c r="DC38" i="3" a="1"/>
  <c r="DC38" i="3"/>
  <c r="DB39" i="3" a="1"/>
  <c r="DB39" i="3"/>
  <c r="DC41" i="3" a="1"/>
  <c r="DC41" i="3"/>
  <c r="DD38" i="3" a="1"/>
  <c r="DD38" i="3"/>
  <c r="DF41" i="3" a="1"/>
  <c r="DF41" i="3"/>
  <c r="CN38" i="3" a="1"/>
  <c r="CN38" i="3"/>
  <c r="CY38" i="3" a="1"/>
  <c r="CY38" i="3"/>
  <c r="DB41" i="3" a="1"/>
  <c r="DB41" i="3"/>
  <c r="CV39" i="3" a="1"/>
  <c r="CV39" i="3"/>
  <c r="CM40" i="3" a="1"/>
  <c r="CM40" i="3"/>
  <c r="CO39" i="3" a="1"/>
  <c r="CO39" i="3"/>
  <c r="DD41" i="3" a="1"/>
  <c r="DD41" i="3"/>
  <c r="CT41" i="3" a="1"/>
  <c r="CT41" i="3"/>
  <c r="CL40" i="3" a="1"/>
  <c r="CL40" i="3"/>
  <c r="CV38" i="3" a="1"/>
  <c r="CV38" i="3"/>
  <c r="CX38" i="3" a="1"/>
  <c r="CX38" i="3"/>
  <c r="DB40" i="3" a="1"/>
  <c r="DB40" i="3"/>
  <c r="CT40" i="3" a="1"/>
  <c r="CT40" i="3"/>
  <c r="DF40" i="3" a="1"/>
  <c r="DF40" i="3"/>
  <c r="CL41" i="3" a="1"/>
  <c r="CL41" i="3"/>
  <c r="CZ38" i="3" a="1"/>
  <c r="CZ38" i="3"/>
  <c r="CZ41" i="3" a="1"/>
  <c r="CZ41" i="3"/>
  <c r="CW38" i="3" a="1"/>
  <c r="CW38" i="3"/>
  <c r="CQ38" i="3" a="1"/>
  <c r="CQ38" i="3"/>
  <c r="DB38" i="3" a="1"/>
  <c r="DB38" i="3"/>
  <c r="CL39" i="3" a="1"/>
  <c r="CL39" i="3"/>
  <c r="CU41" i="3" a="1"/>
  <c r="CU41" i="3"/>
  <c r="DC39" i="3" a="1"/>
  <c r="DC39" i="3"/>
  <c r="DD40" i="3" a="1"/>
  <c r="DD40" i="3"/>
  <c r="CM41" i="3" a="1"/>
  <c r="CM41" i="3"/>
  <c r="DG40" i="3" a="1"/>
  <c r="DG40" i="3"/>
  <c r="DA38" i="3" a="1"/>
  <c r="DA38" i="3"/>
  <c r="CT38" i="3" a="1"/>
  <c r="CT38" i="3"/>
  <c r="CN39" i="3" a="1"/>
  <c r="CN39" i="3"/>
  <c r="DE38" i="3" a="1"/>
  <c r="DE38" i="3"/>
  <c r="DC40" i="3" a="1"/>
  <c r="DC40" i="3"/>
  <c r="CZ40" i="3" a="1"/>
  <c r="CZ40" i="3"/>
  <c r="CS38" i="3" a="1"/>
  <c r="CS38" i="3"/>
  <c r="DE41" i="3" a="1"/>
  <c r="DE41" i="3"/>
  <c r="DG39" i="3" a="1"/>
  <c r="DG39" i="3"/>
  <c r="CU38" i="3" a="1"/>
  <c r="CU38" i="3"/>
  <c r="CU40" i="3" a="1"/>
  <c r="CU40" i="3"/>
  <c r="CZ39" i="3" a="1"/>
  <c r="CZ39" i="3"/>
  <c r="DA41" i="3" a="1"/>
  <c r="DA41" i="3"/>
  <c r="CT39" i="3" a="1"/>
  <c r="CT39" i="3"/>
  <c r="CM38" i="3" a="1"/>
  <c r="CM38" i="3"/>
  <c r="DE40" i="3" a="1"/>
  <c r="DE40" i="3"/>
  <c r="CO38" i="3" a="1"/>
  <c r="CO38" i="3"/>
  <c r="CU39" i="3" a="1"/>
  <c r="CU39" i="3"/>
  <c r="DF39" i="3" a="1"/>
  <c r="DF39" i="3"/>
  <c r="DD39" i="3" a="1"/>
  <c r="DD39" i="3"/>
  <c r="DA40" i="3" a="1"/>
  <c r="DA40" i="3"/>
  <c r="AA37" i="3"/>
  <c r="CQ41" i="3" a="1"/>
  <c r="CQ41" i="3"/>
  <c r="CY41" i="3" a="1"/>
  <c r="CY41" i="3"/>
  <c r="CO41" i="3" a="1"/>
  <c r="CO41" i="3"/>
  <c r="CS41" i="3" a="1"/>
  <c r="CS41" i="3"/>
  <c r="CQ33" i="3" a="1"/>
  <c r="CQ33" i="3"/>
  <c r="CS33" i="3" a="1"/>
  <c r="CS33" i="3"/>
  <c r="CY33" i="3" a="1"/>
  <c r="CY33" i="3"/>
  <c r="CO33" i="3" a="1"/>
  <c r="CO33" i="3"/>
  <c r="CR33" i="3" a="1"/>
  <c r="CR33" i="3"/>
  <c r="CO32" i="3" a="1"/>
  <c r="CO32" i="3"/>
  <c r="CS32" i="3" a="1"/>
  <c r="CS32" i="3"/>
  <c r="CY32" i="3" a="1"/>
  <c r="CY32" i="3"/>
  <c r="CR32" i="3" a="1"/>
  <c r="CR32" i="3"/>
  <c r="CN33" i="3" a="1"/>
  <c r="CN33" i="3"/>
  <c r="CN32" i="3" a="1"/>
  <c r="CN32" i="3"/>
  <c r="CR30" i="3" a="1"/>
  <c r="CR30" i="3"/>
  <c r="CQ30" i="3" a="1"/>
  <c r="CQ30" i="3"/>
  <c r="DG31" i="3" a="1"/>
  <c r="DG31" i="3"/>
  <c r="CM30" i="3" a="1"/>
  <c r="CM30" i="3"/>
  <c r="DG32" i="3" a="1"/>
  <c r="DG32" i="3"/>
  <c r="DC32" i="3" a="1"/>
  <c r="DC32" i="3"/>
  <c r="DF30" i="3" a="1"/>
  <c r="DF30" i="3"/>
  <c r="DC31" i="3" a="1"/>
  <c r="DC31" i="3"/>
  <c r="CO30" i="3" a="1"/>
  <c r="CO30" i="3"/>
  <c r="CW30" i="3" a="1"/>
  <c r="CW30" i="3"/>
  <c r="CZ30" i="3" a="1"/>
  <c r="CZ30" i="3"/>
  <c r="CV30" i="3" a="1"/>
  <c r="CV30" i="3"/>
  <c r="CN30" i="3" a="1"/>
  <c r="CN30" i="3"/>
  <c r="CL31" i="3" a="1"/>
  <c r="CL31" i="3"/>
  <c r="DB31" i="3" a="1"/>
  <c r="DB31" i="3"/>
  <c r="DB32" i="3" a="1"/>
  <c r="DB32" i="3"/>
  <c r="CV31" i="3" a="1"/>
  <c r="CV31" i="3"/>
  <c r="CL30" i="3" a="1"/>
  <c r="CL30" i="3"/>
  <c r="CU33" i="3" a="1"/>
  <c r="CU33" i="3"/>
  <c r="CT30" i="3" a="1"/>
  <c r="CT30" i="3"/>
  <c r="DF31" i="3" a="1"/>
  <c r="DF31" i="3"/>
  <c r="DB33" i="3" a="1"/>
  <c r="DB33" i="3"/>
  <c r="CM31" i="3" a="1"/>
  <c r="CM31" i="3"/>
  <c r="CT32" i="3" a="1"/>
  <c r="CT32" i="3"/>
  <c r="DE30" i="3" a="1"/>
  <c r="DE30" i="3"/>
  <c r="CX30" i="3" a="1"/>
  <c r="CX30" i="3"/>
  <c r="CT33" i="3" a="1"/>
  <c r="CT33" i="3"/>
  <c r="DE33" i="3" a="1"/>
  <c r="DE33" i="3"/>
  <c r="CY30" i="3" a="1"/>
  <c r="CY30" i="3"/>
  <c r="DF33" i="3" a="1"/>
  <c r="DF33" i="3"/>
  <c r="CM33" i="3" a="1"/>
  <c r="CM33" i="3"/>
  <c r="CO31" i="3" a="1"/>
  <c r="CO31" i="3"/>
  <c r="CU31" i="3" a="1"/>
  <c r="CU31" i="3"/>
  <c r="DG30" i="3" a="1"/>
  <c r="DG30" i="3"/>
  <c r="DB30" i="3" a="1"/>
  <c r="DB30" i="3"/>
  <c r="DD32" i="3" a="1"/>
  <c r="DD32" i="3"/>
  <c r="DC30" i="3" a="1"/>
  <c r="DC30" i="3"/>
  <c r="DF32" i="3" a="1"/>
  <c r="DF32" i="3"/>
  <c r="CM32" i="3" a="1"/>
  <c r="CM32" i="3"/>
  <c r="DA33" i="3" a="1"/>
  <c r="DA33" i="3"/>
  <c r="DC33" i="3" a="1"/>
  <c r="DC33" i="3"/>
  <c r="CL33" i="3" a="1"/>
  <c r="CL33" i="3"/>
  <c r="DG33" i="3" a="1"/>
  <c r="DG33" i="3"/>
  <c r="CV33" i="3" a="1"/>
  <c r="CV33" i="3"/>
  <c r="CZ33" i="3" a="1"/>
  <c r="CZ33" i="3"/>
  <c r="DA31" i="3" a="1"/>
  <c r="DA31" i="3"/>
  <c r="CZ31" i="3" a="1"/>
  <c r="CZ31" i="3"/>
  <c r="DD31" i="3" a="1"/>
  <c r="DD31" i="3"/>
  <c r="CV32" i="3" a="1"/>
  <c r="CV32" i="3"/>
  <c r="CS30" i="3" a="1"/>
  <c r="CS30" i="3"/>
  <c r="DA30" i="3" a="1"/>
  <c r="DA30" i="3"/>
  <c r="CN31" i="3" a="1"/>
  <c r="CN31" i="3"/>
  <c r="DE32" i="3" a="1"/>
  <c r="DE32" i="3"/>
  <c r="DA32" i="3" a="1"/>
  <c r="DA32" i="3"/>
  <c r="CZ32" i="3" a="1"/>
  <c r="CZ32" i="3"/>
  <c r="CL32" i="3" a="1"/>
  <c r="CL32" i="3"/>
  <c r="DD33" i="3" a="1"/>
  <c r="DD33" i="3"/>
  <c r="CU30" i="3" a="1"/>
  <c r="CU30" i="3"/>
  <c r="CT31" i="3" a="1"/>
  <c r="CT31" i="3"/>
  <c r="CU32" i="3" a="1"/>
  <c r="CU32" i="3"/>
  <c r="DE31" i="3" a="1"/>
  <c r="DE31" i="3"/>
  <c r="DD30" i="3" a="1"/>
  <c r="DD30" i="3"/>
  <c r="AA29" i="3"/>
  <c r="CX31" i="3" a="1"/>
  <c r="CX31" i="3"/>
  <c r="CY31" i="3" a="1"/>
  <c r="CY31" i="3"/>
  <c r="CW31" i="3" a="1"/>
  <c r="CW31" i="3"/>
  <c r="CP30" i="3" a="1"/>
  <c r="CP30" i="3"/>
  <c r="CP32" i="3" a="1"/>
  <c r="CP32" i="3"/>
  <c r="CX33" i="3" a="1"/>
  <c r="CX33" i="3"/>
  <c r="CP33" i="3" a="1"/>
  <c r="CP33" i="3"/>
  <c r="CX32" i="3" a="1"/>
  <c r="CX32" i="3"/>
  <c r="CQ32" i="3" a="1"/>
  <c r="CQ32" i="3"/>
  <c r="CR31" i="3" a="1"/>
  <c r="CR31" i="3"/>
  <c r="CP31" i="3" a="1"/>
  <c r="CP31" i="3"/>
  <c r="CS31" i="3" a="1"/>
  <c r="CS31" i="3"/>
  <c r="CQ31" i="3" a="1"/>
  <c r="CQ31" i="3"/>
  <c r="CW32" i="3" a="1"/>
  <c r="CW32" i="3"/>
  <c r="CW33" i="3" a="1"/>
  <c r="CW33" i="3"/>
  <c r="CS25" i="3" a="1"/>
  <c r="CS25" i="3"/>
  <c r="CY25" i="3" a="1"/>
  <c r="CY25" i="3"/>
  <c r="CQ25" i="3" a="1"/>
  <c r="CQ25" i="3"/>
  <c r="CO25" i="3" a="1"/>
  <c r="CO25" i="3"/>
  <c r="CR22" i="3" a="1"/>
  <c r="CR22" i="3"/>
  <c r="CV23" i="3" a="1"/>
  <c r="CV23" i="3"/>
  <c r="DG23" i="3" a="1"/>
  <c r="DG23" i="3"/>
  <c r="DF22" i="3" a="1"/>
  <c r="DF22" i="3"/>
  <c r="CT23" i="3" a="1"/>
  <c r="CT23" i="3"/>
  <c r="CU22" i="3" a="1"/>
  <c r="CU22" i="3"/>
  <c r="CT24" i="3" a="1"/>
  <c r="CT24" i="3"/>
  <c r="CT25" i="3" a="1"/>
  <c r="CT25" i="3"/>
  <c r="DD22" i="3" a="1"/>
  <c r="DD22" i="3"/>
  <c r="CL24" i="3" a="1"/>
  <c r="CL24" i="3"/>
  <c r="CX22" i="3" a="1"/>
  <c r="CX22" i="3"/>
  <c r="CT22" i="3" a="1"/>
  <c r="CT22" i="3"/>
  <c r="DE25" i="3" a="1"/>
  <c r="DE25" i="3"/>
  <c r="CW22" i="3" a="1"/>
  <c r="CW22" i="3"/>
  <c r="DE24" i="3" a="1"/>
  <c r="DE24" i="3"/>
  <c r="CU24" i="3" a="1"/>
  <c r="CU24" i="3"/>
  <c r="DF25" i="3" a="1"/>
  <c r="DF25" i="3"/>
  <c r="DE22" i="3" a="1"/>
  <c r="DE22" i="3"/>
  <c r="CN23" i="3" a="1"/>
  <c r="CN23" i="3"/>
  <c r="DA24" i="3" a="1"/>
  <c r="DA24" i="3"/>
  <c r="CV25" i="3" a="1"/>
  <c r="CV25" i="3"/>
  <c r="DF24" i="3" a="1"/>
  <c r="DF24" i="3"/>
  <c r="DB25" i="3" a="1"/>
  <c r="DB25" i="3"/>
  <c r="CL23" i="3" a="1"/>
  <c r="CL23" i="3"/>
  <c r="CY22" i="3" a="1"/>
  <c r="CY22" i="3"/>
  <c r="CU23" i="3" a="1"/>
  <c r="CU23" i="3"/>
  <c r="DC22" i="3" a="1"/>
  <c r="DC22" i="3"/>
  <c r="CM22" i="3" a="1"/>
  <c r="CM22" i="3"/>
  <c r="DE23" i="3" a="1"/>
  <c r="DE23" i="3"/>
  <c r="CL25" i="3" a="1"/>
  <c r="CL25" i="3"/>
  <c r="DB24" i="3" a="1"/>
  <c r="DB24" i="3"/>
  <c r="DC25" i="3" a="1"/>
  <c r="DC25" i="3"/>
  <c r="CL22" i="3" a="1"/>
  <c r="CL22" i="3"/>
  <c r="CM23" i="3" a="1"/>
  <c r="CM23" i="3"/>
  <c r="CZ22" i="3" a="1"/>
  <c r="CZ22" i="3"/>
  <c r="CZ25" i="3" a="1"/>
  <c r="CZ25" i="3"/>
  <c r="DG25" i="3" a="1"/>
  <c r="DG25" i="3"/>
  <c r="CS22" i="3" a="1"/>
  <c r="CS22" i="3"/>
  <c r="DC23" i="3" a="1"/>
  <c r="DC23" i="3"/>
  <c r="CV24" i="3" a="1"/>
  <c r="CV24" i="3"/>
  <c r="CU25" i="3" a="1"/>
  <c r="CU25" i="3"/>
  <c r="DB23" i="3" a="1"/>
  <c r="DB23" i="3"/>
  <c r="DG22" i="3" a="1"/>
  <c r="DG22" i="3"/>
  <c r="CZ23" i="3" a="1"/>
  <c r="CZ23" i="3"/>
  <c r="DD25" i="3" a="1"/>
  <c r="DD25" i="3"/>
  <c r="DB22" i="3" a="1"/>
  <c r="DB22" i="3"/>
  <c r="CO23" i="3" a="1"/>
  <c r="CO23" i="3"/>
  <c r="DA22" i="3" a="1"/>
  <c r="DA22" i="3"/>
  <c r="CM24" i="3" a="1"/>
  <c r="CM24" i="3"/>
  <c r="CQ22" i="3" a="1"/>
  <c r="CQ22" i="3"/>
  <c r="CM25" i="3" a="1"/>
  <c r="CM25" i="3"/>
  <c r="CV22" i="3" a="1"/>
  <c r="CV22" i="3"/>
  <c r="DA23" i="3" a="1"/>
  <c r="DA23" i="3"/>
  <c r="DD24" i="3" a="1"/>
  <c r="DD24" i="3"/>
  <c r="DF23" i="3" a="1"/>
  <c r="DF23" i="3"/>
  <c r="DD23" i="3" a="1"/>
  <c r="DD23" i="3"/>
  <c r="CN22" i="3" a="1"/>
  <c r="CN22" i="3"/>
  <c r="DC24" i="3" a="1"/>
  <c r="DC24" i="3"/>
  <c r="DG24" i="3" a="1"/>
  <c r="DG24" i="3"/>
  <c r="CZ24" i="3" a="1"/>
  <c r="CZ24" i="3"/>
  <c r="DA25" i="3" a="1"/>
  <c r="DA25" i="3"/>
  <c r="CO22" i="3" a="1"/>
  <c r="CO22" i="3"/>
  <c r="AA21" i="3"/>
  <c r="CY24" i="3" a="1"/>
  <c r="CY24" i="3"/>
  <c r="CS24" i="3" a="1"/>
  <c r="CS24" i="3"/>
  <c r="CN25" i="3" a="1"/>
  <c r="CN25" i="3"/>
  <c r="CR25" i="3" a="1"/>
  <c r="CR25" i="3"/>
  <c r="CO24" i="3" a="1"/>
  <c r="CO24" i="3"/>
  <c r="CN24" i="3" a="1"/>
  <c r="CN24" i="3"/>
  <c r="CR24" i="3" a="1"/>
  <c r="CR24" i="3"/>
  <c r="CW25" i="3" a="1"/>
  <c r="CW25" i="3"/>
  <c r="CP25" i="3" a="1"/>
  <c r="CP25" i="3"/>
  <c r="CX24" i="3" a="1"/>
  <c r="CX24" i="3"/>
  <c r="CX25" i="3" a="1"/>
  <c r="CX25" i="3"/>
  <c r="CP22" i="3" a="1"/>
  <c r="CP22" i="3"/>
  <c r="CS23" i="3" a="1"/>
  <c r="CS23" i="3"/>
  <c r="CQ24" i="3" a="1"/>
  <c r="CQ24" i="3"/>
  <c r="CP23" i="3" a="1"/>
  <c r="CP23" i="3"/>
  <c r="CW23" i="3" a="1"/>
  <c r="CW23" i="3"/>
  <c r="CR23" i="3" a="1"/>
  <c r="CR23" i="3"/>
  <c r="CW24" i="3" a="1"/>
  <c r="CW24" i="3"/>
  <c r="CX23" i="3" a="1"/>
  <c r="CX23" i="3"/>
  <c r="CY23" i="3" a="1"/>
  <c r="CY23" i="3"/>
  <c r="CQ23" i="3" a="1"/>
  <c r="CQ23" i="3"/>
  <c r="CP24" i="3" a="1"/>
  <c r="CP24" i="3"/>
  <c r="CV14" i="3" a="1"/>
  <c r="CV14" i="3"/>
  <c r="CN15" i="3" a="1"/>
  <c r="CN15" i="3"/>
  <c r="CW14" i="3" a="1"/>
  <c r="CW14" i="3"/>
  <c r="CS16" i="3" a="1"/>
  <c r="CS16" i="3"/>
  <c r="CO15" i="3" a="1"/>
  <c r="CO15" i="3"/>
  <c r="CN14" i="3" a="1"/>
  <c r="CN14" i="3"/>
  <c r="CO14" i="3" a="1"/>
  <c r="CO14" i="3"/>
  <c r="CS15" i="3" a="1"/>
  <c r="CS15" i="3"/>
  <c r="CR15" i="3" a="1"/>
  <c r="CR15" i="3"/>
  <c r="CX14" i="3" a="1"/>
  <c r="CX14" i="3"/>
  <c r="CZ16" i="3" a="1"/>
  <c r="CZ16" i="3"/>
  <c r="CM14" i="3" a="1"/>
  <c r="CM14" i="3"/>
  <c r="CQ14" i="3" a="1"/>
  <c r="CQ14" i="3"/>
  <c r="CW15" i="3" a="1"/>
  <c r="CW15" i="3"/>
  <c r="CS14" i="3" a="1"/>
  <c r="CS14" i="3"/>
  <c r="CO17" i="3" a="1"/>
  <c r="CO17" i="3"/>
  <c r="CW17" i="3" a="1"/>
  <c r="CW17" i="3"/>
  <c r="CY15" i="3" a="1"/>
  <c r="CY15" i="3"/>
  <c r="CM16" i="3" a="1"/>
  <c r="CM16" i="3"/>
  <c r="CV17" i="3" a="1"/>
  <c r="CV17" i="3"/>
  <c r="CY17" i="3" a="1"/>
  <c r="CY17" i="3"/>
  <c r="CY14" i="3" a="1"/>
  <c r="CY14" i="3"/>
  <c r="CQ17" i="3" a="1"/>
  <c r="CQ17" i="3"/>
  <c r="CR14" i="3" a="1"/>
  <c r="CR14" i="3"/>
  <c r="CS17" i="3" a="1"/>
  <c r="CS17" i="3"/>
  <c r="CP14" i="3" a="1"/>
  <c r="CP14" i="3"/>
  <c r="DB17" i="3" a="1"/>
  <c r="DB17" i="3"/>
  <c r="CP17" i="3" a="1"/>
  <c r="CP17" i="3"/>
  <c r="CT16" i="3" a="1"/>
  <c r="CT16" i="3"/>
  <c r="CX16" i="3" a="1"/>
  <c r="CX16" i="3"/>
  <c r="CL14" i="3" a="1"/>
  <c r="CL14" i="3"/>
  <c r="CT17" i="3" a="1"/>
  <c r="CT17" i="3"/>
  <c r="CO16" i="3" a="1"/>
  <c r="CO16" i="3"/>
  <c r="DB16" i="3" a="1"/>
  <c r="DB16" i="3"/>
  <c r="DB14" i="3" a="1"/>
  <c r="DB14" i="3"/>
  <c r="DG15" i="3" a="1"/>
  <c r="DG15" i="3"/>
  <c r="CU17" i="3" a="1"/>
  <c r="CU17" i="3"/>
  <c r="DE17" i="3" a="1"/>
  <c r="DE17" i="3"/>
  <c r="DF15" i="3" a="1"/>
  <c r="DF15" i="3"/>
  <c r="CQ16" i="3" a="1"/>
  <c r="CQ16" i="3"/>
  <c r="AA13" i="3"/>
  <c r="DE14" i="3" a="1"/>
  <c r="DE14" i="3"/>
  <c r="DG17" i="3" a="1"/>
  <c r="DG17" i="3"/>
  <c r="DC14" i="3" a="1"/>
  <c r="DC14" i="3"/>
  <c r="CW16" i="3" a="1"/>
  <c r="CW16" i="3"/>
  <c r="CZ14" i="3" a="1"/>
  <c r="CZ14" i="3"/>
  <c r="DD16" i="3" a="1"/>
  <c r="DD16" i="3"/>
  <c r="CT15" i="3" a="1"/>
  <c r="CT15" i="3"/>
  <c r="CM15" i="3" a="1"/>
  <c r="CM15" i="3"/>
  <c r="CV16" i="3" a="1"/>
  <c r="CV16" i="3"/>
  <c r="CV15" i="3" a="1"/>
  <c r="CV15" i="3"/>
  <c r="CT14" i="3" a="1"/>
  <c r="CT14" i="3"/>
  <c r="CP16" i="3" a="1"/>
  <c r="CP16" i="3"/>
  <c r="CX17" i="3" a="1"/>
  <c r="CX17" i="3"/>
  <c r="DF14" i="3" a="1"/>
  <c r="DF14" i="3"/>
  <c r="DB15" i="3" a="1"/>
  <c r="DB15" i="3"/>
  <c r="CL17" i="3" a="1"/>
  <c r="CL17" i="3"/>
  <c r="DE15" i="3" a="1"/>
  <c r="DE15" i="3"/>
  <c r="CX15" i="3" a="1"/>
  <c r="CX15" i="3"/>
  <c r="CN16" i="3" a="1"/>
  <c r="CN16" i="3"/>
  <c r="DF16" i="3" a="1"/>
  <c r="DF16" i="3"/>
  <c r="DE16" i="3" a="1"/>
  <c r="DE16" i="3"/>
  <c r="CQ15" i="3" a="1"/>
  <c r="CQ15" i="3"/>
  <c r="CY16" i="3" a="1"/>
  <c r="CY16" i="3"/>
  <c r="CZ17" i="3" a="1"/>
  <c r="CZ17" i="3"/>
  <c r="CN17" i="3" a="1"/>
  <c r="CN17" i="3"/>
  <c r="CR16" i="3" a="1"/>
  <c r="CR16" i="3"/>
  <c r="CL16" i="3" a="1"/>
  <c r="CL16" i="3"/>
  <c r="DA16" i="3" a="1"/>
  <c r="DA16" i="3"/>
  <c r="CM17" i="3" a="1"/>
  <c r="CM17" i="3"/>
  <c r="CL15" i="3" a="1"/>
  <c r="CL15" i="3"/>
  <c r="CU16" i="3" a="1"/>
  <c r="CU16" i="3"/>
  <c r="DD14" i="3" a="1"/>
  <c r="DD14" i="3"/>
  <c r="DC17" i="3" a="1"/>
  <c r="DC17" i="3"/>
  <c r="DA14" i="3" a="1"/>
  <c r="DA14" i="3"/>
  <c r="DC16" i="3" a="1"/>
  <c r="DC16" i="3"/>
  <c r="CR17" i="3" a="1"/>
  <c r="CR17" i="3"/>
  <c r="DA15" i="3" a="1"/>
  <c r="DA15" i="3"/>
  <c r="DD17" i="3" a="1"/>
  <c r="DD17" i="3"/>
  <c r="DG14" i="3" a="1"/>
  <c r="DG14" i="3"/>
  <c r="CP15" i="3" a="1"/>
  <c r="CP15" i="3"/>
  <c r="DC15" i="3" a="1"/>
  <c r="DC15" i="3"/>
  <c r="DD15" i="3" a="1"/>
  <c r="DD15" i="3"/>
  <c r="CZ15" i="3" a="1"/>
  <c r="CZ15" i="3"/>
  <c r="CU14" i="3" a="1"/>
  <c r="CU14" i="3"/>
  <c r="DA17" i="3" a="1"/>
  <c r="DA17" i="3"/>
  <c r="DF17" i="3" a="1"/>
  <c r="DF17" i="3"/>
  <c r="CU15" i="3" a="1"/>
  <c r="CU15" i="3"/>
  <c r="DG16" i="3" a="1"/>
  <c r="DG16" i="3"/>
  <c r="CR7" i="3" a="1"/>
  <c r="CR7" i="3"/>
  <c r="CQ6" i="3" a="1"/>
  <c r="CQ6" i="3"/>
  <c r="CO9" i="3" a="1"/>
  <c r="CO9" i="3"/>
  <c r="CR9" i="3" a="1"/>
  <c r="CR9" i="3"/>
  <c r="CS6" i="3" a="1"/>
  <c r="CS6" i="3"/>
  <c r="CS9" i="3" a="1"/>
  <c r="CS9" i="3"/>
  <c r="CN9" i="3" a="1"/>
  <c r="CN9" i="3"/>
  <c r="CS7" i="3" a="1"/>
  <c r="CS7" i="3"/>
  <c r="CR8" i="3" a="1"/>
  <c r="CR8" i="3"/>
  <c r="CN8" i="3" a="1"/>
  <c r="CN8" i="3"/>
  <c r="CR6" i="3" a="1"/>
  <c r="CR6" i="3"/>
  <c r="CM9" i="3" a="1"/>
  <c r="CM9" i="3"/>
  <c r="CY9" i="3" a="1"/>
  <c r="CY9" i="3"/>
  <c r="CS8" i="3" a="1"/>
  <c r="CS8" i="3"/>
  <c r="CW6" i="3" a="1"/>
  <c r="CW6" i="3"/>
  <c r="CX6" i="3" a="1"/>
  <c r="CX6" i="3"/>
  <c r="CQ9" i="3" a="1"/>
  <c r="CQ9" i="3"/>
  <c r="CO7" i="3" a="1"/>
  <c r="CO7" i="3"/>
  <c r="CO8" i="3" a="1"/>
  <c r="CO8" i="3"/>
  <c r="CU6" i="3" a="1"/>
  <c r="CU6" i="3"/>
  <c r="CP7" i="3" a="1"/>
  <c r="CP7" i="3"/>
  <c r="CU7" i="3" a="1"/>
  <c r="CU7" i="3"/>
  <c r="CW9" i="3" a="1"/>
  <c r="CW9" i="3"/>
  <c r="DD6" i="3" a="1"/>
  <c r="DD6" i="3"/>
  <c r="CX9" i="3" a="1"/>
  <c r="CX9" i="3"/>
  <c r="DB6" i="3" a="1"/>
  <c r="DB6" i="3"/>
  <c r="AA5" i="3"/>
  <c r="DA8" i="3" a="1"/>
  <c r="DA8" i="3"/>
  <c r="DA7" i="3" a="1"/>
  <c r="DA7" i="3"/>
  <c r="CV8" i="3" a="1"/>
  <c r="CV8" i="3"/>
  <c r="CV9" i="3" a="1"/>
  <c r="CV9" i="3"/>
  <c r="CQ7" i="3" a="1"/>
  <c r="CQ7" i="3"/>
  <c r="CX7" i="3" a="1"/>
  <c r="CX7" i="3"/>
  <c r="CN7" i="3" a="1"/>
  <c r="CN7" i="3"/>
  <c r="CL9" i="3" a="1"/>
  <c r="CL9" i="3"/>
  <c r="CT6" i="3" a="1"/>
  <c r="CT6" i="3"/>
  <c r="CP9" i="3" a="1"/>
  <c r="CP9" i="3"/>
  <c r="DD7" i="3" a="1"/>
  <c r="DD7" i="3"/>
  <c r="DE8" i="3" a="1"/>
  <c r="DE8" i="3"/>
  <c r="CM8" i="3" a="1"/>
  <c r="CM8" i="3"/>
  <c r="CQ8" i="3" a="1"/>
  <c r="CQ8" i="3"/>
  <c r="CU9" i="3" a="1"/>
  <c r="CU9" i="3"/>
  <c r="DF8" i="3" a="1"/>
  <c r="DF8" i="3"/>
  <c r="CP8" i="3" a="1"/>
  <c r="CP8" i="3"/>
  <c r="DA6" i="3" a="1"/>
  <c r="DA6" i="3"/>
  <c r="DB8" i="3" a="1"/>
  <c r="DB8" i="3"/>
  <c r="DE9" i="3" a="1"/>
  <c r="DE9" i="3"/>
  <c r="DD8" i="3" a="1"/>
  <c r="DD8" i="3"/>
  <c r="DC8" i="3" a="1"/>
  <c r="DC8" i="3"/>
  <c r="DB9" i="3" a="1"/>
  <c r="DB9" i="3"/>
  <c r="CL6" i="3" a="1"/>
  <c r="CL6" i="3"/>
  <c r="CW7" i="3" a="1"/>
  <c r="CW7" i="3"/>
  <c r="CZ7" i="3" a="1"/>
  <c r="CZ7" i="3"/>
  <c r="CV6" i="3" a="1"/>
  <c r="CV6" i="3"/>
  <c r="CN6" i="3" a="1"/>
  <c r="CN6" i="3"/>
  <c r="CY7" i="3" a="1"/>
  <c r="CY7" i="3"/>
  <c r="DD9" i="3" a="1"/>
  <c r="DD9" i="3"/>
  <c r="DB7" i="3" a="1"/>
  <c r="DB7" i="3"/>
  <c r="DE6" i="3" a="1"/>
  <c r="DE6" i="3"/>
  <c r="CX8" i="3" a="1"/>
  <c r="CX8" i="3"/>
  <c r="CM6" i="3" a="1"/>
  <c r="CM6" i="3"/>
  <c r="CL8" i="3" a="1"/>
  <c r="CL8" i="3"/>
  <c r="CP6" i="3" a="1"/>
  <c r="CP6" i="3"/>
  <c r="DE7" i="3" a="1"/>
  <c r="DE7" i="3"/>
  <c r="DF7" i="3" a="1"/>
  <c r="DF7" i="3"/>
  <c r="DF6" i="3" a="1"/>
  <c r="DF6" i="3"/>
  <c r="CZ8" i="3" a="1"/>
  <c r="CZ8" i="3"/>
  <c r="CY6" i="3" a="1"/>
  <c r="CY6" i="3"/>
  <c r="CM7" i="3" a="1"/>
  <c r="CM7" i="3"/>
  <c r="CL7" i="3" a="1"/>
  <c r="CL7" i="3"/>
  <c r="CT7" i="3" a="1"/>
  <c r="CT7" i="3"/>
  <c r="CV7" i="3" a="1"/>
  <c r="CV7" i="3"/>
  <c r="CO6" i="3" a="1"/>
  <c r="CO6" i="3"/>
  <c r="DF9" i="3" a="1"/>
  <c r="DF9" i="3"/>
  <c r="CZ6" i="3" a="1"/>
  <c r="CZ6" i="3"/>
  <c r="DG6" i="3" a="1"/>
  <c r="DG6" i="3"/>
  <c r="DG8" i="3" a="1"/>
  <c r="DG8" i="3"/>
  <c r="CW8" i="3" a="1"/>
  <c r="CW8" i="3"/>
  <c r="CT8" i="3" a="1"/>
  <c r="CT8" i="3"/>
  <c r="CT9" i="3" a="1"/>
  <c r="CT9" i="3"/>
  <c r="CU8" i="3" a="1"/>
  <c r="CU8" i="3"/>
  <c r="CY8" i="3" a="1"/>
  <c r="CY8" i="3"/>
  <c r="DG7" i="3" a="1"/>
  <c r="DG7" i="3"/>
  <c r="DG9" i="3" a="1"/>
  <c r="DG9" i="3"/>
  <c r="DC9" i="3" a="1"/>
  <c r="DC9" i="3"/>
  <c r="DC6" i="3" a="1"/>
  <c r="DC6" i="3"/>
  <c r="DA9" i="3" a="1"/>
  <c r="DA9" i="3"/>
  <c r="DC7" i="3" a="1"/>
  <c r="DC7" i="3"/>
  <c r="CZ9" i="3" a="1"/>
  <c r="CZ9" i="3"/>
  <c r="CM36" i="3"/>
  <c r="DB20" i="3"/>
  <c r="CX44" i="3"/>
  <c r="CR44" i="3"/>
  <c r="DB36" i="3"/>
  <c r="CW44" i="3"/>
  <c r="CX36" i="3"/>
  <c r="CZ44" i="3"/>
  <c r="CW36" i="3"/>
  <c r="DD44" i="3"/>
  <c r="DB28" i="3"/>
  <c r="CV20" i="3"/>
  <c r="CQ44" i="3"/>
  <c r="DF44" i="3"/>
  <c r="CT44" i="3"/>
  <c r="CU44" i="3"/>
  <c r="DC44" i="3"/>
  <c r="CT20" i="3"/>
  <c r="CR36" i="3"/>
  <c r="DA44" i="3"/>
  <c r="CS44" i="3"/>
  <c r="DG44" i="3"/>
  <c r="DE44" i="3"/>
  <c r="CV44" i="3"/>
  <c r="CN44" i="3"/>
  <c r="CY44" i="3"/>
  <c r="CO44" i="3"/>
  <c r="CM44" i="3"/>
  <c r="DB44" i="3"/>
  <c r="CP44" i="3"/>
  <c r="DA28" i="3"/>
  <c r="CO36" i="3"/>
  <c r="DA36" i="3"/>
  <c r="CQ36" i="3"/>
  <c r="DD36" i="3"/>
  <c r="DG36" i="3"/>
  <c r="CP36" i="3"/>
  <c r="DD28" i="3"/>
  <c r="DE36" i="3"/>
  <c r="CV36" i="3"/>
  <c r="CY36" i="3"/>
  <c r="DF36" i="3"/>
  <c r="CS36" i="3"/>
  <c r="CN36" i="3"/>
  <c r="CL36" i="3"/>
  <c r="CU36" i="3"/>
  <c r="CT36" i="3"/>
  <c r="CZ36" i="3"/>
  <c r="DC36" i="3"/>
  <c r="CU28" i="3"/>
  <c r="DC28" i="3"/>
  <c r="CY28" i="3"/>
  <c r="DE28" i="3"/>
  <c r="CN28" i="3"/>
  <c r="CO28" i="3"/>
  <c r="CR28" i="3"/>
  <c r="CP28" i="3"/>
  <c r="CT28" i="3"/>
  <c r="CV28" i="3"/>
  <c r="CM28" i="3"/>
  <c r="CZ28" i="3"/>
  <c r="DF28" i="3"/>
  <c r="CS28" i="3"/>
  <c r="DG28" i="3"/>
  <c r="CX28" i="3"/>
  <c r="CL28" i="3"/>
  <c r="CW28" i="3"/>
  <c r="CQ28" i="3"/>
  <c r="CP20" i="3"/>
  <c r="DA20" i="3"/>
  <c r="CM20" i="3"/>
  <c r="DF20" i="3"/>
  <c r="DG20" i="3"/>
  <c r="CZ20" i="3"/>
  <c r="DC20" i="3"/>
  <c r="CX20" i="3"/>
  <c r="CO20" i="3"/>
  <c r="CQ20" i="3"/>
  <c r="CS20" i="3"/>
  <c r="DE20" i="3"/>
  <c r="CW20" i="3"/>
  <c r="CU20" i="3"/>
  <c r="CN20" i="3"/>
  <c r="CL20" i="3"/>
  <c r="CY20" i="3"/>
  <c r="DD20" i="3"/>
  <c r="CR20" i="3"/>
  <c r="DB12" i="3"/>
  <c r="CQ12" i="3"/>
  <c r="CS12" i="3"/>
  <c r="CO12" i="3"/>
  <c r="CM12" i="3"/>
  <c r="CW12" i="3"/>
  <c r="CX12" i="3"/>
  <c r="DG12" i="3"/>
  <c r="CP12" i="3"/>
  <c r="CY12" i="3"/>
  <c r="DD12" i="3"/>
  <c r="CV12" i="3"/>
  <c r="CR12" i="3"/>
  <c r="DA12" i="3"/>
  <c r="DE12" i="3"/>
  <c r="DF12" i="3"/>
  <c r="CT12" i="3"/>
  <c r="CZ12" i="3"/>
  <c r="CU12" i="3"/>
  <c r="DC12" i="3"/>
  <c r="CN12" i="3"/>
  <c r="CL12" i="3"/>
  <c r="CR4" i="3"/>
  <c r="CQ4" i="3"/>
  <c r="CS4" i="3"/>
  <c r="DE4" i="3"/>
  <c r="CN4" i="3"/>
  <c r="CY4" i="3"/>
  <c r="CW4" i="3"/>
  <c r="DB4" i="3"/>
  <c r="CM4" i="3"/>
  <c r="DC4" i="3"/>
  <c r="DF4" i="3"/>
  <c r="DA4" i="3"/>
  <c r="CP4" i="3"/>
  <c r="CO4" i="3"/>
  <c r="CX4" i="3"/>
  <c r="CV4" i="3"/>
  <c r="CU4" i="3"/>
  <c r="DD4" i="3"/>
  <c r="DG4" i="3"/>
  <c r="CZ4" i="3"/>
  <c r="CT4" i="3"/>
  <c r="CL4" i="3"/>
  <c r="CI38" i="3"/>
  <c r="CI22" i="3"/>
  <c r="CH24" i="3" a="1"/>
  <c r="CH24" i="3"/>
  <c r="CI30" i="3"/>
  <c r="CI14" i="3"/>
  <c r="CH14" i="3" a="1"/>
  <c r="CH14" i="3"/>
  <c r="V17" i="3"/>
  <c r="AF14" i="3"/>
  <c r="Y8" i="3"/>
  <c r="Y6" i="3"/>
  <c r="CI6" i="3"/>
  <c r="CH7" i="3" a="1"/>
  <c r="CH7" i="3"/>
  <c r="W47" i="3"/>
  <c r="CH25" i="3" a="1"/>
  <c r="CH25" i="3"/>
  <c r="CH22" i="3" a="1"/>
  <c r="CH22" i="3"/>
  <c r="AF49" i="3"/>
  <c r="CH23" i="3" a="1"/>
  <c r="CH23" i="3"/>
  <c r="CH41" i="3" a="1"/>
  <c r="CH41" i="3"/>
  <c r="CH38" i="3" a="1"/>
  <c r="CH38" i="3"/>
  <c r="CH40" i="3" a="1"/>
  <c r="CH40" i="3"/>
  <c r="CH39" i="3" a="1"/>
  <c r="CH39" i="3"/>
  <c r="CH31" i="3" a="1"/>
  <c r="CH31" i="3"/>
  <c r="CH30" i="3" a="1"/>
  <c r="CH30" i="3"/>
  <c r="CH33" i="3" a="1"/>
  <c r="CH33" i="3"/>
  <c r="CH32" i="3" a="1"/>
  <c r="CH32" i="3"/>
  <c r="CH16" i="3" a="1"/>
  <c r="CH16" i="3"/>
  <c r="CH15" i="3" a="1"/>
  <c r="CH15" i="3"/>
  <c r="CH17" i="3" a="1"/>
  <c r="CH17" i="3"/>
  <c r="W14" i="3"/>
  <c r="V15" i="3"/>
  <c r="U15" i="3"/>
  <c r="Y15" i="3"/>
  <c r="AF15" i="3"/>
  <c r="W15" i="3"/>
  <c r="AF17" i="3"/>
  <c r="W17" i="3"/>
  <c r="U17" i="3"/>
  <c r="W16" i="3"/>
  <c r="V14" i="3"/>
  <c r="Y16" i="3"/>
  <c r="Y17" i="3"/>
  <c r="Y14" i="3"/>
  <c r="U16" i="3"/>
  <c r="V16" i="3"/>
  <c r="AF16" i="3"/>
  <c r="U14" i="3"/>
  <c r="U7" i="3"/>
  <c r="AF7" i="3"/>
  <c r="Y7" i="3"/>
  <c r="W7" i="3"/>
  <c r="V7" i="3"/>
  <c r="AF8" i="3"/>
  <c r="W8" i="3"/>
  <c r="V8" i="3"/>
  <c r="U9" i="3"/>
  <c r="U8" i="3"/>
  <c r="AF9" i="3"/>
  <c r="V6" i="3"/>
  <c r="V9" i="3"/>
  <c r="W9" i="3"/>
  <c r="Y9" i="3"/>
  <c r="AF6" i="3"/>
  <c r="U6" i="3"/>
  <c r="W6" i="3"/>
  <c r="CH6" i="3" a="1"/>
  <c r="CH6" i="3"/>
  <c r="CH8" i="3" a="1"/>
  <c r="CH8" i="3"/>
  <c r="CH9" i="3" a="1"/>
  <c r="CH9" i="3"/>
  <c r="W46" i="3"/>
  <c r="U46" i="3"/>
  <c r="AF46" i="3"/>
  <c r="V46" i="3"/>
  <c r="Y46" i="3"/>
  <c r="AF47" i="3"/>
  <c r="U47" i="3"/>
  <c r="Y47" i="3"/>
  <c r="V47" i="3"/>
  <c r="Y49" i="3"/>
  <c r="W49" i="3"/>
  <c r="V49" i="3"/>
  <c r="U49" i="3"/>
  <c r="Y48" i="3"/>
  <c r="W48" i="3"/>
  <c r="U48" i="3"/>
  <c r="V48" i="3"/>
  <c r="AF48" i="3"/>
  <c r="W40" i="3"/>
  <c r="U40" i="3"/>
  <c r="Y40" i="3"/>
  <c r="V40" i="3"/>
  <c r="AF40" i="3"/>
  <c r="Y38" i="3"/>
  <c r="V38" i="3"/>
  <c r="AF38" i="3"/>
  <c r="U38" i="3"/>
  <c r="W38" i="3"/>
  <c r="V41" i="3"/>
  <c r="U41" i="3"/>
  <c r="W41" i="3"/>
  <c r="AF41" i="3"/>
  <c r="Y41" i="3"/>
  <c r="Y39" i="3"/>
  <c r="AF39" i="3"/>
  <c r="W39" i="3"/>
  <c r="V39" i="3"/>
  <c r="U39" i="3"/>
  <c r="AF32" i="3"/>
  <c r="Y32" i="3"/>
  <c r="V32" i="3"/>
  <c r="U32" i="3"/>
  <c r="W32" i="3"/>
  <c r="AF33" i="3"/>
  <c r="V33" i="3"/>
  <c r="Y33" i="3"/>
  <c r="W33" i="3"/>
  <c r="U33" i="3"/>
  <c r="W31" i="3"/>
  <c r="V31" i="3"/>
  <c r="Y31" i="3"/>
  <c r="U31" i="3"/>
  <c r="AF31" i="3"/>
  <c r="W30" i="3"/>
  <c r="Y30" i="3"/>
  <c r="V30" i="3"/>
  <c r="U30" i="3"/>
  <c r="AF30" i="3"/>
  <c r="U23" i="3"/>
  <c r="AF23" i="3"/>
  <c r="W23" i="3"/>
  <c r="Y23" i="3"/>
  <c r="V23" i="3"/>
  <c r="U25" i="3"/>
  <c r="Y25" i="3"/>
  <c r="V25" i="3"/>
  <c r="W25" i="3"/>
  <c r="AF25" i="3"/>
  <c r="V24" i="3"/>
  <c r="Y24" i="3"/>
  <c r="W24" i="3"/>
  <c r="U24" i="3"/>
  <c r="AF24" i="3"/>
  <c r="Y22" i="3"/>
  <c r="W22" i="3"/>
  <c r="AF22" i="3"/>
  <c r="V22" i="3"/>
  <c r="U22" i="3"/>
  <c r="CL55" i="3" a="1"/>
  <c r="CL55" i="3"/>
  <c r="CL56" i="3" a="1"/>
  <c r="CL57" i="3" a="1"/>
  <c r="CL56" i="3"/>
  <c r="CL57" i="3"/>
  <c r="CT55" i="3" a="1"/>
  <c r="CT55" i="3"/>
  <c r="CT56" i="3" a="1"/>
  <c r="CT56" i="3"/>
  <c r="CT57" i="3" a="1"/>
  <c r="CT57" i="3"/>
  <c r="CT52" i="3"/>
  <c r="CU54" i="3" a="1"/>
  <c r="CU54" i="3"/>
  <c r="CU55" i="3" a="1"/>
  <c r="CU55" i="3"/>
  <c r="CU56" i="3" a="1"/>
  <c r="CU57" i="3" a="1"/>
  <c r="CU56" i="3"/>
  <c r="CU57" i="3"/>
  <c r="CU52" i="3"/>
  <c r="CX57" i="3" a="1"/>
  <c r="CX57" i="3"/>
  <c r="CX52" i="3"/>
  <c r="CZ57" i="3" a="1"/>
  <c r="CZ57" i="3"/>
  <c r="CZ52" i="3"/>
  <c r="DA57" i="3" a="1"/>
  <c r="DA57" i="3"/>
  <c r="DA52" i="3"/>
  <c r="DB54" i="3" a="1"/>
  <c r="DB54" i="3"/>
  <c r="DB55" i="3" a="1"/>
  <c r="DB55" i="3"/>
  <c r="DB56" i="3" a="1"/>
  <c r="DB57" i="3" a="1"/>
  <c r="DB56" i="3"/>
  <c r="DB57" i="3"/>
  <c r="DB52" i="3"/>
  <c r="DC54" i="3" a="1"/>
  <c r="DC54" i="3"/>
  <c r="DC55" i="3" a="1"/>
  <c r="DC55" i="3"/>
  <c r="DC56" i="3" a="1"/>
  <c r="DC57" i="3" a="1"/>
  <c r="DC56" i="3"/>
  <c r="DC57" i="3"/>
  <c r="DC52" i="3"/>
  <c r="DD54" i="3" a="1"/>
  <c r="DD54" i="3"/>
  <c r="DD55" i="3" a="1"/>
  <c r="DD55" i="3"/>
  <c r="DD56" i="3" a="1"/>
  <c r="DD57" i="3" a="1"/>
  <c r="DD56" i="3"/>
  <c r="DD57" i="3"/>
  <c r="DD52" i="3"/>
  <c r="DE54" i="3" a="1"/>
  <c r="DE54" i="3"/>
  <c r="DE55" i="3" a="1"/>
  <c r="DE55" i="3"/>
  <c r="DE56" i="3" a="1"/>
  <c r="DE57" i="3" a="1"/>
  <c r="DE56" i="3"/>
  <c r="DE57" i="3"/>
  <c r="DE52" i="3"/>
  <c r="DF54" i="3" a="1"/>
  <c r="DF54" i="3"/>
  <c r="DF55" i="3" a="1"/>
  <c r="DF55" i="3"/>
  <c r="DF56" i="3" a="1"/>
  <c r="DF57" i="3" a="1"/>
  <c r="DF56" i="3"/>
  <c r="DF57" i="3"/>
  <c r="DF52" i="3"/>
  <c r="DG54" i="3" a="1"/>
  <c r="DG54" i="3"/>
  <c r="DG55" i="3" a="1"/>
  <c r="DG55" i="3"/>
  <c r="DG56" i="3" a="1"/>
  <c r="DG57" i="3" a="1"/>
  <c r="DG56" i="3"/>
  <c r="DG57" i="3"/>
  <c r="DG52" i="3"/>
  <c r="CL65" i="3" a="1"/>
  <c r="CL65" i="3"/>
  <c r="CT65" i="3" a="1"/>
  <c r="CT65" i="3"/>
  <c r="CT60" i="3"/>
  <c r="CU65" i="3" a="1"/>
  <c r="CU65" i="3"/>
  <c r="CU60" i="3"/>
  <c r="CX65" i="3" a="1"/>
  <c r="CX65" i="3"/>
  <c r="CX60" i="3"/>
  <c r="CZ65" i="3" a="1"/>
  <c r="CZ65" i="3"/>
  <c r="CZ60" i="3"/>
  <c r="DA65" i="3" a="1"/>
  <c r="DA65" i="3"/>
  <c r="DA60" i="3"/>
  <c r="DB65" i="3" a="1"/>
  <c r="DB65" i="3"/>
  <c r="DB60" i="3"/>
  <c r="DC65" i="3" a="1"/>
  <c r="DC65" i="3"/>
  <c r="DC60" i="3"/>
  <c r="DD65" i="3" a="1"/>
  <c r="DD65" i="3"/>
  <c r="DD60" i="3"/>
  <c r="DE65" i="3" a="1"/>
  <c r="DE65" i="3"/>
  <c r="DE60" i="3"/>
  <c r="DF65" i="3" a="1"/>
  <c r="DF65" i="3"/>
  <c r="DF60" i="3"/>
  <c r="DG65" i="3" a="1"/>
  <c r="DG65" i="3"/>
  <c r="DG60" i="3"/>
  <c r="CL46" i="3" a="1"/>
  <c r="CL46" i="3"/>
  <c r="CL44" i="3"/>
  <c r="CI46" i="3"/>
  <c r="CH48" i="3" a="1"/>
  <c r="CH48" i="3"/>
  <c r="CH47" i="3" a="1"/>
  <c r="CH47" i="3"/>
  <c r="CH46" i="3" a="1"/>
  <c r="CH46" i="3"/>
  <c r="CH49" i="3" a="1"/>
  <c r="CH49" i="3"/>
  <c r="CL54" i="3" a="1"/>
  <c r="CL54" i="3"/>
  <c r="CL52" i="3"/>
  <c r="CI54" i="3"/>
  <c r="CH57" i="3" a="1"/>
  <c r="CH57" i="3"/>
  <c r="CH56" i="3" a="1"/>
  <c r="CH56" i="3"/>
  <c r="CH55" i="3" a="1"/>
  <c r="CH55" i="3"/>
  <c r="CH54" i="3" a="1"/>
  <c r="CH54" i="3"/>
  <c r="CL62" i="3" a="1"/>
  <c r="CL62" i="3"/>
  <c r="CL60" i="3"/>
  <c r="CI62" i="3"/>
  <c r="CH62" i="3" a="1"/>
  <c r="CH62" i="3"/>
  <c r="CH63" i="3" a="1"/>
  <c r="CH63" i="3"/>
  <c r="CH64" i="3" a="1"/>
  <c r="CH64" i="3"/>
  <c r="CH65" i="3" a="1"/>
  <c r="CH65" i="3"/>
  <c r="D8" i="37"/>
  <c r="AC2" i="36"/>
  <c r="AH2" i="36"/>
  <c r="S2" i="36"/>
  <c r="N2" i="36"/>
  <c r="X2" i="36"/>
  <c r="C8" i="37"/>
  <c r="B8" i="37"/>
  <c r="D7" i="37"/>
  <c r="C7" i="37"/>
  <c r="B7" i="37"/>
  <c r="D6" i="37"/>
  <c r="C6" i="37"/>
  <c r="B6" i="37"/>
  <c r="D5" i="37"/>
  <c r="C5" i="37"/>
  <c r="B5" i="37"/>
  <c r="D4" i="37"/>
  <c r="C4" i="37"/>
  <c r="B4" i="3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<sst xmlns="http://schemas.openxmlformats.org/spreadsheetml/2006/main" count="1453" uniqueCount="448">
  <si>
    <t>A</t>
  </si>
  <si>
    <t>B</t>
  </si>
  <si>
    <t>C</t>
  </si>
  <si>
    <t>E</t>
  </si>
  <si>
    <t>F</t>
  </si>
  <si>
    <t>Equipo</t>
  </si>
  <si>
    <t>J</t>
  </si>
  <si>
    <t>G</t>
  </si>
  <si>
    <t>P</t>
  </si>
  <si>
    <t>GF</t>
  </si>
  <si>
    <t>GC</t>
  </si>
  <si>
    <t>Dif</t>
  </si>
  <si>
    <t>Fecha</t>
  </si>
  <si>
    <t>Puesto</t>
  </si>
  <si>
    <t>Ptos</t>
  </si>
  <si>
    <t>Rank</t>
  </si>
  <si>
    <t>X</t>
  </si>
  <si>
    <t>Pos</t>
  </si>
  <si>
    <t>matejero</t>
  </si>
  <si>
    <t>Rellenar los cuadros grises</t>
  </si>
  <si>
    <t>Casa</t>
  </si>
  <si>
    <t>Fuera</t>
  </si>
  <si>
    <t>Gol</t>
  </si>
  <si>
    <t>AUXILIARES</t>
  </si>
  <si>
    <t>TOPIC</t>
  </si>
  <si>
    <t>VALUE</t>
  </si>
  <si>
    <t>Entre Iguales</t>
  </si>
  <si>
    <t>Diferencia de Goles - Partidos Cruzados</t>
  </si>
  <si>
    <t>Goles - Partidos Cruzados</t>
  </si>
  <si>
    <t>NEquipEqual</t>
  </si>
  <si>
    <t>SIN EMPEZAR</t>
  </si>
  <si>
    <t>Ranking Inv</t>
  </si>
  <si>
    <t>PUNTOS</t>
  </si>
  <si>
    <t>TU NOMBRE</t>
  </si>
  <si>
    <t>Campeón</t>
  </si>
  <si>
    <t>Subcampeón</t>
  </si>
  <si>
    <t>BOMBO</t>
  </si>
  <si>
    <t>CUADRO DE HONOR</t>
  </si>
  <si>
    <t>NR</t>
  </si>
  <si>
    <t>Inicio</t>
  </si>
  <si>
    <t>1R</t>
  </si>
  <si>
    <t>OP1</t>
  </si>
  <si>
    <t>OP2</t>
  </si>
  <si>
    <t>COM_1</t>
  </si>
  <si>
    <t>OP3</t>
  </si>
  <si>
    <t>OP4</t>
  </si>
  <si>
    <t>OP5</t>
  </si>
  <si>
    <t>OP6</t>
  </si>
  <si>
    <t>OP7</t>
  </si>
  <si>
    <t>OP8</t>
  </si>
  <si>
    <t>OP9</t>
  </si>
  <si>
    <t>OP10</t>
  </si>
  <si>
    <t>COM_2</t>
  </si>
  <si>
    <t>COM_3</t>
  </si>
  <si>
    <t>COM_4</t>
  </si>
  <si>
    <t>COM_5</t>
  </si>
  <si>
    <t>COM_6</t>
  </si>
  <si>
    <t>COM_7</t>
  </si>
  <si>
    <t>COM_8</t>
  </si>
  <si>
    <t>Signo</t>
  </si>
  <si>
    <t>Gf</t>
  </si>
  <si>
    <t>no</t>
  </si>
  <si>
    <t>Valor</t>
  </si>
  <si>
    <t>Sum</t>
  </si>
  <si>
    <t>Com</t>
  </si>
  <si>
    <t>¡EMPATE! Puedes seleccionar el orden de los empatados.</t>
  </si>
  <si>
    <t>Limitación de responsabilidad:</t>
  </si>
  <si>
    <t>Autor:</t>
  </si>
  <si>
    <t>Miguel Angel Tejero</t>
  </si>
  <si>
    <t>J1</t>
  </si>
  <si>
    <t>J2</t>
  </si>
  <si>
    <t>J3</t>
  </si>
  <si>
    <t>Hora</t>
  </si>
  <si>
    <t>OK</t>
  </si>
  <si>
    <t>NombreEquipo</t>
  </si>
  <si>
    <t>Jor.</t>
  </si>
  <si>
    <t>Pts</t>
  </si>
  <si>
    <t>GRUPOS</t>
  </si>
  <si>
    <t>1/4</t>
  </si>
  <si>
    <t>1/2</t>
  </si>
  <si>
    <t>Semifinales</t>
  </si>
  <si>
    <t>Final</t>
  </si>
  <si>
    <t>España</t>
  </si>
  <si>
    <t>HORAS---&gt;</t>
  </si>
  <si>
    <t>GA</t>
  </si>
  <si>
    <t>GB</t>
  </si>
  <si>
    <t>SF</t>
  </si>
  <si>
    <t>1º GRUPO A</t>
  </si>
  <si>
    <t>2º GRUPO A</t>
  </si>
  <si>
    <t>3º GRUPO A</t>
  </si>
  <si>
    <t>4º GRUPO A</t>
  </si>
  <si>
    <t>1º GRUPO B</t>
  </si>
  <si>
    <t>2º GRUPO B</t>
  </si>
  <si>
    <t>3º GRUPO B</t>
  </si>
  <si>
    <t>4º GRUPO B</t>
  </si>
  <si>
    <t>1º GRUPO C</t>
  </si>
  <si>
    <t>2º GRUPO C</t>
  </si>
  <si>
    <t>3º GRUPO C</t>
  </si>
  <si>
    <t>4º GRUPO C</t>
  </si>
  <si>
    <t>DG</t>
  </si>
  <si>
    <t>Selección</t>
  </si>
  <si>
    <t>Cuartos de final</t>
  </si>
  <si>
    <t>Selecciona Horario:</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</si>
  <si>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</si>
  <si>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</si>
  <si>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</si>
  <si>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</si>
  <si>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</si>
  <si>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Gales</t>
  </si>
  <si>
    <t>Inglaterra</t>
  </si>
  <si>
    <t>Rusia</t>
  </si>
  <si>
    <t>Alemania</t>
  </si>
  <si>
    <t>Polonia</t>
  </si>
  <si>
    <t>Ucrania</t>
  </si>
  <si>
    <t>Croacia</t>
  </si>
  <si>
    <t>Italia</t>
  </si>
  <si>
    <t>Suecia</t>
  </si>
  <si>
    <t>Portugal</t>
  </si>
  <si>
    <t>GD</t>
  </si>
  <si>
    <t>GE</t>
  </si>
  <si>
    <t>Octavos de final</t>
  </si>
  <si>
    <t>1/8</t>
  </si>
  <si>
    <t>Victorias</t>
  </si>
  <si>
    <t>Puntos - Partidos Cruzados</t>
  </si>
  <si>
    <t>CUARTOS</t>
  </si>
  <si>
    <t>OCTAVOS</t>
  </si>
  <si>
    <t>1º GRUPO D</t>
  </si>
  <si>
    <t>2º GRUPO D</t>
  </si>
  <si>
    <t>3º GRUPO D</t>
  </si>
  <si>
    <t>4º GRUPO D</t>
  </si>
  <si>
    <t>1º GRUPO E</t>
  </si>
  <si>
    <t>2º GRUPO E</t>
  </si>
  <si>
    <t>3º GRUPO E</t>
  </si>
  <si>
    <t>4º GRUPO E</t>
  </si>
  <si>
    <t>1º GRUPO F</t>
  </si>
  <si>
    <t>2º GRUPO F</t>
  </si>
  <si>
    <t>3º GRUPO F</t>
  </si>
  <si>
    <t>4º GRUPO F</t>
  </si>
  <si>
    <t>Foto: De Jcer80 - Trabajo propio, CC BY-SA 3.0, wikipedia</t>
  </si>
  <si>
    <t>SEDES</t>
  </si>
  <si>
    <t>Bélgica</t>
  </si>
  <si>
    <t>banderas</t>
  </si>
  <si>
    <t>Dinamarca</t>
  </si>
  <si>
    <t>Paises Bajos</t>
  </si>
  <si>
    <t>=AR</t>
  </si>
  <si>
    <t>A1</t>
  </si>
  <si>
    <t>B1</t>
  </si>
  <si>
    <t>C1</t>
  </si>
  <si>
    <t>D1</t>
  </si>
  <si>
    <t>E1</t>
  </si>
  <si>
    <t>F1</t>
  </si>
  <si>
    <t>A2</t>
  </si>
  <si>
    <t>B2</t>
  </si>
  <si>
    <t>C2</t>
  </si>
  <si>
    <t>D2</t>
  </si>
  <si>
    <t>E2</t>
  </si>
  <si>
    <t>F2</t>
  </si>
  <si>
    <t>A3</t>
  </si>
  <si>
    <t>B3</t>
  </si>
  <si>
    <t>C3</t>
  </si>
  <si>
    <t>D3</t>
  </si>
  <si>
    <t>E3</t>
  </si>
  <si>
    <t>F3</t>
  </si>
  <si>
    <t>Escocia</t>
  </si>
  <si>
    <t>DG X</t>
  </si>
  <si>
    <t>G X</t>
  </si>
  <si>
    <t>Turquía</t>
  </si>
  <si>
    <t>H</t>
  </si>
  <si>
    <t>GH</t>
  </si>
  <si>
    <t>3-4</t>
  </si>
  <si>
    <t>PUNTOS General</t>
  </si>
  <si>
    <t>P Part</t>
  </si>
  <si>
    <t>DG part</t>
  </si>
  <si>
    <t>G part</t>
  </si>
  <si>
    <t>3º y 4º puesto</t>
  </si>
  <si>
    <t>3º Clasificado</t>
  </si>
  <si>
    <t>Catar</t>
  </si>
  <si>
    <r>
      <t xml:space="preserve">Bota de Oro </t>
    </r>
    <r>
      <rPr>
        <b/>
        <sz val="8"/>
        <color theme="0"/>
        <rFont val="Calibri"/>
        <family val="2"/>
        <scheme val="minor"/>
      </rPr>
      <t xml:space="preserve"> </t>
    </r>
    <r>
      <rPr>
        <b/>
        <sz val="8"/>
        <color theme="0"/>
        <rFont val="Calibri (Cuerpo)"/>
      </rPr>
      <t>(máximo goleador)</t>
    </r>
  </si>
  <si>
    <r>
      <t xml:space="preserve">Balón de Oro </t>
    </r>
    <r>
      <rPr>
        <b/>
        <sz val="8"/>
        <color theme="0"/>
        <rFont val="Calibri"/>
        <family val="2"/>
        <scheme val="minor"/>
      </rPr>
      <t xml:space="preserve"> </t>
    </r>
    <r>
      <rPr>
        <b/>
        <sz val="8"/>
        <color theme="0"/>
        <rFont val="Calibri (Cuerpo)"/>
      </rPr>
      <t>(mejor jugador)</t>
    </r>
  </si>
  <si>
    <r>
      <t>Bota de Plata</t>
    </r>
    <r>
      <rPr>
        <b/>
        <sz val="8"/>
        <color theme="0"/>
        <rFont val="Calibri (Cuerpo)"/>
      </rPr>
      <t xml:space="preserve"> (2º máximo goleador)</t>
    </r>
  </si>
  <si>
    <r>
      <t xml:space="preserve">Bota de Bronce </t>
    </r>
    <r>
      <rPr>
        <b/>
        <sz val="8"/>
        <color theme="0"/>
        <rFont val="Calibri (Cuerpo)"/>
      </rPr>
      <t>(3º máximo goleador)</t>
    </r>
  </si>
  <si>
    <r>
      <t>Balón de Plata</t>
    </r>
    <r>
      <rPr>
        <b/>
        <sz val="8"/>
        <color theme="0"/>
        <rFont val="Calibri (Cuerpo)"/>
      </rPr>
      <t xml:space="preserve"> (2º mejor jugador)</t>
    </r>
  </si>
  <si>
    <r>
      <t xml:space="preserve">Balón de Bronce </t>
    </r>
    <r>
      <rPr>
        <b/>
        <sz val="8"/>
        <color theme="0"/>
        <rFont val="Calibri (Cuerpo)"/>
      </rPr>
      <t>(3º mejor jugador)</t>
    </r>
  </si>
  <si>
    <t>H1</t>
  </si>
  <si>
    <t>G1</t>
  </si>
  <si>
    <t>G2</t>
  </si>
  <si>
    <t>H2</t>
  </si>
  <si>
    <t>G3</t>
  </si>
  <si>
    <t>H3</t>
  </si>
  <si>
    <t>3º y 4º Puesto (1)</t>
  </si>
  <si>
    <t>Serbia</t>
  </si>
  <si>
    <t>UTC</t>
  </si>
  <si>
    <t>Argentina</t>
  </si>
  <si>
    <t>Brasil</t>
  </si>
  <si>
    <t>DIFERENCIA CON CATAR</t>
  </si>
  <si>
    <t>Irán</t>
  </si>
  <si>
    <t>Corea del Sur</t>
  </si>
  <si>
    <t>Emiratos Arabes Unidos</t>
  </si>
  <si>
    <t>Irak</t>
  </si>
  <si>
    <t>Siria</t>
  </si>
  <si>
    <t>Libano</t>
  </si>
  <si>
    <t>Japón</t>
  </si>
  <si>
    <t>Australia</t>
  </si>
  <si>
    <t>Arabia Saudita</t>
  </si>
  <si>
    <t>China</t>
  </si>
  <si>
    <t>Omán</t>
  </si>
  <si>
    <t>Vietnam</t>
  </si>
  <si>
    <t>en minutos son 30</t>
  </si>
  <si>
    <t>https://www.zeitverschiebung.net/es/country/vn</t>
  </si>
  <si>
    <t>Ecuador</t>
  </si>
  <si>
    <t>Uruguay</t>
  </si>
  <si>
    <t>Colombia</t>
  </si>
  <si>
    <t>Paraguay</t>
  </si>
  <si>
    <t>Chile</t>
  </si>
  <si>
    <t>Estados unidos</t>
  </si>
  <si>
    <t>Canadá</t>
  </si>
  <si>
    <t>Costa Rica</t>
  </si>
  <si>
    <t>El Salvador</t>
  </si>
  <si>
    <t>Honduras</t>
  </si>
  <si>
    <t>Jamaica</t>
  </si>
  <si>
    <t>Panamá</t>
  </si>
  <si>
    <t>New York</t>
  </si>
  <si>
    <t>Toronto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</si>
  <si>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</si>
  <si>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</si>
  <si>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</si>
  <si>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</si>
  <si>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</si>
  <si>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</si>
  <si>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</si>
  <si>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</si>
  <si>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</si>
  <si>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</si>
  <si>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</si>
  <si>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</si>
  <si>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</si>
  <si>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</si>
  <si>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</si>
  <si>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</si>
  <si>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</si>
  <si>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</si>
  <si>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</si>
  <si>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</si>
  <si>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</si>
  <si>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</si>
  <si>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</si>
  <si>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</si>
  <si>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</si>
  <si>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</si>
  <si>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</si>
  <si>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</si>
  <si>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</si>
  <si>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</si>
  <si>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</si>
  <si>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</si>
  <si>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</si>
  <si>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</si>
  <si>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</si>
  <si>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</si>
  <si>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</si>
  <si>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</si>
  <si>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</si>
  <si>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</si>
  <si>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</si>
  <si>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</si>
  <si>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</si>
  <si>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</si>
  <si>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Sel</t>
  </si>
  <si>
    <t>3º-4º</t>
  </si>
  <si>
    <t>F-34</t>
  </si>
  <si>
    <t>3º</t>
  </si>
  <si>
    <t>2º</t>
  </si>
  <si>
    <t>1º</t>
  </si>
  <si>
    <t>PJ</t>
  </si>
  <si>
    <t>Admin</t>
  </si>
  <si>
    <t>Selecciona el Nº de Jugadores</t>
  </si>
  <si>
    <t>↓↓ Resultados reales ↓↓</t>
  </si>
  <si>
    <t>Regla*</t>
  </si>
  <si>
    <t>Puntos</t>
  </si>
  <si>
    <t>Fase de grupos</t>
  </si>
  <si>
    <t>FASE DE GRUPOS - Signo 1X2* (local, empate, visitante)</t>
  </si>
  <si>
    <t>Pegar Valores J1</t>
  </si>
  <si>
    <t>FASE DE GRUPOS - Resultado exacto</t>
  </si>
  <si>
    <t>FASE DE GRUPOS - Posición exacta (1º)</t>
  </si>
  <si>
    <t>FASE DE GRUPOS - Posición exacta (2º)</t>
  </si>
  <si>
    <t>FASE DE GRUPOS - Posición exacta (3º)</t>
  </si>
  <si>
    <t>FASE DE GRUPOS - Posición exacta (4º)</t>
  </si>
  <si>
    <t>Equipo clasificado para OCTAVOS</t>
  </si>
  <si>
    <t>OCTAVOS - Signo 1X2  (local, empate, visitante)</t>
  </si>
  <si>
    <t>OCTAVOS - Resultado exacto</t>
  </si>
  <si>
    <t>Equipo clasificado para CUARTOS</t>
  </si>
  <si>
    <t>CUARTOS - Signo 1X2  (local, empate, visitante)</t>
  </si>
  <si>
    <t>Pegar Valores J2</t>
  </si>
  <si>
    <t>CUARTOS - Resultado exacto</t>
  </si>
  <si>
    <t>Equipo clasificado para SEMIFINALES</t>
  </si>
  <si>
    <t>SEMIFINALES - Signo 1X2  (local, empate, visitante)</t>
  </si>
  <si>
    <t>SEMIFINALES - Resultado exacto</t>
  </si>
  <si>
    <t>Equipo clasificado para LA FINAL</t>
  </si>
  <si>
    <t>FINAL - Signo 1X2  (local, empate, visitante)</t>
  </si>
  <si>
    <t>FINAL - Resultado exacto</t>
  </si>
  <si>
    <t>Pegar Valores J3</t>
  </si>
  <si>
    <t>Posición grupos</t>
  </si>
  <si>
    <t>Clasificados para Octavos de Final</t>
  </si>
  <si>
    <t>Enfrentamientos Octavos de Final</t>
  </si>
  <si>
    <t>Pegar Valores Octavos</t>
  </si>
  <si>
    <t>Clasificados para Cuartos de Final</t>
  </si>
  <si>
    <t>Enfrentamientos Cuartos de Final</t>
  </si>
  <si>
    <t>Pegar valores Cuartos</t>
  </si>
  <si>
    <t>Clasificados para Semifinales</t>
  </si>
  <si>
    <t>Enfrentamientos Semifinales</t>
  </si>
  <si>
    <t>Pegar valores Semifinales</t>
  </si>
  <si>
    <t>Clasificados para la Final</t>
  </si>
  <si>
    <t>Partido Final</t>
  </si>
  <si>
    <t>Pegar valores Final</t>
  </si>
  <si>
    <t>Cuadro de honor</t>
  </si>
  <si>
    <t>Pegar valores iniciales</t>
  </si>
  <si>
    <t>1º GRUPO G</t>
  </si>
  <si>
    <t>2º GRUPO G</t>
  </si>
  <si>
    <t>3º GRUPO G</t>
  </si>
  <si>
    <t>4º GRUPO G</t>
  </si>
  <si>
    <t>1º GRUPO H</t>
  </si>
  <si>
    <t>2º GRUPO H</t>
  </si>
  <si>
    <t>3º GRUPO H</t>
  </si>
  <si>
    <t>4º GRUPO H</t>
  </si>
  <si>
    <t>3º y 4º Puesto (2)</t>
  </si>
  <si>
    <t>Bota de Oro  (máximo goleador)</t>
  </si>
  <si>
    <t>Bota de Plata (2º máximo goleador)</t>
  </si>
  <si>
    <t>Bota de Bronce (3º máximo goleador)</t>
  </si>
  <si>
    <t>Balón de Oro  (mejor jugador)</t>
  </si>
  <si>
    <t>Balón de Plata (2º mejor jugador)</t>
  </si>
  <si>
    <t>Balón de Bronce (3º mejor jugador)</t>
  </si>
  <si>
    <t>Partido 3º y 4º puesto</t>
  </si>
  <si>
    <t>Jugador</t>
  </si>
  <si>
    <t>Puntos Totales</t>
  </si>
  <si>
    <t>F. Grupos</t>
  </si>
  <si>
    <t>Pos. Grupos</t>
  </si>
  <si>
    <t>Equipos 1/8</t>
  </si>
  <si>
    <t>Partidos 1/8</t>
  </si>
  <si>
    <t>Equipos 1/4</t>
  </si>
  <si>
    <t>Partidos 1/4</t>
  </si>
  <si>
    <t>Equipos 1/2</t>
  </si>
  <si>
    <t>Partidos 1/2</t>
  </si>
  <si>
    <t>Equipos Final</t>
  </si>
  <si>
    <t>Cuadro de Honor</t>
  </si>
  <si>
    <t>Partidos 3º4º</t>
  </si>
  <si>
    <t>Equipos 3º4º</t>
  </si>
  <si>
    <t>Equipo clasificado para 3ºy4º Puesto</t>
  </si>
  <si>
    <t>3ºy4º PUESTO - Signo 1X2  (local, empate, visitante)</t>
  </si>
  <si>
    <t>3ºy4º PUESTO - Resultado exacto</t>
  </si>
  <si>
    <t>Arabia Saudí</t>
  </si>
  <si>
    <t>Camerún</t>
  </si>
  <si>
    <t>Ghana</t>
  </si>
  <si>
    <t>Marruecos</t>
  </si>
  <si>
    <t>México</t>
  </si>
  <si>
    <t>Países Bajos</t>
  </si>
  <si>
    <t>Senegal</t>
  </si>
  <si>
    <t>Túnez</t>
  </si>
  <si>
    <t>Perú</t>
  </si>
  <si>
    <t>Canberra</t>
  </si>
  <si>
    <t>Nueva Zelanda</t>
  </si>
  <si>
    <t>Islas Salomón</t>
  </si>
  <si>
    <t>🇹🇳</t>
  </si>
  <si>
    <t>🇸🇳</t>
  </si>
  <si>
    <t>🇲🇦</t>
  </si>
  <si>
    <t>🇵🇱</t>
  </si>
  <si>
    <t>🇨🇲</t>
  </si>
  <si>
    <t>🇬🇭</t>
  </si>
  <si>
    <t>🏴󠁧󠁢󠁷󠁬󠁳󠁿</t>
  </si>
  <si>
    <t>🇺🇦</t>
  </si>
  <si>
    <t>🇵🇪</t>
  </si>
  <si>
    <t>🇳🇿</t>
  </si>
  <si>
    <t>🇸🇧</t>
  </si>
  <si>
    <t>ADMINISTRADOR</t>
  </si>
  <si>
    <t>PD:por disputar, 1:local, 2:visitante, 0:empate</t>
  </si>
  <si>
    <t>SEMIFINAL - Acertar diferencia de goles (acertando signo)</t>
  </si>
  <si>
    <t>3ºy4º PUESTO - Acertar diferencia de goles (acertando signo)</t>
  </si>
  <si>
    <t>FINAL - Acertar diferencia de goles (acertando signo)</t>
  </si>
  <si>
    <t>CUARTOS - Acertar diferencia de goles (acertando signo)</t>
  </si>
  <si>
    <t>OCTAVOS - Acertar diferencia de goles (acertando signo)</t>
  </si>
  <si>
    <t>FASE DE GRUPOS - Acertar diferencia de goles (acertando signo)</t>
  </si>
  <si>
    <t>UTC -4</t>
  </si>
  <si>
    <t>UTC +2</t>
  </si>
  <si>
    <t>UTC -12</t>
  </si>
  <si>
    <t>UTC -11</t>
  </si>
  <si>
    <t>UTC -10</t>
  </si>
  <si>
    <t>UTC -9</t>
  </si>
  <si>
    <t>UTC -8</t>
  </si>
  <si>
    <t>UTC -7</t>
  </si>
  <si>
    <t>UTC -6</t>
  </si>
  <si>
    <t>UTC -5</t>
  </si>
  <si>
    <t>UTC -3</t>
  </si>
  <si>
    <t>UTC -2</t>
  </si>
  <si>
    <t>UTC -1</t>
  </si>
  <si>
    <t>UTC 0</t>
  </si>
  <si>
    <t>UTC +1</t>
  </si>
  <si>
    <t>UTC +3</t>
  </si>
  <si>
    <t>UTC +4</t>
  </si>
  <si>
    <t>UTC +5</t>
  </si>
  <si>
    <t>UTC +6</t>
  </si>
  <si>
    <t>UTC +7</t>
  </si>
  <si>
    <t>UTC +8</t>
  </si>
  <si>
    <t>UTC +9</t>
  </si>
  <si>
    <t>UTC +10</t>
  </si>
  <si>
    <t>UTC +11</t>
  </si>
  <si>
    <t>UTC +12</t>
  </si>
  <si>
    <t>Selecciona fecha</t>
  </si>
  <si>
    <t>Octavofinalista1</t>
  </si>
  <si>
    <t>Octavofinalista2</t>
  </si>
  <si>
    <t>Octavofinalista3</t>
  </si>
  <si>
    <t>Octavofinalista4</t>
  </si>
  <si>
    <t>Octavofinalista5</t>
  </si>
  <si>
    <t>Octavofinalista6</t>
  </si>
  <si>
    <t>Octavofinalista7</t>
  </si>
  <si>
    <t>Octavofinalista8</t>
  </si>
  <si>
    <t>Octavofinalista9</t>
  </si>
  <si>
    <t>Octavofinalista10</t>
  </si>
  <si>
    <t>Octavofinalista11</t>
  </si>
  <si>
    <t>Octavofinalista12</t>
  </si>
  <si>
    <t>Octavofinalista13</t>
  </si>
  <si>
    <t>Octavofinalista14</t>
  </si>
  <si>
    <t>Octavofinalista15</t>
  </si>
  <si>
    <t>Octavofinalista16</t>
  </si>
  <si>
    <t>Cuartofinalista1</t>
  </si>
  <si>
    <t>Cuartofinalista2</t>
  </si>
  <si>
    <t>Cuartofinalista3</t>
  </si>
  <si>
    <t>Cuartofinalista4</t>
  </si>
  <si>
    <t>Cuartofinalista5</t>
  </si>
  <si>
    <t>Cuartofinalista6</t>
  </si>
  <si>
    <t>Cuartofinalista7</t>
  </si>
  <si>
    <t>Cuartofinalista8</t>
  </si>
  <si>
    <t>Semifinalista1</t>
  </si>
  <si>
    <t>Semifinalista2</t>
  </si>
  <si>
    <t>Semifinalista3</t>
  </si>
  <si>
    <t>Semifinalista4</t>
  </si>
  <si>
    <t>Finalista1</t>
  </si>
  <si>
    <t>Finalista2</t>
  </si>
  <si>
    <t>Nombre</t>
  </si>
  <si>
    <t>Selecciona día:</t>
  </si>
  <si>
    <t>https://matejero.es/puntuaciones-excel-mundial-2022/</t>
  </si>
  <si>
    <t>* Los criterios de puntuación están explicados en:</t>
  </si>
  <si>
    <t>Nombre J1</t>
  </si>
  <si>
    <t>Nombre J2</t>
  </si>
  <si>
    <t>Nombre J3</t>
  </si>
  <si>
    <t>Nombre J4</t>
  </si>
  <si>
    <t>Nombre J5</t>
  </si>
  <si>
    <t>Nombre jugador</t>
  </si>
  <si>
    <t>Esta versión es para un máximo de 5 participantes</t>
  </si>
  <si>
    <r>
      <rPr>
        <b/>
        <sz val="11"/>
        <color theme="1"/>
        <rFont val="Calibri"/>
        <family val="2"/>
        <scheme val="minor"/>
      </rPr>
      <t>Fecha de la útima versión:</t>
    </r>
    <r>
      <rPr>
        <sz val="11"/>
        <color theme="1"/>
        <rFont val="Calibri"/>
        <family val="2"/>
        <scheme val="minor"/>
      </rPr>
      <t xml:space="preserve"> 9/11/2022. Corrección de un caso de desempate en los grupos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</si>
</sst>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0.00\ &quot;€&quot;;[Red]\-#,##0.00\ &quot;€&quot;"/>
    <numFmt numFmtId="164" formatCode="0.0"/>
    <numFmt numFmtId="165" formatCode="h:mm;@"/>
  </numFmts>
  <fonts count="76">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sz val="9"/>
      <color theme="0" tint="-0.14999847407452621"/>
      <name val="Arial"/>
      <family val="2"/>
    </font>
    <font>
      <sz val="10"/>
      <color theme="0"/>
      <name val="Calibri"/>
      <family val="2"/>
      <scheme val="minor"/>
    </font>
    <font>
      <b/>
      <sz val="10"/>
      <name val="Calibri"/>
      <family val="2"/>
      <scheme val="minor"/>
    </font>
    <font>
      <b/>
      <sz val="13"/>
      <color theme="0"/>
      <name val="Calibri"/>
      <family val="2"/>
      <scheme val="minor"/>
    </font>
    <font>
      <sz val="13"/>
      <color theme="1"/>
      <name val="Calibri"/>
      <family val="2"/>
      <scheme val="minor"/>
    </font>
    <font>
      <b/>
      <sz val="10"/>
      <color theme="3"/>
      <name val="Calibri"/>
      <family val="2"/>
      <scheme val="minor"/>
    </font>
    <font>
      <sz val="11"/>
      <name val="Calibri"/>
      <family val="2"/>
      <scheme val="minor"/>
    </font>
    <font>
      <b/>
      <sz val="24"/>
      <color theme="0"/>
      <name val="Calibri"/>
      <family val="2"/>
      <scheme val="minor"/>
    </font>
    <font>
      <sz val="12"/>
      <color theme="0"/>
      <name val="Calibri"/>
      <family val="2"/>
      <scheme val="minor"/>
    </font>
    <font>
      <b/>
      <sz val="12"/>
      <color theme="0"/>
      <name val="Calibri"/>
      <family val="2"/>
      <scheme val="minor"/>
    </font>
    <font>
      <sz val="20"/>
      <color theme="0"/>
      <name val="Calibri"/>
      <family val="2"/>
      <scheme val="minor"/>
    </font>
    <font>
      <b/>
      <sz val="10"/>
      <color theme="0" tint="-4.9989318521683403E-2"/>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sz val="14"/>
      <color theme="0"/>
      <name val="Calibri"/>
      <family val="2"/>
      <scheme val="minor"/>
    </font>
    <font>
      <b/>
      <sz val="11"/>
      <color rgb="FFFF000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20"/>
      <color theme="0"/>
      <name val="Calibri"/>
      <family val="2"/>
      <scheme val="minor"/>
    </font>
    <font>
      <b/>
      <sz val="16"/>
      <color theme="0"/>
      <name val="Calibri"/>
      <family val="2"/>
      <scheme val="minor"/>
    </font>
    <font>
      <b/>
      <sz val="14"/>
      <color theme="0"/>
      <name val="Calibri"/>
      <family val="2"/>
      <scheme val="minor"/>
    </font>
    <font>
      <sz val="10"/>
      <color theme="1"/>
      <name val="Calibri"/>
      <family val="2"/>
      <scheme val="minor"/>
    </font>
    <font>
      <b/>
      <sz val="13"/>
      <color rgb="FF000000"/>
      <name val="Arial"/>
      <family val="2"/>
    </font>
    <font>
      <sz val="11"/>
      <color theme="1"/>
      <name val="Calibri"/>
      <family val="2"/>
      <scheme val="minor"/>
    </font>
    <font>
      <sz val="13"/>
      <color theme="0"/>
      <name val="Calibri"/>
      <family val="2"/>
      <scheme val="minor"/>
    </font>
    <font>
      <b/>
      <sz val="10"/>
      <color theme="1"/>
      <name val="Calibri"/>
      <family val="2"/>
      <scheme val="minor"/>
    </font>
    <font>
      <sz val="8"/>
      <color theme="1"/>
      <name val="Calibri"/>
      <family val="2"/>
      <scheme val="minor"/>
    </font>
    <font>
      <sz val="9"/>
      <color theme="0"/>
      <name val="Calibri"/>
      <family val="2"/>
      <scheme val="minor"/>
    </font>
    <font>
      <b/>
      <sz val="8"/>
      <color theme="0"/>
      <name val="Calibri (Cuerpo)"/>
    </font>
    <font>
      <sz val="5"/>
      <color theme="0"/>
      <name val="Calibri"/>
      <family val="2"/>
      <scheme val="minor"/>
    </font>
    <font>
      <b/>
      <sz val="5"/>
      <color theme="1"/>
      <name val="Calibri"/>
      <family val="2"/>
      <scheme val="minor"/>
    </font>
    <font>
      <b/>
      <sz val="5"/>
      <color theme="3"/>
      <name val="Calibri"/>
      <family val="2"/>
      <scheme val="minor"/>
    </font>
    <font>
      <sz val="5"/>
      <color rgb="FFFF0000"/>
      <name val="Calibri"/>
      <family val="2"/>
      <scheme val="minor"/>
    </font>
    <font>
      <b/>
      <sz val="5"/>
      <name val="Calibri"/>
      <family val="2"/>
      <scheme val="minor"/>
    </font>
    <font>
      <b/>
      <sz val="5"/>
      <color theme="0"/>
      <name val="Calibri"/>
      <family val="2"/>
      <scheme val="minor"/>
    </font>
    <font>
      <sz val="5"/>
      <color theme="1"/>
      <name val="Calibri"/>
      <family val="2"/>
      <scheme val="minor"/>
    </font>
    <font>
      <b/>
      <sz val="8"/>
      <name val="Calibri"/>
      <family val="2"/>
      <scheme val="minor"/>
    </font>
    <font>
      <b/>
      <sz val="8"/>
      <color theme="3"/>
      <name val="Calibri"/>
      <family val="2"/>
      <scheme val="minor"/>
    </font>
    <font>
      <b/>
      <sz val="8"/>
      <color rgb="FF0056A3"/>
      <name val="Calibri"/>
      <family val="2"/>
      <scheme val="minor"/>
    </font>
    <font>
      <sz val="8"/>
      <color rgb="FFFF0000"/>
      <name val="Calibri"/>
      <family val="2"/>
      <scheme val="minor"/>
    </font>
    <font>
      <sz val="11"/>
      <color rgb="FF0056A3"/>
      <name val="Calibri"/>
      <family val="2"/>
      <scheme val="minor"/>
    </font>
    <font>
      <sz val="12"/>
      <name val="Calibri"/>
      <family val="2"/>
      <scheme val="minor"/>
    </font>
    <font>
      <sz val="36"/>
      <color theme="0"/>
      <name val="Calibri"/>
      <family val="2"/>
      <scheme val="minor"/>
    </font>
    <font>
      <sz val="26"/>
      <color theme="0"/>
      <name val="Calibri"/>
      <family val="2"/>
      <scheme val="minor"/>
    </font>
    <font>
      <b/>
      <sz val="28"/>
      <color theme="0"/>
      <name val="Calibri"/>
      <family val="2"/>
      <scheme val="minor"/>
    </font>
    <font>
      <b/>
      <sz val="22"/>
      <color theme="0"/>
      <name val="Calibri"/>
      <family val="2"/>
      <scheme val="minor"/>
    </font>
    <font>
      <sz val="11"/>
      <color rgb="FFD9D9D9"/>
      <name val="Calibri"/>
      <family val="2"/>
      <scheme val="minor"/>
    </font>
    <font>
      <sz val="11"/>
      <color theme="0" tint="-0.14999847407452621"/>
      <name val="Calibri"/>
      <family val="2"/>
      <scheme val="minor"/>
    </font>
    <font>
      <sz val="16"/>
      <color theme="0"/>
      <name val="Calibri"/>
      <family val="2"/>
      <scheme val="minor"/>
    </font>
    <font>
      <b/>
      <sz val="11"/>
      <color theme="0" tint="-0.14999847407452621"/>
      <name val="Calibri"/>
      <family val="2"/>
      <scheme val="minor"/>
    </font>
    <font>
      <sz val="10"/>
      <color theme="0" tint="-0.14999847407452621"/>
      <name val="Calibri"/>
      <family val="2"/>
      <scheme val="minor"/>
    </font>
    <font>
      <sz val="11"/>
      <color rgb="FF0056A4"/>
      <name val="Calibri"/>
      <family val="2"/>
      <scheme val="minor"/>
    </font>
    <font>
      <b/>
      <sz val="11"/>
      <color rgb="FF0056A4"/>
      <name val="Calibri"/>
      <family val="2"/>
      <scheme val="minor"/>
    </font>
    <font>
      <b/>
      <sz val="10"/>
      <color rgb="FF0056A4"/>
      <name val="Calibri"/>
      <family val="2"/>
      <scheme val="minor"/>
    </font>
    <font>
      <sz val="11"/>
      <color rgb="FFFFFFFF"/>
      <name val="Calibri"/>
      <family val="2"/>
      <scheme val="minor"/>
    </font>
    <font>
      <b/>
      <sz val="12"/>
      <color theme="1"/>
      <name val="Calibri"/>
      <family val="2"/>
      <scheme val="minor"/>
    </font>
    <font>
      <b/>
      <sz val="11"/>
      <color theme="0" tint="-0.249977111117893"/>
      <name val="Calibri"/>
      <family val="2"/>
      <scheme val="minor"/>
    </font>
    <font>
      <sz val="11"/>
      <color theme="0" tint="-0.249977111117893"/>
      <name val="Calibri"/>
      <family val="2"/>
      <scheme val="minor"/>
    </font>
    <font>
      <sz val="11"/>
      <color theme="0"/>
      <name val="Calibri (Cuerpo)"/>
    </font>
    <font>
      <sz val="12"/>
      <color theme="0"/>
      <name val="Arial"/>
      <family val="2"/>
    </font>
    <font>
      <sz val="11"/>
      <color rgb="FF000000"/>
      <name val="Calibri"/>
      <family val="2"/>
      <scheme val="minor"/>
    </font>
  </fonts>
  <fills count="4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E29843"/>
        <bgColor indexed="64"/>
      </patternFill>
    </fill>
    <fill>
      <patternFill patternType="solid">
        <fgColor rgb="FF01A439"/>
        <bgColor indexed="64"/>
      </patternFill>
    </fill>
    <fill>
      <patternFill patternType="solid">
        <fgColor rgb="FF019535"/>
        <bgColor indexed="64"/>
      </patternFill>
    </fill>
    <fill>
      <patternFill patternType="solid">
        <fgColor rgb="FFFEC200"/>
        <bgColor indexed="64"/>
      </patternFill>
    </fill>
    <fill>
      <patternFill patternType="solid">
        <fgColor rgb="FFFFA800"/>
        <bgColor indexed="64"/>
      </patternFill>
    </fill>
    <fill>
      <patternFill patternType="solid">
        <fgColor rgb="FF0098A6"/>
        <bgColor indexed="64"/>
      </patternFill>
    </fill>
    <fill>
      <patternFill patternType="solid">
        <fgColor rgb="FF00B3C9"/>
        <bgColor indexed="64"/>
      </patternFill>
    </fill>
    <fill>
      <patternFill patternType="solid">
        <fgColor rgb="FF0056A3"/>
        <bgColor indexed="64"/>
      </patternFill>
    </fill>
    <fill>
      <patternFill patternType="solid">
        <fgColor rgb="FF7E3680"/>
        <bgColor indexed="64"/>
      </patternFill>
    </fill>
    <fill>
      <patternFill patternType="solid">
        <fgColor rgb="FFB37836"/>
        <bgColor indexed="64"/>
      </patternFill>
    </fill>
    <fill>
      <patternFill patternType="solid">
        <fgColor rgb="FF913D92"/>
        <bgColor indexed="64"/>
      </patternFill>
    </fill>
    <fill>
      <patternFill patternType="solid">
        <fgColor rgb="FFF6A302"/>
        <bgColor indexed="64"/>
      </patternFill>
    </fill>
    <fill>
      <patternFill patternType="solid">
        <fgColor rgb="FFA50004"/>
        <bgColor indexed="64"/>
      </patternFill>
    </fill>
    <fill>
      <patternFill patternType="solid">
        <fgColor rgb="FFBF162B"/>
        <bgColor indexed="64"/>
      </patternFill>
    </fill>
    <fill>
      <patternFill patternType="solid">
        <fgColor rgb="FF963633"/>
        <bgColor indexed="64"/>
      </patternFill>
    </fill>
    <fill>
      <patternFill patternType="solid">
        <fgColor rgb="FFAB402E"/>
        <bgColor indexed="64"/>
      </patternFill>
    </fill>
    <fill>
      <patternFill patternType="solid">
        <fgColor rgb="FFC65911"/>
        <bgColor indexed="64"/>
      </patternFill>
    </fill>
    <fill>
      <patternFill patternType="solid">
        <fgColor rgb="FFF4B084"/>
        <bgColor indexed="64"/>
      </patternFill>
    </fill>
    <fill>
      <patternFill patternType="solid">
        <fgColor rgb="FF1F4E78"/>
        <bgColor indexed="64"/>
      </patternFill>
    </fill>
    <fill>
      <patternFill patternType="solid">
        <fgColor rgb="FF2F75B5"/>
        <bgColor indexed="64"/>
      </patternFill>
    </fill>
    <fill>
      <patternFill patternType="solid">
        <fgColor theme="4" tint="0.39997558519241921"/>
        <bgColor indexed="64"/>
      </patternFill>
    </fill>
    <fill>
      <patternFill patternType="solid">
        <fgColor rgb="FF7B7B7B"/>
        <bgColor indexed="64"/>
      </patternFill>
    </fill>
    <fill>
      <patternFill patternType="solid">
        <fgColor rgb="FFC9C9C9"/>
        <bgColor indexed="64"/>
      </patternFill>
    </fill>
    <fill>
      <patternFill patternType="solid">
        <fgColor theme="4"/>
        <bgColor indexed="64"/>
      </patternFill>
    </fill>
    <fill>
      <patternFill patternType="solid">
        <fgColor rgb="FFEEBB4C"/>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499984740745262"/>
        <bgColor indexed="64"/>
      </patternFill>
    </fill>
    <fill>
      <patternFill patternType="solid">
        <fgColor rgb="FFD9D9D9"/>
        <bgColor indexed="64"/>
      </patternFill>
    </fill>
    <fill>
      <patternFill patternType="solid">
        <fgColor rgb="FF4B929C"/>
        <bgColor indexed="64"/>
      </patternFill>
    </fill>
    <fill>
      <patternFill patternType="solid">
        <fgColor rgb="FF3A6366"/>
        <bgColor indexed="64"/>
      </patternFill>
    </fill>
    <fill>
      <patternFill patternType="solid">
        <fgColor rgb="FF44777B"/>
        <bgColor indexed="64"/>
      </patternFill>
    </fill>
    <fill>
      <patternFill patternType="solid">
        <fgColor rgb="FFFFFFFF"/>
        <bgColor rgb="FF000000"/>
      </patternFill>
    </fill>
    <fill>
      <patternFill patternType="solid">
        <fgColor rgb="FF0056A3"/>
        <bgColor rgb="FF000000"/>
      </patternFill>
    </fill>
    <fill>
      <patternFill patternType="solid">
        <fgColor theme="0" tint="-0.249977111117893"/>
        <bgColor indexed="64"/>
      </patternFill>
    </fill>
    <fill>
      <patternFill patternType="solid">
        <fgColor theme="0" tint="-0.249977111117893"/>
        <bgColor theme="4" tint="0.79998168889431442"/>
      </patternFill>
    </fill>
    <fill>
      <patternFill patternType="solid">
        <fgColor theme="4" tint="-0.249977111117893"/>
        <bgColor indexed="64"/>
      </patternFill>
    </fill>
    <fill>
      <patternFill patternType="solid">
        <fgColor rgb="FF0056A4"/>
        <bgColor indexed="64"/>
      </patternFill>
    </fill>
  </fills>
  <borders count="359">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top style="thin">
        <color theme="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19535"/>
      </left>
      <right/>
      <top style="medium">
        <color rgb="FF019535"/>
      </top>
      <bottom/>
      <diagonal/>
    </border>
    <border>
      <left/>
      <right/>
      <top style="medium">
        <color rgb="FF019535"/>
      </top>
      <bottom/>
      <diagonal/>
    </border>
    <border>
      <left style="thin">
        <color theme="0"/>
      </left>
      <right/>
      <top style="medium">
        <color rgb="FF019535"/>
      </top>
      <bottom/>
      <diagonal/>
    </border>
    <border>
      <left/>
      <right style="thin">
        <color theme="0"/>
      </right>
      <top style="medium">
        <color rgb="FF019535"/>
      </top>
      <bottom/>
      <diagonal/>
    </border>
    <border>
      <left style="thin">
        <color theme="0"/>
      </left>
      <right style="thin">
        <color theme="0"/>
      </right>
      <top style="medium">
        <color rgb="FF019535"/>
      </top>
      <bottom style="thin">
        <color theme="0"/>
      </bottom>
      <diagonal/>
    </border>
    <border>
      <left/>
      <right style="medium">
        <color rgb="FF019535"/>
      </right>
      <top style="medium">
        <color rgb="FF019535"/>
      </top>
      <bottom/>
      <diagonal/>
    </border>
    <border>
      <left style="medium">
        <color rgb="FF019535"/>
      </left>
      <right/>
      <top/>
      <bottom/>
      <diagonal/>
    </border>
    <border>
      <left/>
      <right style="medium">
        <color rgb="FF019535"/>
      </right>
      <top/>
      <bottom/>
      <diagonal/>
    </border>
    <border>
      <left style="medium">
        <color rgb="FF019535"/>
      </left>
      <right/>
      <top/>
      <bottom style="medium">
        <color rgb="FF019535"/>
      </bottom>
      <diagonal/>
    </border>
    <border>
      <left/>
      <right/>
      <top/>
      <bottom style="medium">
        <color rgb="FF019535"/>
      </bottom>
      <diagonal/>
    </border>
    <border>
      <left style="thin">
        <color theme="0"/>
      </left>
      <right/>
      <top/>
      <bottom style="medium">
        <color rgb="FF019535"/>
      </bottom>
      <diagonal/>
    </border>
    <border>
      <left/>
      <right style="thin">
        <color theme="0"/>
      </right>
      <top/>
      <bottom style="medium">
        <color rgb="FF019535"/>
      </bottom>
      <diagonal/>
    </border>
    <border>
      <left style="thin">
        <color theme="0"/>
      </left>
      <right style="thin">
        <color theme="0"/>
      </right>
      <top/>
      <bottom style="medium">
        <color rgb="FF019535"/>
      </bottom>
      <diagonal/>
    </border>
    <border>
      <left/>
      <right style="medium">
        <color rgb="FF019535"/>
      </right>
      <top/>
      <bottom style="medium">
        <color rgb="FF019535"/>
      </bottom>
      <diagonal/>
    </border>
    <border>
      <left style="medium">
        <color rgb="FFFFA800"/>
      </left>
      <right/>
      <top style="medium">
        <color rgb="FFFFA800"/>
      </top>
      <bottom/>
      <diagonal/>
    </border>
    <border>
      <left/>
      <right/>
      <top style="medium">
        <color rgb="FFFFA800"/>
      </top>
      <bottom/>
      <diagonal/>
    </border>
    <border>
      <left style="thin">
        <color theme="0"/>
      </left>
      <right/>
      <top style="medium">
        <color rgb="FFFFA800"/>
      </top>
      <bottom/>
      <diagonal/>
    </border>
    <border>
      <left/>
      <right style="thin">
        <color theme="0"/>
      </right>
      <top style="medium">
        <color rgb="FFFFA800"/>
      </top>
      <bottom/>
      <diagonal/>
    </border>
    <border>
      <left style="thin">
        <color theme="0"/>
      </left>
      <right style="thin">
        <color theme="0"/>
      </right>
      <top style="medium">
        <color rgb="FFFFA800"/>
      </top>
      <bottom style="thin">
        <color theme="0"/>
      </bottom>
      <diagonal/>
    </border>
    <border>
      <left/>
      <right style="medium">
        <color rgb="FFFFA800"/>
      </right>
      <top style="medium">
        <color rgb="FFFFA800"/>
      </top>
      <bottom/>
      <diagonal/>
    </border>
    <border>
      <left style="medium">
        <color rgb="FFFFA800"/>
      </left>
      <right/>
      <top/>
      <bottom/>
      <diagonal/>
    </border>
    <border>
      <left/>
      <right style="medium">
        <color rgb="FFFFA800"/>
      </right>
      <top/>
      <bottom/>
      <diagonal/>
    </border>
    <border>
      <left style="medium">
        <color rgb="FFFFA800"/>
      </left>
      <right/>
      <top/>
      <bottom style="medium">
        <color rgb="FFFFA800"/>
      </bottom>
      <diagonal/>
    </border>
    <border>
      <left/>
      <right/>
      <top/>
      <bottom style="medium">
        <color rgb="FFFFA800"/>
      </bottom>
      <diagonal/>
    </border>
    <border>
      <left style="thin">
        <color theme="0"/>
      </left>
      <right/>
      <top/>
      <bottom style="medium">
        <color rgb="FFFFA800"/>
      </bottom>
      <diagonal/>
    </border>
    <border>
      <left/>
      <right style="thin">
        <color theme="0"/>
      </right>
      <top/>
      <bottom style="medium">
        <color rgb="FFFFA800"/>
      </bottom>
      <diagonal/>
    </border>
    <border>
      <left style="thin">
        <color theme="0"/>
      </left>
      <right style="thin">
        <color theme="0"/>
      </right>
      <top/>
      <bottom style="medium">
        <color rgb="FFFFA800"/>
      </bottom>
      <diagonal/>
    </border>
    <border>
      <left/>
      <right style="medium">
        <color rgb="FFFFA800"/>
      </right>
      <top/>
      <bottom style="medium">
        <color rgb="FFFFA800"/>
      </bottom>
      <diagonal/>
    </border>
    <border>
      <left style="medium">
        <color rgb="FF0098A6"/>
      </left>
      <right/>
      <top style="medium">
        <color rgb="FF0098A6"/>
      </top>
      <bottom/>
      <diagonal/>
    </border>
    <border>
      <left/>
      <right/>
      <top style="medium">
        <color rgb="FF0098A6"/>
      </top>
      <bottom/>
      <diagonal/>
    </border>
    <border>
      <left style="thin">
        <color theme="0"/>
      </left>
      <right/>
      <top style="medium">
        <color rgb="FF0098A6"/>
      </top>
      <bottom/>
      <diagonal/>
    </border>
    <border>
      <left/>
      <right style="thin">
        <color theme="0"/>
      </right>
      <top style="medium">
        <color rgb="FF0098A6"/>
      </top>
      <bottom/>
      <diagonal/>
    </border>
    <border>
      <left style="thin">
        <color theme="0"/>
      </left>
      <right style="thin">
        <color theme="0"/>
      </right>
      <top style="medium">
        <color rgb="FF0098A6"/>
      </top>
      <bottom style="thin">
        <color theme="0"/>
      </bottom>
      <diagonal/>
    </border>
    <border>
      <left/>
      <right style="medium">
        <color rgb="FF0098A6"/>
      </right>
      <top style="medium">
        <color rgb="FF0098A6"/>
      </top>
      <bottom/>
      <diagonal/>
    </border>
    <border>
      <left style="medium">
        <color rgb="FF0098A6"/>
      </left>
      <right/>
      <top/>
      <bottom/>
      <diagonal/>
    </border>
    <border>
      <left/>
      <right style="medium">
        <color rgb="FF0098A6"/>
      </right>
      <top/>
      <bottom/>
      <diagonal/>
    </border>
    <border>
      <left style="medium">
        <color rgb="FF0098A6"/>
      </left>
      <right/>
      <top/>
      <bottom style="medium">
        <color rgb="FF0098A6"/>
      </bottom>
      <diagonal/>
    </border>
    <border>
      <left/>
      <right/>
      <top/>
      <bottom style="medium">
        <color rgb="FF0098A6"/>
      </bottom>
      <diagonal/>
    </border>
    <border>
      <left style="thin">
        <color theme="0"/>
      </left>
      <right/>
      <top/>
      <bottom style="medium">
        <color rgb="FF0098A6"/>
      </bottom>
      <diagonal/>
    </border>
    <border>
      <left/>
      <right style="thin">
        <color theme="0"/>
      </right>
      <top/>
      <bottom style="medium">
        <color rgb="FF0098A6"/>
      </bottom>
      <diagonal/>
    </border>
    <border>
      <left style="thin">
        <color theme="0"/>
      </left>
      <right style="thin">
        <color theme="0"/>
      </right>
      <top/>
      <bottom style="medium">
        <color rgb="FF0098A6"/>
      </bottom>
      <diagonal/>
    </border>
    <border>
      <left/>
      <right style="medium">
        <color rgb="FF0098A6"/>
      </right>
      <top/>
      <bottom style="medium">
        <color rgb="FF0098A6"/>
      </bottom>
      <diagonal/>
    </border>
    <border>
      <left style="medium">
        <color rgb="FF7E3680"/>
      </left>
      <right/>
      <top style="medium">
        <color rgb="FF7E3680"/>
      </top>
      <bottom/>
      <diagonal/>
    </border>
    <border>
      <left/>
      <right/>
      <top style="medium">
        <color rgb="FF7E3680"/>
      </top>
      <bottom/>
      <diagonal/>
    </border>
    <border>
      <left/>
      <right style="medium">
        <color rgb="FF7E3680"/>
      </right>
      <top style="medium">
        <color rgb="FF7E3680"/>
      </top>
      <bottom/>
      <diagonal/>
    </border>
    <border>
      <left style="medium">
        <color rgb="FF7E3680"/>
      </left>
      <right/>
      <top/>
      <bottom style="medium">
        <color rgb="FF7E3680"/>
      </bottom>
      <diagonal/>
    </border>
    <border>
      <left/>
      <right/>
      <top/>
      <bottom style="medium">
        <color rgb="FF7E3680"/>
      </bottom>
      <diagonal/>
    </border>
    <border>
      <left/>
      <right style="medium">
        <color rgb="FF7E3680"/>
      </right>
      <top/>
      <bottom style="medium">
        <color rgb="FF7E3680"/>
      </bottom>
      <diagonal/>
    </border>
    <border>
      <left style="medium">
        <color rgb="FF7E3680"/>
      </left>
      <right/>
      <top/>
      <bottom/>
      <diagonal/>
    </border>
    <border>
      <left/>
      <right style="medium">
        <color rgb="FF7E3680"/>
      </right>
      <top/>
      <bottom/>
      <diagonal/>
    </border>
    <border>
      <left style="medium">
        <color rgb="FFB37836"/>
      </left>
      <right/>
      <top style="medium">
        <color rgb="FFB37836"/>
      </top>
      <bottom style="medium">
        <color rgb="FFB37836"/>
      </bottom>
      <diagonal/>
    </border>
    <border>
      <left/>
      <right/>
      <top style="medium">
        <color rgb="FFB37836"/>
      </top>
      <bottom style="medium">
        <color rgb="FFB37836"/>
      </bottom>
      <diagonal/>
    </border>
    <border>
      <left style="thin">
        <color theme="0"/>
      </left>
      <right/>
      <top style="medium">
        <color rgb="FFB37836"/>
      </top>
      <bottom style="medium">
        <color rgb="FFB37836"/>
      </bottom>
      <diagonal/>
    </border>
    <border>
      <left style="thin">
        <color theme="0"/>
      </left>
      <right style="thin">
        <color theme="0"/>
      </right>
      <top style="medium">
        <color rgb="FFB37836"/>
      </top>
      <bottom style="medium">
        <color rgb="FFB37836"/>
      </bottom>
      <diagonal/>
    </border>
    <border>
      <left/>
      <right style="medium">
        <color rgb="FFB37836"/>
      </right>
      <top style="medium">
        <color rgb="FFB37836"/>
      </top>
      <bottom style="medium">
        <color rgb="FFB37836"/>
      </bottom>
      <diagonal/>
    </border>
    <border>
      <left/>
      <right style="thin">
        <color theme="0"/>
      </right>
      <top style="medium">
        <color rgb="FF7E3680"/>
      </top>
      <bottom/>
      <diagonal/>
    </border>
    <border>
      <left style="thin">
        <color theme="0"/>
      </left>
      <right/>
      <top style="medium">
        <color rgb="FF7E3680"/>
      </top>
      <bottom/>
      <diagonal/>
    </border>
    <border>
      <left style="thin">
        <color theme="0"/>
      </left>
      <right style="thin">
        <color theme="0"/>
      </right>
      <top style="medium">
        <color rgb="FF7E3680"/>
      </top>
      <bottom style="thin">
        <color theme="0"/>
      </bottom>
      <diagonal/>
    </border>
    <border>
      <left/>
      <right style="thin">
        <color theme="0"/>
      </right>
      <top/>
      <bottom style="medium">
        <color rgb="FF7E3680"/>
      </bottom>
      <diagonal/>
    </border>
    <border>
      <left style="thin">
        <color theme="0"/>
      </left>
      <right/>
      <top/>
      <bottom style="medium">
        <color rgb="FF7E3680"/>
      </bottom>
      <diagonal/>
    </border>
    <border>
      <left style="thin">
        <color theme="0"/>
      </left>
      <right style="thin">
        <color theme="0"/>
      </right>
      <top style="thin">
        <color theme="0"/>
      </top>
      <bottom style="medium">
        <color rgb="FF7E3680"/>
      </bottom>
      <diagonal/>
    </border>
    <border>
      <left style="medium">
        <color rgb="FFFFBE56"/>
      </left>
      <right/>
      <top style="medium">
        <color rgb="FFFFBE56"/>
      </top>
      <bottom/>
      <diagonal/>
    </border>
    <border>
      <left/>
      <right/>
      <top style="medium">
        <color rgb="FFFFBE56"/>
      </top>
      <bottom/>
      <diagonal/>
    </border>
    <border>
      <left/>
      <right style="thin">
        <color theme="0"/>
      </right>
      <top style="medium">
        <color rgb="FFFFBE56"/>
      </top>
      <bottom/>
      <diagonal/>
    </border>
    <border>
      <left style="thin">
        <color theme="0"/>
      </left>
      <right/>
      <top style="medium">
        <color rgb="FFFFBE56"/>
      </top>
      <bottom/>
      <diagonal/>
    </border>
    <border>
      <left/>
      <right style="medium">
        <color rgb="FFFFBE56"/>
      </right>
      <top style="medium">
        <color rgb="FFFFBE56"/>
      </top>
      <bottom/>
      <diagonal/>
    </border>
    <border>
      <left style="medium">
        <color rgb="FFFFBE56"/>
      </left>
      <right/>
      <top/>
      <bottom/>
      <diagonal/>
    </border>
    <border>
      <left/>
      <right style="medium">
        <color rgb="FFFFBE56"/>
      </right>
      <top/>
      <bottom/>
      <diagonal/>
    </border>
    <border>
      <left style="medium">
        <color rgb="FFFFBE56"/>
      </left>
      <right/>
      <top/>
      <bottom style="medium">
        <color rgb="FFFFBE56"/>
      </bottom>
      <diagonal/>
    </border>
    <border>
      <left/>
      <right/>
      <top/>
      <bottom style="medium">
        <color rgb="FFFFBE56"/>
      </bottom>
      <diagonal/>
    </border>
    <border>
      <left/>
      <right style="thin">
        <color theme="0"/>
      </right>
      <top/>
      <bottom style="medium">
        <color rgb="FFFFBE56"/>
      </bottom>
      <diagonal/>
    </border>
    <border>
      <left style="thin">
        <color theme="0"/>
      </left>
      <right/>
      <top/>
      <bottom style="medium">
        <color rgb="FFFFBE56"/>
      </bottom>
      <diagonal/>
    </border>
    <border>
      <left/>
      <right style="medium">
        <color rgb="FFFFBE56"/>
      </right>
      <top/>
      <bottom style="medium">
        <color rgb="FFFFBE56"/>
      </bottom>
      <diagonal/>
    </border>
    <border>
      <left style="medium">
        <color rgb="FFA50004"/>
      </left>
      <right/>
      <top style="medium">
        <color rgb="FFA50004"/>
      </top>
      <bottom style="medium">
        <color rgb="FFA50004"/>
      </bottom>
      <diagonal/>
    </border>
    <border>
      <left/>
      <right/>
      <top style="medium">
        <color rgb="FFA50004"/>
      </top>
      <bottom style="medium">
        <color rgb="FFA50004"/>
      </bottom>
      <diagonal/>
    </border>
    <border>
      <left/>
      <right style="thin">
        <color theme="0"/>
      </right>
      <top style="medium">
        <color rgb="FFA50004"/>
      </top>
      <bottom style="medium">
        <color rgb="FFA50004"/>
      </bottom>
      <diagonal/>
    </border>
    <border>
      <left style="thin">
        <color theme="0"/>
      </left>
      <right/>
      <top style="medium">
        <color rgb="FFA50004"/>
      </top>
      <bottom style="medium">
        <color rgb="FFA50004"/>
      </bottom>
      <diagonal/>
    </border>
    <border>
      <left/>
      <right style="medium">
        <color rgb="FFA50004"/>
      </right>
      <top style="medium">
        <color rgb="FFA50004"/>
      </top>
      <bottom style="medium">
        <color rgb="FFA50004"/>
      </bottom>
      <diagonal/>
    </border>
    <border>
      <left style="thin">
        <color theme="0"/>
      </left>
      <right style="thin">
        <color theme="0"/>
      </right>
      <top style="thin">
        <color theme="0"/>
      </top>
      <bottom/>
      <diagonal/>
    </border>
    <border>
      <left style="medium">
        <color rgb="FF963633"/>
      </left>
      <right/>
      <top style="medium">
        <color rgb="FF963633"/>
      </top>
      <bottom/>
      <diagonal/>
    </border>
    <border>
      <left/>
      <right/>
      <top style="medium">
        <color rgb="FF963633"/>
      </top>
      <bottom/>
      <diagonal/>
    </border>
    <border>
      <left style="thin">
        <color theme="0"/>
      </left>
      <right/>
      <top style="medium">
        <color rgb="FF963633"/>
      </top>
      <bottom/>
      <diagonal/>
    </border>
    <border>
      <left/>
      <right style="thin">
        <color theme="0"/>
      </right>
      <top style="medium">
        <color rgb="FF963633"/>
      </top>
      <bottom/>
      <diagonal/>
    </border>
    <border>
      <left style="thin">
        <color theme="0"/>
      </left>
      <right style="thin">
        <color theme="0"/>
      </right>
      <top style="medium">
        <color rgb="FF963633"/>
      </top>
      <bottom style="thin">
        <color theme="0"/>
      </bottom>
      <diagonal/>
    </border>
    <border>
      <left/>
      <right style="medium">
        <color rgb="FF963633"/>
      </right>
      <top style="medium">
        <color rgb="FF963633"/>
      </top>
      <bottom/>
      <diagonal/>
    </border>
    <border>
      <left style="medium">
        <color rgb="FF963633"/>
      </left>
      <right/>
      <top/>
      <bottom/>
      <diagonal/>
    </border>
    <border>
      <left/>
      <right style="medium">
        <color rgb="FF963633"/>
      </right>
      <top/>
      <bottom/>
      <diagonal/>
    </border>
    <border>
      <left style="medium">
        <color rgb="FF963633"/>
      </left>
      <right/>
      <top/>
      <bottom style="medium">
        <color rgb="FF963633"/>
      </bottom>
      <diagonal/>
    </border>
    <border>
      <left/>
      <right/>
      <top/>
      <bottom style="medium">
        <color rgb="FF963633"/>
      </bottom>
      <diagonal/>
    </border>
    <border>
      <left style="thin">
        <color theme="0"/>
      </left>
      <right/>
      <top/>
      <bottom style="medium">
        <color rgb="FF963633"/>
      </bottom>
      <diagonal/>
    </border>
    <border>
      <left/>
      <right style="thin">
        <color theme="0"/>
      </right>
      <top/>
      <bottom style="medium">
        <color rgb="FF963633"/>
      </bottom>
      <diagonal/>
    </border>
    <border>
      <left style="thin">
        <color theme="0"/>
      </left>
      <right style="thin">
        <color theme="0"/>
      </right>
      <top/>
      <bottom style="medium">
        <color rgb="FF963633"/>
      </bottom>
      <diagonal/>
    </border>
    <border>
      <left/>
      <right style="medium">
        <color rgb="FF963633"/>
      </right>
      <top/>
      <bottom style="medium">
        <color rgb="FF963633"/>
      </bottom>
      <diagonal/>
    </border>
    <border>
      <left style="medium">
        <color rgb="FFC65911"/>
      </left>
      <right/>
      <top style="medium">
        <color rgb="FFC65911"/>
      </top>
      <bottom/>
      <diagonal/>
    </border>
    <border>
      <left/>
      <right/>
      <top style="medium">
        <color rgb="FFC65911"/>
      </top>
      <bottom/>
      <diagonal/>
    </border>
    <border>
      <left style="thin">
        <color theme="0"/>
      </left>
      <right/>
      <top style="medium">
        <color rgb="FFC65911"/>
      </top>
      <bottom/>
      <diagonal/>
    </border>
    <border>
      <left/>
      <right style="thin">
        <color theme="0"/>
      </right>
      <top style="medium">
        <color rgb="FFC65911"/>
      </top>
      <bottom/>
      <diagonal/>
    </border>
    <border>
      <left style="thin">
        <color theme="0"/>
      </left>
      <right style="thin">
        <color theme="0"/>
      </right>
      <top style="medium">
        <color rgb="FFC65911"/>
      </top>
      <bottom style="thin">
        <color theme="0"/>
      </bottom>
      <diagonal/>
    </border>
    <border>
      <left/>
      <right style="medium">
        <color rgb="FFC65911"/>
      </right>
      <top style="medium">
        <color rgb="FFC65911"/>
      </top>
      <bottom/>
      <diagonal/>
    </border>
    <border>
      <left style="medium">
        <color rgb="FFC65911"/>
      </left>
      <right/>
      <top/>
      <bottom/>
      <diagonal/>
    </border>
    <border>
      <left/>
      <right style="medium">
        <color rgb="FFC65911"/>
      </right>
      <top/>
      <bottom/>
      <diagonal/>
    </border>
    <border>
      <left style="medium">
        <color rgb="FFC65911"/>
      </left>
      <right/>
      <top/>
      <bottom style="medium">
        <color rgb="FFC65911"/>
      </bottom>
      <diagonal/>
    </border>
    <border>
      <left/>
      <right/>
      <top/>
      <bottom style="medium">
        <color rgb="FFC65911"/>
      </bottom>
      <diagonal/>
    </border>
    <border>
      <left style="thin">
        <color theme="0"/>
      </left>
      <right/>
      <top/>
      <bottom style="medium">
        <color rgb="FFC65911"/>
      </bottom>
      <diagonal/>
    </border>
    <border>
      <left/>
      <right style="thin">
        <color theme="0"/>
      </right>
      <top/>
      <bottom style="medium">
        <color rgb="FFC65911"/>
      </bottom>
      <diagonal/>
    </border>
    <border>
      <left style="thin">
        <color theme="0"/>
      </left>
      <right style="thin">
        <color theme="0"/>
      </right>
      <top/>
      <bottom style="medium">
        <color rgb="FFC65911"/>
      </bottom>
      <diagonal/>
    </border>
    <border>
      <left/>
      <right style="medium">
        <color rgb="FFC65911"/>
      </right>
      <top/>
      <bottom style="medium">
        <color rgb="FFC65911"/>
      </bottom>
      <diagonal/>
    </border>
    <border>
      <left style="medium">
        <color rgb="FF1F4E78"/>
      </left>
      <right/>
      <top style="medium">
        <color rgb="FF1F4E78"/>
      </top>
      <bottom/>
      <diagonal/>
    </border>
    <border>
      <left/>
      <right/>
      <top style="medium">
        <color rgb="FF1F4E78"/>
      </top>
      <bottom/>
      <diagonal/>
    </border>
    <border>
      <left style="thin">
        <color theme="0"/>
      </left>
      <right/>
      <top style="medium">
        <color rgb="FF1F4E78"/>
      </top>
      <bottom/>
      <diagonal/>
    </border>
    <border>
      <left/>
      <right style="thin">
        <color theme="0"/>
      </right>
      <top style="medium">
        <color rgb="FF1F4E78"/>
      </top>
      <bottom/>
      <diagonal/>
    </border>
    <border>
      <left style="thin">
        <color theme="0"/>
      </left>
      <right style="thin">
        <color theme="0"/>
      </right>
      <top style="medium">
        <color rgb="FF1F4E78"/>
      </top>
      <bottom style="thin">
        <color theme="0"/>
      </bottom>
      <diagonal/>
    </border>
    <border>
      <left/>
      <right style="medium">
        <color rgb="FF1F4E78"/>
      </right>
      <top style="medium">
        <color rgb="FF1F4E78"/>
      </top>
      <bottom/>
      <diagonal/>
    </border>
    <border>
      <left style="medium">
        <color rgb="FF1F4E78"/>
      </left>
      <right/>
      <top/>
      <bottom/>
      <diagonal/>
    </border>
    <border>
      <left/>
      <right style="medium">
        <color rgb="FF1F4E78"/>
      </right>
      <top/>
      <bottom/>
      <diagonal/>
    </border>
    <border>
      <left style="medium">
        <color rgb="FF1F4E78"/>
      </left>
      <right/>
      <top/>
      <bottom style="medium">
        <color rgb="FF1F4E78"/>
      </bottom>
      <diagonal/>
    </border>
    <border>
      <left/>
      <right/>
      <top/>
      <bottom style="medium">
        <color rgb="FF1F4E78"/>
      </bottom>
      <diagonal/>
    </border>
    <border>
      <left style="thin">
        <color theme="0"/>
      </left>
      <right/>
      <top/>
      <bottom style="medium">
        <color rgb="FF1F4E78"/>
      </bottom>
      <diagonal/>
    </border>
    <border>
      <left/>
      <right style="thin">
        <color theme="0"/>
      </right>
      <top/>
      <bottom style="medium">
        <color rgb="FF1F4E78"/>
      </bottom>
      <diagonal/>
    </border>
    <border>
      <left style="thin">
        <color theme="0"/>
      </left>
      <right style="thin">
        <color theme="0"/>
      </right>
      <top/>
      <bottom style="medium">
        <color rgb="FF1F4E78"/>
      </bottom>
      <diagonal/>
    </border>
    <border>
      <left/>
      <right style="medium">
        <color rgb="FF1F4E78"/>
      </right>
      <top/>
      <bottom style="medium">
        <color rgb="FF1F4E78"/>
      </bottom>
      <diagonal/>
    </border>
    <border>
      <left style="thin">
        <color theme="0"/>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rgb="FF7B7B7B"/>
      </left>
      <right/>
      <top style="medium">
        <color rgb="FF7B7B7B"/>
      </top>
      <bottom/>
      <diagonal/>
    </border>
    <border>
      <left/>
      <right style="medium">
        <color rgb="FF7B7B7B"/>
      </right>
      <top style="medium">
        <color rgb="FF7B7B7B"/>
      </top>
      <bottom/>
      <diagonal/>
    </border>
    <border>
      <left style="medium">
        <color rgb="FF7B7B7B"/>
      </left>
      <right/>
      <top/>
      <bottom/>
      <diagonal/>
    </border>
    <border>
      <left/>
      <right style="medium">
        <color rgb="FF7B7B7B"/>
      </right>
      <top/>
      <bottom/>
      <diagonal/>
    </border>
    <border>
      <left style="medium">
        <color rgb="FF7B7B7B"/>
      </left>
      <right/>
      <top/>
      <bottom style="medium">
        <color rgb="FF7B7B7B"/>
      </bottom>
      <diagonal/>
    </border>
    <border>
      <left/>
      <right style="medium">
        <color rgb="FF7B7B7B"/>
      </right>
      <top/>
      <bottom style="medium">
        <color rgb="FF7B7B7B"/>
      </bottom>
      <diagonal/>
    </border>
    <border>
      <left/>
      <right/>
      <top style="medium">
        <color rgb="FF7B7B7B"/>
      </top>
      <bottom/>
      <diagonal/>
    </border>
    <border>
      <left style="thin">
        <color theme="0"/>
      </left>
      <right/>
      <top style="medium">
        <color rgb="FF7B7B7B"/>
      </top>
      <bottom/>
      <diagonal/>
    </border>
    <border>
      <left/>
      <right style="thin">
        <color theme="0"/>
      </right>
      <top style="medium">
        <color rgb="FF7B7B7B"/>
      </top>
      <bottom/>
      <diagonal/>
    </border>
    <border>
      <left style="thin">
        <color theme="0"/>
      </left>
      <right style="thin">
        <color theme="0"/>
      </right>
      <top style="medium">
        <color rgb="FF7B7B7B"/>
      </top>
      <bottom style="thin">
        <color theme="0"/>
      </bottom>
      <diagonal/>
    </border>
    <border>
      <left/>
      <right/>
      <top/>
      <bottom style="medium">
        <color rgb="FF7B7B7B"/>
      </bottom>
      <diagonal/>
    </border>
    <border>
      <left style="thin">
        <color theme="0"/>
      </left>
      <right/>
      <top/>
      <bottom style="medium">
        <color rgb="FF7B7B7B"/>
      </bottom>
      <diagonal/>
    </border>
    <border>
      <left/>
      <right style="thin">
        <color theme="0"/>
      </right>
      <top/>
      <bottom style="medium">
        <color rgb="FF7B7B7B"/>
      </bottom>
      <diagonal/>
    </border>
    <border>
      <left style="thin">
        <color theme="0"/>
      </left>
      <right style="thin">
        <color theme="0"/>
      </right>
      <top/>
      <bottom style="medium">
        <color rgb="FF7B7B7B"/>
      </bottom>
      <diagonal/>
    </border>
    <border>
      <left style="medium">
        <color theme="4"/>
      </left>
      <right/>
      <top style="medium">
        <color theme="4"/>
      </top>
      <bottom/>
      <diagonal/>
    </border>
    <border>
      <left/>
      <right/>
      <top style="medium">
        <color theme="4"/>
      </top>
      <bottom/>
      <diagonal/>
    </border>
    <border>
      <left style="thin">
        <color theme="0"/>
      </left>
      <right/>
      <top style="medium">
        <color theme="4"/>
      </top>
      <bottom/>
      <diagonal/>
    </border>
    <border>
      <left/>
      <right style="thin">
        <color theme="0"/>
      </right>
      <top style="medium">
        <color theme="4"/>
      </top>
      <bottom/>
      <diagonal/>
    </border>
    <border>
      <left style="thin">
        <color theme="0"/>
      </left>
      <right style="thin">
        <color theme="0"/>
      </right>
      <top style="medium">
        <color theme="4"/>
      </top>
      <bottom style="thin">
        <color theme="0"/>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style="thin">
        <color theme="0"/>
      </left>
      <right/>
      <top/>
      <bottom style="medium">
        <color theme="4"/>
      </bottom>
      <diagonal/>
    </border>
    <border>
      <left/>
      <right style="thin">
        <color theme="0"/>
      </right>
      <top/>
      <bottom style="medium">
        <color theme="4"/>
      </bottom>
      <diagonal/>
    </border>
    <border>
      <left style="thin">
        <color theme="0"/>
      </left>
      <right style="thin">
        <color theme="0"/>
      </right>
      <top/>
      <bottom style="medium">
        <color theme="4"/>
      </bottom>
      <diagonal/>
    </border>
    <border>
      <left/>
      <right style="medium">
        <color theme="4"/>
      </right>
      <top/>
      <bottom style="medium">
        <color theme="4"/>
      </bottom>
      <diagonal/>
    </border>
    <border>
      <left style="thin">
        <color theme="4"/>
      </left>
      <right style="thin">
        <color theme="4"/>
      </right>
      <top style="thin">
        <color theme="4"/>
      </top>
      <bottom style="thin">
        <color theme="4"/>
      </bottom>
      <diagonal/>
    </border>
    <border>
      <left style="thin">
        <color theme="4"/>
      </left>
      <right/>
      <top/>
      <bottom style="thin">
        <color theme="4"/>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right style="thin">
        <color theme="4"/>
      </right>
      <top style="thin">
        <color theme="4"/>
      </top>
      <bottom style="thin">
        <color theme="4"/>
      </bottom>
      <diagonal/>
    </border>
    <border>
      <left/>
      <right/>
      <top/>
      <bottom style="medium">
        <color theme="4" tint="0.39997558519241921"/>
      </bottom>
      <diagonal/>
    </border>
    <border>
      <left style="thin">
        <color rgb="FF01A439"/>
      </left>
      <right style="thin">
        <color rgb="FF01A439"/>
      </right>
      <top style="thin">
        <color rgb="FF01A439"/>
      </top>
      <bottom style="thin">
        <color rgb="FF01A439"/>
      </bottom>
      <diagonal/>
    </border>
    <border>
      <left style="medium">
        <color rgb="FF01A439"/>
      </left>
      <right style="thin">
        <color rgb="FF01A439"/>
      </right>
      <top style="medium">
        <color rgb="FF01A439"/>
      </top>
      <bottom style="thin">
        <color rgb="FF01A439"/>
      </bottom>
      <diagonal/>
    </border>
    <border>
      <left style="thin">
        <color rgb="FF01A439"/>
      </left>
      <right style="thin">
        <color rgb="FF01A439"/>
      </right>
      <top style="medium">
        <color rgb="FF01A439"/>
      </top>
      <bottom style="thin">
        <color rgb="FF01A439"/>
      </bottom>
      <diagonal/>
    </border>
    <border>
      <left/>
      <right/>
      <top style="medium">
        <color rgb="FF01A439"/>
      </top>
      <bottom/>
      <diagonal/>
    </border>
    <border>
      <left style="thin">
        <color rgb="FF01A439"/>
      </left>
      <right style="medium">
        <color rgb="FF01A439"/>
      </right>
      <top style="medium">
        <color rgb="FF01A439"/>
      </top>
      <bottom style="thin">
        <color rgb="FF01A439"/>
      </bottom>
      <diagonal/>
    </border>
    <border>
      <left style="medium">
        <color rgb="FF01A439"/>
      </left>
      <right style="thin">
        <color rgb="FF01A439"/>
      </right>
      <top style="thin">
        <color rgb="FF01A439"/>
      </top>
      <bottom style="thin">
        <color rgb="FF01A439"/>
      </bottom>
      <diagonal/>
    </border>
    <border>
      <left style="thin">
        <color rgb="FF01A439"/>
      </left>
      <right style="medium">
        <color rgb="FF01A439"/>
      </right>
      <top style="thin">
        <color rgb="FF01A439"/>
      </top>
      <bottom style="thin">
        <color rgb="FF01A439"/>
      </bottom>
      <diagonal/>
    </border>
    <border>
      <left style="medium">
        <color rgb="FF01A439"/>
      </left>
      <right style="thin">
        <color rgb="FF01A439"/>
      </right>
      <top style="thin">
        <color rgb="FF01A439"/>
      </top>
      <bottom style="medium">
        <color rgb="FF01A439"/>
      </bottom>
      <diagonal/>
    </border>
    <border>
      <left style="thin">
        <color rgb="FF01A439"/>
      </left>
      <right style="thin">
        <color rgb="FF01A439"/>
      </right>
      <top style="thin">
        <color rgb="FF01A439"/>
      </top>
      <bottom style="medium">
        <color rgb="FF01A439"/>
      </bottom>
      <diagonal/>
    </border>
    <border>
      <left/>
      <right/>
      <top/>
      <bottom style="medium">
        <color rgb="FF01A439"/>
      </bottom>
      <diagonal/>
    </border>
    <border>
      <left/>
      <right style="medium">
        <color rgb="FF01A439"/>
      </right>
      <top/>
      <bottom style="medium">
        <color rgb="FF01A439"/>
      </bottom>
      <diagonal/>
    </border>
    <border>
      <left/>
      <right/>
      <top/>
      <bottom style="medium">
        <color rgb="FFFEC200"/>
      </bottom>
      <diagonal/>
    </border>
    <border>
      <left/>
      <right style="medium">
        <color rgb="FFFEC200"/>
      </right>
      <top/>
      <bottom style="medium">
        <color rgb="FFFEC200"/>
      </bottom>
      <diagonal/>
    </border>
    <border>
      <left/>
      <right/>
      <top/>
      <bottom style="medium">
        <color rgb="FF00B3C9"/>
      </bottom>
      <diagonal/>
    </border>
    <border>
      <left/>
      <right style="medium">
        <color rgb="FF00B3C9"/>
      </right>
      <top/>
      <bottom style="medium">
        <color rgb="FF00B3C9"/>
      </bottom>
      <diagonal/>
    </border>
    <border>
      <left style="medium">
        <color rgb="FF00B3C9"/>
      </left>
      <right style="medium">
        <color rgb="FF00B3C9"/>
      </right>
      <top style="medium">
        <color rgb="FF00B3C9"/>
      </top>
      <bottom/>
      <diagonal/>
    </border>
    <border>
      <left style="medium">
        <color rgb="FF00B3C9"/>
      </left>
      <right style="medium">
        <color rgb="FF00B3C9"/>
      </right>
      <top/>
      <bottom style="medium">
        <color rgb="FF00B3C9"/>
      </bottom>
      <diagonal/>
    </border>
    <border>
      <left/>
      <right/>
      <top style="medium">
        <color rgb="FFF4B084"/>
      </top>
      <bottom/>
      <diagonal/>
    </border>
    <border>
      <left/>
      <right/>
      <top/>
      <bottom style="medium">
        <color rgb="FFF4B084"/>
      </bottom>
      <diagonal/>
    </border>
    <border>
      <left/>
      <right style="medium">
        <color rgb="FFF4B084"/>
      </right>
      <top/>
      <bottom style="medium">
        <color rgb="FFF4B084"/>
      </bottom>
      <diagonal/>
    </border>
    <border>
      <left style="thin">
        <color rgb="FFF4B084"/>
      </left>
      <right style="thin">
        <color rgb="FFF4B084"/>
      </right>
      <top style="thin">
        <color rgb="FFF4B084"/>
      </top>
      <bottom style="thin">
        <color rgb="FFF4B084"/>
      </bottom>
      <diagonal/>
    </border>
    <border>
      <left style="medium">
        <color rgb="FFF4B084"/>
      </left>
      <right/>
      <top style="medium">
        <color rgb="FFF4B084"/>
      </top>
      <bottom/>
      <diagonal/>
    </border>
    <border>
      <left style="medium">
        <color rgb="FFF4B084"/>
      </left>
      <right/>
      <top/>
      <bottom/>
      <diagonal/>
    </border>
    <border>
      <left style="medium">
        <color rgb="FFF4B084"/>
      </left>
      <right/>
      <top/>
      <bottom style="medium">
        <color rgb="FFF4B084"/>
      </bottom>
      <diagonal/>
    </border>
    <border>
      <left style="medium">
        <color rgb="FF00B3C9"/>
      </left>
      <right/>
      <top/>
      <bottom/>
      <diagonal/>
    </border>
    <border>
      <left style="medium">
        <color rgb="FFF4B084"/>
      </left>
      <right style="thin">
        <color rgb="FFF4B084"/>
      </right>
      <top style="medium">
        <color rgb="FFF4B084"/>
      </top>
      <bottom style="thin">
        <color rgb="FFF4B084"/>
      </bottom>
      <diagonal/>
    </border>
    <border>
      <left style="thin">
        <color rgb="FFF4B084"/>
      </left>
      <right style="thin">
        <color rgb="FFF4B084"/>
      </right>
      <top style="medium">
        <color rgb="FFF4B084"/>
      </top>
      <bottom style="thin">
        <color rgb="FFF4B084"/>
      </bottom>
      <diagonal/>
    </border>
    <border>
      <left style="thin">
        <color rgb="FFF4B084"/>
      </left>
      <right style="medium">
        <color rgb="FFF4B084"/>
      </right>
      <top style="medium">
        <color rgb="FFF4B084"/>
      </top>
      <bottom style="thin">
        <color rgb="FFF4B084"/>
      </bottom>
      <diagonal/>
    </border>
    <border>
      <left style="medium">
        <color rgb="FFF4B084"/>
      </left>
      <right style="thin">
        <color rgb="FFF4B084"/>
      </right>
      <top style="thin">
        <color rgb="FFF4B084"/>
      </top>
      <bottom style="thin">
        <color rgb="FFF4B084"/>
      </bottom>
      <diagonal/>
    </border>
    <border>
      <left style="thin">
        <color rgb="FFF4B084"/>
      </left>
      <right style="medium">
        <color rgb="FFF4B084"/>
      </right>
      <top style="thin">
        <color rgb="FFF4B084"/>
      </top>
      <bottom style="thin">
        <color rgb="FFF4B084"/>
      </bottom>
      <diagonal/>
    </border>
    <border>
      <left style="medium">
        <color rgb="FFF4B084"/>
      </left>
      <right style="thin">
        <color rgb="FFF4B084"/>
      </right>
      <top style="thin">
        <color rgb="FFF4B084"/>
      </top>
      <bottom style="medium">
        <color rgb="FFF4B084"/>
      </bottom>
      <diagonal/>
    </border>
    <border>
      <left style="thin">
        <color rgb="FFF4B084"/>
      </left>
      <right style="thin">
        <color rgb="FFF4B084"/>
      </right>
      <top style="thin">
        <color rgb="FFF4B084"/>
      </top>
      <bottom style="medium">
        <color rgb="FFF4B084"/>
      </bottom>
      <diagonal/>
    </border>
    <border>
      <left style="thin">
        <color rgb="FF00B3C9"/>
      </left>
      <right style="thin">
        <color rgb="FF00B3C9"/>
      </right>
      <top style="thin">
        <color rgb="FF00B3C9"/>
      </top>
      <bottom style="thin">
        <color rgb="FF00B3C9"/>
      </bottom>
      <diagonal/>
    </border>
    <border>
      <left style="medium">
        <color rgb="FF00B3C9"/>
      </left>
      <right style="thin">
        <color rgb="FF00B3C9"/>
      </right>
      <top style="medium">
        <color rgb="FF00B3C9"/>
      </top>
      <bottom/>
      <diagonal/>
    </border>
    <border>
      <left style="medium">
        <color rgb="FF00B3C9"/>
      </left>
      <right style="thin">
        <color rgb="FF00B3C9"/>
      </right>
      <top/>
      <bottom style="medium">
        <color rgb="FF00B3C9"/>
      </bottom>
      <diagonal/>
    </border>
    <border>
      <left style="thin">
        <color rgb="FF00B3C9"/>
      </left>
      <right style="thin">
        <color rgb="FF00B3C9"/>
      </right>
      <top/>
      <bottom style="thin">
        <color rgb="FF00B3C9"/>
      </bottom>
      <diagonal/>
    </border>
    <border>
      <left/>
      <right style="thin">
        <color rgb="FF00B3C9"/>
      </right>
      <top style="thin">
        <color rgb="FF00B3C9"/>
      </top>
      <bottom style="medium">
        <color rgb="FF00B3C9"/>
      </bottom>
      <diagonal/>
    </border>
    <border>
      <left style="thin">
        <color rgb="FF00B3C9"/>
      </left>
      <right style="thin">
        <color rgb="FF00B3C9"/>
      </right>
      <top style="medium">
        <color rgb="FF00B3C9"/>
      </top>
      <bottom style="thin">
        <color rgb="FF00B3C9"/>
      </bottom>
      <diagonal/>
    </border>
    <border>
      <left style="thin">
        <color rgb="FF00B3C9"/>
      </left>
      <right style="thin">
        <color rgb="FF00B3C9"/>
      </right>
      <top style="medium">
        <color rgb="FF00B3C9"/>
      </top>
      <bottom/>
      <diagonal/>
    </border>
    <border>
      <left style="thin">
        <color rgb="FF00B3C9"/>
      </left>
      <right style="medium">
        <color rgb="FF00B3C9"/>
      </right>
      <top style="medium">
        <color rgb="FF00B3C9"/>
      </top>
      <bottom style="thin">
        <color rgb="FF00B3C9"/>
      </bottom>
      <diagonal/>
    </border>
    <border>
      <left style="thin">
        <color rgb="FF00B3C9"/>
      </left>
      <right style="medium">
        <color rgb="FF00B3C9"/>
      </right>
      <top style="thin">
        <color rgb="FF00B3C9"/>
      </top>
      <bottom style="thin">
        <color rgb="FF00B3C9"/>
      </bottom>
      <diagonal/>
    </border>
    <border>
      <left/>
      <right style="thin">
        <color rgb="FF00B3C9"/>
      </right>
      <top style="medium">
        <color rgb="FF00B3C9"/>
      </top>
      <bottom style="thin">
        <color rgb="FF00B3C9"/>
      </bottom>
      <diagonal/>
    </border>
    <border>
      <left/>
      <right style="thin">
        <color rgb="FF00B3C9"/>
      </right>
      <top style="medium">
        <color rgb="FF00B3C9"/>
      </top>
      <bottom/>
      <diagonal/>
    </border>
    <border>
      <left/>
      <right style="thin">
        <color rgb="FF00B3C9"/>
      </right>
      <top/>
      <bottom/>
      <diagonal/>
    </border>
    <border>
      <left/>
      <right style="thin">
        <color rgb="FF00B3C9"/>
      </right>
      <top/>
      <bottom style="thin">
        <color rgb="FF00B3C9"/>
      </bottom>
      <diagonal/>
    </border>
    <border>
      <left style="thin">
        <color rgb="FF00B3C9"/>
      </left>
      <right style="thin">
        <color rgb="FF00B3C9"/>
      </right>
      <top/>
      <bottom style="medium">
        <color rgb="FF00B3C9"/>
      </bottom>
      <diagonal/>
    </border>
    <border>
      <left/>
      <right style="thin">
        <color rgb="FF00B3C9"/>
      </right>
      <top style="thin">
        <color rgb="FF00B3C9"/>
      </top>
      <bottom style="thin">
        <color rgb="FF00B3C9"/>
      </bottom>
      <diagonal/>
    </border>
    <border>
      <left style="thin">
        <color rgb="FFFEC200"/>
      </left>
      <right style="thin">
        <color rgb="FFFEC200"/>
      </right>
      <top style="thin">
        <color rgb="FFFEC200"/>
      </top>
      <bottom style="thin">
        <color rgb="FFFEC200"/>
      </bottom>
      <diagonal/>
    </border>
    <border>
      <left style="medium">
        <color rgb="FFFEC200"/>
      </left>
      <right style="thin">
        <color rgb="FFFEC200"/>
      </right>
      <top style="medium">
        <color rgb="FFFEC200"/>
      </top>
      <bottom/>
      <diagonal/>
    </border>
    <border>
      <left style="thin">
        <color rgb="FFFEC200"/>
      </left>
      <right style="thin">
        <color rgb="FFFEC200"/>
      </right>
      <top/>
      <bottom style="thin">
        <color rgb="FFFEC200"/>
      </bottom>
      <diagonal/>
    </border>
    <border>
      <left style="medium">
        <color rgb="FFFEC200"/>
      </left>
      <right style="thin">
        <color rgb="FFFEC200"/>
      </right>
      <top/>
      <bottom style="medium">
        <color rgb="FFFEC200"/>
      </bottom>
      <diagonal/>
    </border>
    <border>
      <left/>
      <right style="thin">
        <color rgb="FFFEC200"/>
      </right>
      <top style="medium">
        <color rgb="FFFEC200"/>
      </top>
      <bottom/>
      <diagonal/>
    </border>
    <border>
      <left/>
      <right style="thin">
        <color rgb="FFFEC200"/>
      </right>
      <top style="thin">
        <color rgb="FFFEC200"/>
      </top>
      <bottom style="thin">
        <color rgb="FFFEC200"/>
      </bottom>
      <diagonal/>
    </border>
    <border>
      <left/>
      <right style="thin">
        <color rgb="FFFEC200"/>
      </right>
      <top/>
      <bottom style="thin">
        <color rgb="FFFEC200"/>
      </bottom>
      <diagonal/>
    </border>
    <border>
      <left/>
      <right style="thin">
        <color rgb="FFFEC200"/>
      </right>
      <top/>
      <bottom style="medium">
        <color rgb="FFFEC200"/>
      </bottom>
      <diagonal/>
    </border>
    <border>
      <left/>
      <right style="medium">
        <color rgb="FFFEC200"/>
      </right>
      <top style="medium">
        <color rgb="FFFEC200"/>
      </top>
      <bottom style="thin">
        <color rgb="FFFEC200"/>
      </bottom>
      <diagonal/>
    </border>
    <border>
      <left/>
      <right style="thin">
        <color rgb="FFFEC200"/>
      </right>
      <top style="medium">
        <color rgb="FFFEC200"/>
      </top>
      <bottom style="thin">
        <color rgb="FFFEC200"/>
      </bottom>
      <diagonal/>
    </border>
    <border>
      <left style="thin">
        <color rgb="FFFEC200"/>
      </left>
      <right style="medium">
        <color rgb="FFFEC200"/>
      </right>
      <top style="thin">
        <color rgb="FFFEC200"/>
      </top>
      <bottom style="thin">
        <color rgb="FFFEC200"/>
      </bottom>
      <diagonal/>
    </border>
    <border>
      <left/>
      <right style="medium">
        <color rgb="FFFEC200"/>
      </right>
      <top style="thin">
        <color rgb="FFFEC200"/>
      </top>
      <bottom style="thin">
        <color rgb="FFFEC200"/>
      </bottom>
      <diagonal/>
    </border>
    <border>
      <left style="thin">
        <color rgb="FFFEC200"/>
      </left>
      <right style="thin">
        <color rgb="FFFEC200"/>
      </right>
      <top style="medium">
        <color rgb="FFFEC200"/>
      </top>
      <bottom/>
      <diagonal/>
    </border>
    <border>
      <left style="thin">
        <color rgb="FFFEC200"/>
      </left>
      <right style="thin">
        <color rgb="FFFEC200"/>
      </right>
      <top/>
      <bottom style="medium">
        <color rgb="FFFEC200"/>
      </bottom>
      <diagonal/>
    </border>
    <border>
      <left/>
      <right style="medium">
        <color rgb="FF01A439"/>
      </right>
      <top/>
      <bottom/>
      <diagonal/>
    </border>
    <border>
      <left/>
      <right/>
      <top style="medium">
        <color rgb="FF01A439"/>
      </top>
      <bottom style="medium">
        <color rgb="FFFEC200"/>
      </bottom>
      <diagonal/>
    </border>
    <border>
      <left/>
      <right/>
      <top style="medium">
        <color rgb="FFAB402E"/>
      </top>
      <bottom/>
      <diagonal/>
    </border>
    <border>
      <left/>
      <right/>
      <top/>
      <bottom style="medium">
        <color rgb="FFAB402E"/>
      </bottom>
      <diagonal/>
    </border>
    <border>
      <left/>
      <right style="medium">
        <color rgb="FFAB402E"/>
      </right>
      <top/>
      <bottom style="medium">
        <color rgb="FFAB402E"/>
      </bottom>
      <diagonal/>
    </border>
    <border>
      <left style="medium">
        <color rgb="FFAB402E"/>
      </left>
      <right style="medium">
        <color rgb="FFAB402E"/>
      </right>
      <top style="medium">
        <color rgb="FFAB402E"/>
      </top>
      <bottom/>
      <diagonal/>
    </border>
    <border>
      <left style="medium">
        <color rgb="FFAB402E"/>
      </left>
      <right style="medium">
        <color rgb="FFAB402E"/>
      </right>
      <top/>
      <bottom/>
      <diagonal/>
    </border>
    <border>
      <left style="medium">
        <color rgb="FFAB402E"/>
      </left>
      <right style="medium">
        <color rgb="FFAB402E"/>
      </right>
      <top/>
      <bottom style="medium">
        <color rgb="FFAB402E"/>
      </bottom>
      <diagonal/>
    </border>
    <border>
      <left style="thin">
        <color rgb="FFAB402E"/>
      </left>
      <right style="thin">
        <color rgb="FFAB402E"/>
      </right>
      <top style="medium">
        <color rgb="FFAB402E"/>
      </top>
      <bottom/>
      <diagonal/>
    </border>
    <border>
      <left style="thin">
        <color rgb="FFAB402E"/>
      </left>
      <right style="thin">
        <color rgb="FFAB402E"/>
      </right>
      <top/>
      <bottom/>
      <diagonal/>
    </border>
    <border>
      <left style="medium">
        <color rgb="FFAB402E"/>
      </left>
      <right style="thin">
        <color rgb="FFAB402E"/>
      </right>
      <top/>
      <bottom style="thin">
        <color theme="4"/>
      </bottom>
      <diagonal/>
    </border>
    <border>
      <left style="thin">
        <color rgb="FFAB402E"/>
      </left>
      <right style="thin">
        <color rgb="FFAB402E"/>
      </right>
      <top/>
      <bottom style="thin">
        <color theme="4"/>
      </bottom>
      <diagonal/>
    </border>
    <border>
      <left/>
      <right style="medium">
        <color rgb="FFAB402E"/>
      </right>
      <top/>
      <bottom style="thin">
        <color theme="4"/>
      </bottom>
      <diagonal/>
    </border>
    <border>
      <left style="medium">
        <color rgb="FFAB402E"/>
      </left>
      <right style="thin">
        <color rgb="FFAB402E"/>
      </right>
      <top style="medium">
        <color rgb="FFAB402E"/>
      </top>
      <bottom style="thin">
        <color rgb="FFAB402E"/>
      </bottom>
      <diagonal/>
    </border>
    <border>
      <left style="thin">
        <color rgb="FFAB402E"/>
      </left>
      <right style="thin">
        <color rgb="FFAB402E"/>
      </right>
      <top style="medium">
        <color rgb="FFAB402E"/>
      </top>
      <bottom style="thin">
        <color rgb="FFAB402E"/>
      </bottom>
      <diagonal/>
    </border>
    <border>
      <left/>
      <right style="medium">
        <color rgb="FFAB402E"/>
      </right>
      <top style="medium">
        <color rgb="FFAB402E"/>
      </top>
      <bottom style="thin">
        <color rgb="FFAB402E"/>
      </bottom>
      <diagonal/>
    </border>
    <border>
      <left style="thin">
        <color rgb="FFAB402E"/>
      </left>
      <right style="thin">
        <color rgb="FFAB402E"/>
      </right>
      <top style="thin">
        <color rgb="FFAB402E"/>
      </top>
      <bottom style="thin">
        <color rgb="FFAB402E"/>
      </bottom>
      <diagonal/>
    </border>
    <border>
      <left/>
      <right style="medium">
        <color rgb="FFAB402E"/>
      </right>
      <top style="thin">
        <color rgb="FFAB402E"/>
      </top>
      <bottom style="thin">
        <color rgb="FFAB402E"/>
      </bottom>
      <diagonal/>
    </border>
    <border>
      <left style="thin">
        <color rgb="FFAB402E"/>
      </left>
      <right style="thin">
        <color rgb="FFAB402E"/>
      </right>
      <top/>
      <bottom style="thin">
        <color rgb="FFAB402E"/>
      </bottom>
      <diagonal/>
    </border>
    <border>
      <left style="medium">
        <color rgb="FFAB402E"/>
      </left>
      <right style="thin">
        <color rgb="FFAB402E"/>
      </right>
      <top style="thin">
        <color theme="4"/>
      </top>
      <bottom style="thin">
        <color rgb="FFAB402E"/>
      </bottom>
      <diagonal/>
    </border>
    <border>
      <left/>
      <right style="medium">
        <color rgb="FFAB402E"/>
      </right>
      <top/>
      <bottom style="thin">
        <color rgb="FFAB402E"/>
      </bottom>
      <diagonal/>
    </border>
    <border>
      <left style="medium">
        <color rgb="FFAB402E"/>
      </left>
      <right style="thin">
        <color rgb="FFAB402E"/>
      </right>
      <top style="thin">
        <color rgb="FFAB402E"/>
      </top>
      <bottom style="thin">
        <color rgb="FFAB402E"/>
      </bottom>
      <diagonal/>
    </border>
    <border>
      <left style="medium">
        <color rgb="FFAB402E"/>
      </left>
      <right style="thin">
        <color rgb="FFAB402E"/>
      </right>
      <top/>
      <bottom style="medium">
        <color rgb="FFAB402E"/>
      </bottom>
      <diagonal/>
    </border>
    <border>
      <left style="thin">
        <color rgb="FFAB402E"/>
      </left>
      <right style="thin">
        <color rgb="FFAB402E"/>
      </right>
      <top/>
      <bottom style="medium">
        <color rgb="FFAB402E"/>
      </bottom>
      <diagonal/>
    </border>
    <border>
      <left style="thin">
        <color rgb="FFC9C9C9"/>
      </left>
      <right style="thin">
        <color rgb="FFC9C9C9"/>
      </right>
      <top style="thin">
        <color rgb="FFC9C9C9"/>
      </top>
      <bottom style="thin">
        <color rgb="FFC9C9C9"/>
      </bottom>
      <diagonal/>
    </border>
    <border>
      <left/>
      <right style="thin">
        <color rgb="FFC9C9C9"/>
      </right>
      <top/>
      <bottom style="thin">
        <color rgb="FFC9C9C9"/>
      </bottom>
      <diagonal/>
    </border>
    <border>
      <left/>
      <right style="thin">
        <color rgb="FFC9C9C9"/>
      </right>
      <top style="thin">
        <color rgb="FFC9C9C9"/>
      </top>
      <bottom style="thin">
        <color rgb="FFC9C9C9"/>
      </bottom>
      <diagonal/>
    </border>
    <border>
      <left style="thin">
        <color rgb="FFC9C9C9"/>
      </left>
      <right style="thin">
        <color rgb="FFC9C9C9"/>
      </right>
      <top/>
      <bottom style="thin">
        <color rgb="FFC9C9C9"/>
      </bottom>
      <diagonal/>
    </border>
    <border>
      <left style="thin">
        <color rgb="FFC9C9C9"/>
      </left>
      <right style="thin">
        <color rgb="FFC9C9C9"/>
      </right>
      <top/>
      <bottom/>
      <diagonal/>
    </border>
    <border>
      <left style="medium">
        <color rgb="FFC9C9C9"/>
      </left>
      <right style="thin">
        <color rgb="FFC9C9C9"/>
      </right>
      <top style="medium">
        <color rgb="FFC9C9C9"/>
      </top>
      <bottom/>
      <diagonal/>
    </border>
    <border>
      <left/>
      <right style="thin">
        <color rgb="FFC9C9C9"/>
      </right>
      <top style="medium">
        <color rgb="FFC9C9C9"/>
      </top>
      <bottom/>
      <diagonal/>
    </border>
    <border>
      <left/>
      <right style="thin">
        <color theme="4"/>
      </right>
      <top style="medium">
        <color rgb="FFC9C9C9"/>
      </top>
      <bottom/>
      <diagonal/>
    </border>
    <border>
      <left style="thin">
        <color theme="4"/>
      </left>
      <right style="thin">
        <color rgb="FFC9C9C9"/>
      </right>
      <top style="medium">
        <color rgb="FFC9C9C9"/>
      </top>
      <bottom/>
      <diagonal/>
    </border>
    <border>
      <left style="thin">
        <color rgb="FFC9C9C9"/>
      </left>
      <right style="thin">
        <color rgb="FFC9C9C9"/>
      </right>
      <top style="medium">
        <color rgb="FFC9C9C9"/>
      </top>
      <bottom/>
      <diagonal/>
    </border>
    <border>
      <left style="thin">
        <color rgb="FFC9C9C9"/>
      </left>
      <right style="thin">
        <color rgb="FFC9C9C9"/>
      </right>
      <top style="medium">
        <color rgb="FFC9C9C9"/>
      </top>
      <bottom style="thin">
        <color rgb="FFC9C9C9"/>
      </bottom>
      <diagonal/>
    </border>
    <border>
      <left style="thin">
        <color rgb="FFC9C9C9"/>
      </left>
      <right style="medium">
        <color rgb="FFC9C9C9"/>
      </right>
      <top style="medium">
        <color rgb="FFC9C9C9"/>
      </top>
      <bottom style="thin">
        <color rgb="FFC9C9C9"/>
      </bottom>
      <diagonal/>
    </border>
    <border>
      <left style="medium">
        <color rgb="FFC9C9C9"/>
      </left>
      <right style="thin">
        <color rgb="FFC9C9C9"/>
      </right>
      <top style="thin">
        <color rgb="FFC9C9C9"/>
      </top>
      <bottom style="thin">
        <color rgb="FFC9C9C9"/>
      </bottom>
      <diagonal/>
    </border>
    <border>
      <left/>
      <right style="medium">
        <color rgb="FFC9C9C9"/>
      </right>
      <top style="thin">
        <color rgb="FFC9C9C9"/>
      </top>
      <bottom style="thin">
        <color rgb="FFC9C9C9"/>
      </bottom>
      <diagonal/>
    </border>
    <border>
      <left style="medium">
        <color rgb="FFC9C9C9"/>
      </left>
      <right/>
      <top style="thin">
        <color rgb="FFC9C9C9"/>
      </top>
      <bottom style="thin">
        <color rgb="FFC9C9C9"/>
      </bottom>
      <diagonal/>
    </border>
    <border>
      <left/>
      <right style="medium">
        <color rgb="FFC9C9C9"/>
      </right>
      <top/>
      <bottom style="thin">
        <color rgb="FFC9C9C9"/>
      </bottom>
      <diagonal/>
    </border>
    <border>
      <left style="medium">
        <color rgb="FFC9C9C9"/>
      </left>
      <right/>
      <top/>
      <bottom style="thin">
        <color rgb="FFC9C9C9"/>
      </bottom>
      <diagonal/>
    </border>
    <border>
      <left style="medium">
        <color rgb="FFC9C9C9"/>
      </left>
      <right style="thin">
        <color rgb="FFC9C9C9"/>
      </right>
      <top style="thin">
        <color rgb="FFC9C9C9"/>
      </top>
      <bottom style="medium">
        <color rgb="FFC9C9C9"/>
      </bottom>
      <diagonal/>
    </border>
    <border>
      <left/>
      <right style="thin">
        <color rgb="FFC9C9C9"/>
      </right>
      <top/>
      <bottom style="medium">
        <color rgb="FFC9C9C9"/>
      </bottom>
      <diagonal/>
    </border>
    <border>
      <left style="thin">
        <color rgb="FFC9C9C9"/>
      </left>
      <right style="thin">
        <color rgb="FFC9C9C9"/>
      </right>
      <top style="thin">
        <color rgb="FFC9C9C9"/>
      </top>
      <bottom style="medium">
        <color rgb="FFC9C9C9"/>
      </bottom>
      <diagonal/>
    </border>
    <border>
      <left/>
      <right/>
      <top/>
      <bottom style="medium">
        <color rgb="FFC9C9C9"/>
      </bottom>
      <diagonal/>
    </border>
    <border>
      <left/>
      <right style="medium">
        <color rgb="FFC9C9C9"/>
      </right>
      <top/>
      <bottom style="medium">
        <color rgb="FFC9C9C9"/>
      </bottom>
      <diagonal/>
    </border>
    <border>
      <left style="medium">
        <color rgb="FFC9C9C9"/>
      </left>
      <right style="medium">
        <color rgb="FFC9C9C9"/>
      </right>
      <top style="medium">
        <color rgb="FFC9C9C9"/>
      </top>
      <bottom/>
      <diagonal/>
    </border>
    <border>
      <left style="medium">
        <color rgb="FFC9C9C9"/>
      </left>
      <right style="medium">
        <color rgb="FFC9C9C9"/>
      </right>
      <top/>
      <bottom/>
      <diagonal/>
    </border>
    <border>
      <left style="medium">
        <color rgb="FFC9C9C9"/>
      </left>
      <right style="medium">
        <color rgb="FFC9C9C9"/>
      </right>
      <top/>
      <bottom style="medium">
        <color rgb="FFC9C9C9"/>
      </bottom>
      <diagonal/>
    </border>
    <border>
      <left/>
      <right/>
      <top style="medium">
        <color rgb="FF2F75B5"/>
      </top>
      <bottom/>
      <diagonal/>
    </border>
    <border>
      <left/>
      <right/>
      <top/>
      <bottom style="medium">
        <color rgb="FF2F75B5"/>
      </bottom>
      <diagonal/>
    </border>
    <border>
      <left/>
      <right style="medium">
        <color rgb="FF2F75B5"/>
      </right>
      <top/>
      <bottom style="medium">
        <color rgb="FF2F75B5"/>
      </bottom>
      <diagonal/>
    </border>
    <border>
      <left style="medium">
        <color rgb="FF2F75B5"/>
      </left>
      <right style="medium">
        <color rgb="FF2F75B5"/>
      </right>
      <top style="medium">
        <color rgb="FF2F75B5"/>
      </top>
      <bottom/>
      <diagonal/>
    </border>
    <border>
      <left style="medium">
        <color rgb="FF2F75B5"/>
      </left>
      <right style="medium">
        <color rgb="FF2F75B5"/>
      </right>
      <top/>
      <bottom/>
      <diagonal/>
    </border>
    <border>
      <left style="medium">
        <color rgb="FF2F75B5"/>
      </left>
      <right style="medium">
        <color rgb="FF2F75B5"/>
      </right>
      <top/>
      <bottom style="medium">
        <color rgb="FF2F75B5"/>
      </bottom>
      <diagonal/>
    </border>
    <border>
      <left style="thin">
        <color rgb="FF2F75B5"/>
      </left>
      <right style="thin">
        <color rgb="FF2F75B5"/>
      </right>
      <top style="medium">
        <color rgb="FF2F75B5"/>
      </top>
      <bottom style="thin">
        <color theme="4"/>
      </bottom>
      <diagonal/>
    </border>
    <border>
      <left style="thin">
        <color theme="4"/>
      </left>
      <right style="thin">
        <color rgb="FF2F75B5"/>
      </right>
      <top style="medium">
        <color rgb="FF2F75B5"/>
      </top>
      <bottom style="thin">
        <color theme="4"/>
      </bottom>
      <diagonal/>
    </border>
    <border>
      <left/>
      <right style="medium">
        <color rgb="FF2F75B5"/>
      </right>
      <top style="medium">
        <color rgb="FF2F75B5"/>
      </top>
      <bottom style="thin">
        <color theme="4"/>
      </bottom>
      <diagonal/>
    </border>
    <border>
      <left style="thin">
        <color theme="4"/>
      </left>
      <right style="thin">
        <color rgb="FF2F75B5"/>
      </right>
      <top/>
      <bottom style="thin">
        <color theme="4"/>
      </bottom>
      <diagonal/>
    </border>
    <border>
      <left/>
      <right style="medium">
        <color rgb="FF2F75B5"/>
      </right>
      <top/>
      <bottom style="thin">
        <color theme="4"/>
      </bottom>
      <diagonal/>
    </border>
    <border>
      <left style="thin">
        <color theme="4"/>
      </left>
      <right style="thin">
        <color rgb="FF2F75B5"/>
      </right>
      <top style="thin">
        <color theme="4"/>
      </top>
      <bottom style="thin">
        <color rgb="FF2F75B5"/>
      </bottom>
      <diagonal/>
    </border>
    <border>
      <left/>
      <right style="thin">
        <color theme="4"/>
      </right>
      <top style="thin">
        <color theme="4"/>
      </top>
      <bottom style="thin">
        <color rgb="FF2F75B5"/>
      </bottom>
      <diagonal/>
    </border>
    <border>
      <left/>
      <right style="medium">
        <color rgb="FF2F75B5"/>
      </right>
      <top style="thin">
        <color theme="4"/>
      </top>
      <bottom style="thin">
        <color rgb="FF2F75B5"/>
      </bottom>
      <diagonal/>
    </border>
    <border>
      <left style="thin">
        <color theme="4"/>
      </left>
      <right style="thin">
        <color rgb="FF2F75B5"/>
      </right>
      <top/>
      <bottom style="thin">
        <color rgb="FF2F75B5"/>
      </bottom>
      <diagonal/>
    </border>
    <border>
      <left/>
      <right style="thin">
        <color theme="4"/>
      </right>
      <top/>
      <bottom style="thin">
        <color rgb="FF2F75B5"/>
      </bottom>
      <diagonal/>
    </border>
    <border>
      <left/>
      <right style="medium">
        <color rgb="FF2F75B5"/>
      </right>
      <top/>
      <bottom style="thin">
        <color rgb="FF2F75B5"/>
      </bottom>
      <diagonal/>
    </border>
    <border>
      <left style="medium">
        <color rgb="FF2F75B5"/>
      </left>
      <right style="thin">
        <color rgb="FF2F75B5"/>
      </right>
      <top/>
      <bottom style="medium">
        <color rgb="FF2F75B5"/>
      </bottom>
      <diagonal/>
    </border>
    <border>
      <left style="thin">
        <color rgb="FF2F75B5"/>
      </left>
      <right style="thin">
        <color rgb="FF2F75B5"/>
      </right>
      <top/>
      <bottom style="medium">
        <color rgb="FF2F75B5"/>
      </bottom>
      <diagonal/>
    </border>
    <border>
      <left/>
      <right style="thin">
        <color theme="4"/>
      </right>
      <top/>
      <bottom style="medium">
        <color rgb="FF2F75B5"/>
      </bottom>
      <diagonal/>
    </border>
    <border>
      <left style="medium">
        <color rgb="FF2F75B5"/>
      </left>
      <right style="thin">
        <color rgb="FF2F75B5"/>
      </right>
      <top/>
      <bottom style="thin">
        <color rgb="FF2F75B5"/>
      </bottom>
      <diagonal/>
    </border>
    <border>
      <left style="thin">
        <color rgb="FF2F75B5"/>
      </left>
      <right style="thin">
        <color rgb="FF2F75B5"/>
      </right>
      <top/>
      <bottom style="thin">
        <color rgb="FF2F75B5"/>
      </bottom>
      <diagonal/>
    </border>
    <border>
      <left style="medium">
        <color rgb="FF2F75B5"/>
      </left>
      <right style="thin">
        <color rgb="FF2F75B5"/>
      </right>
      <top style="medium">
        <color rgb="FF2F75B5"/>
      </top>
      <bottom style="thin">
        <color rgb="FF2F75B5"/>
      </bottom>
      <diagonal/>
    </border>
    <border>
      <left style="thin">
        <color rgb="FF2F75B5"/>
      </left>
      <right style="thin">
        <color rgb="FF2F75B5"/>
      </right>
      <top style="medium">
        <color rgb="FF2F75B5"/>
      </top>
      <bottom style="thin">
        <color rgb="FF2F75B5"/>
      </bottom>
      <diagonal/>
    </border>
    <border>
      <left style="thin">
        <color rgb="FF2F75B5"/>
      </left>
      <right style="thin">
        <color theme="4"/>
      </right>
      <top style="medium">
        <color rgb="FF2F75B5"/>
      </top>
      <bottom style="thin">
        <color rgb="FF2F75B5"/>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medium">
        <color theme="4" tint="0.39997558519241921"/>
      </left>
      <right style="thin">
        <color theme="4" tint="0.39997558519241921"/>
      </right>
      <top style="medium">
        <color theme="4" tint="0.39997558519241921"/>
      </top>
      <bottom style="thin">
        <color theme="4" tint="0.39997558519241921"/>
      </bottom>
      <diagonal/>
    </border>
    <border>
      <left style="thin">
        <color theme="4" tint="0.39997558519241921"/>
      </left>
      <right style="thin">
        <color theme="4" tint="0.39997558519241921"/>
      </right>
      <top style="medium">
        <color theme="4" tint="0.39997558519241921"/>
      </top>
      <bottom style="thin">
        <color theme="4" tint="0.39997558519241921"/>
      </bottom>
      <diagonal/>
    </border>
    <border>
      <left style="thin">
        <color theme="4" tint="0.39997558519241921"/>
      </left>
      <right style="thin">
        <color theme="4" tint="0.39997558519241921"/>
      </right>
      <top style="medium">
        <color theme="4" tint="0.39997558519241921"/>
      </top>
      <bottom/>
      <diagonal/>
    </border>
    <border>
      <left/>
      <right style="medium">
        <color theme="4" tint="0.39997558519241921"/>
      </right>
      <top style="medium">
        <color theme="4" tint="0.39997558519241921"/>
      </top>
      <bottom style="thin">
        <color theme="4" tint="0.39997558519241921"/>
      </bottom>
      <diagonal/>
    </border>
    <border>
      <left style="medium">
        <color theme="4" tint="0.39997558519241921"/>
      </left>
      <right style="thin">
        <color theme="4" tint="0.39997558519241921"/>
      </right>
      <top style="thin">
        <color theme="4" tint="0.39997558519241921"/>
      </top>
      <bottom style="thin">
        <color theme="4" tint="0.39997558519241921"/>
      </bottom>
      <diagonal/>
    </border>
    <border>
      <left/>
      <right style="medium">
        <color theme="4" tint="0.39997558519241921"/>
      </right>
      <top/>
      <bottom style="thin">
        <color theme="4" tint="0.39997558519241921"/>
      </bottom>
      <diagonal/>
    </border>
    <border>
      <left style="medium">
        <color theme="4" tint="0.39997558519241921"/>
      </left>
      <right style="thin">
        <color theme="4" tint="0.39997558519241921"/>
      </right>
      <top/>
      <bottom style="medium">
        <color theme="4" tint="0.39997558519241921"/>
      </bottom>
      <diagonal/>
    </border>
    <border>
      <left style="thin">
        <color theme="4" tint="0.39997558519241921"/>
      </left>
      <right style="thin">
        <color theme="4" tint="0.39997558519241921"/>
      </right>
      <top/>
      <bottom style="medium">
        <color theme="4" tint="0.39997558519241921"/>
      </bottom>
      <diagonal/>
    </border>
    <border>
      <left/>
      <right style="medium">
        <color theme="4" tint="0.39997558519241921"/>
      </right>
      <top/>
      <bottom style="medium">
        <color theme="4" tint="0.39997558519241921"/>
      </bottom>
      <diagonal/>
    </border>
    <border>
      <left style="medium">
        <color theme="4" tint="0.39997558519241921"/>
      </left>
      <right style="medium">
        <color theme="4" tint="0.39997558519241921"/>
      </right>
      <top style="medium">
        <color theme="4" tint="0.39997558519241921"/>
      </top>
      <bottom/>
      <diagonal/>
    </border>
    <border>
      <left style="medium">
        <color theme="4" tint="0.39997558519241921"/>
      </left>
      <right style="medium">
        <color theme="4" tint="0.39997558519241921"/>
      </right>
      <top/>
      <bottom/>
      <diagonal/>
    </border>
    <border>
      <left style="medium">
        <color theme="4" tint="0.39997558519241921"/>
      </left>
      <right style="medium">
        <color theme="4" tint="0.39997558519241921"/>
      </right>
      <top/>
      <bottom style="medium">
        <color theme="4" tint="0.39997558519241921"/>
      </bottom>
      <diagonal/>
    </border>
    <border>
      <left style="thin">
        <color theme="4"/>
      </left>
      <right/>
      <top style="thin">
        <color theme="4"/>
      </top>
      <bottom/>
      <diagonal/>
    </border>
    <border>
      <left/>
      <right/>
      <top/>
      <bottom style="thin">
        <color theme="4"/>
      </bottom>
      <diagonal/>
    </border>
    <border>
      <left/>
      <right/>
      <top style="thin">
        <color theme="4"/>
      </top>
      <bottom/>
      <diagonal/>
    </border>
    <border>
      <left/>
      <right style="thin">
        <color theme="4"/>
      </right>
      <top/>
      <bottom style="thin">
        <color rgb="FF4F80BC"/>
      </bottom>
      <diagonal/>
    </border>
    <border>
      <left style="thin">
        <color theme="4"/>
      </left>
      <right style="thin">
        <color rgb="FF4F80BC"/>
      </right>
      <top style="thin">
        <color theme="4"/>
      </top>
      <bottom/>
      <diagonal/>
    </border>
    <border>
      <left/>
      <right style="thin">
        <color rgb="FF4F80BC"/>
      </right>
      <top/>
      <bottom/>
      <diagonal/>
    </border>
    <border>
      <left style="thin">
        <color theme="4"/>
      </left>
      <right style="thin">
        <color rgb="FF4F80BC"/>
      </right>
      <top/>
      <bottom style="thin">
        <color theme="4"/>
      </bottom>
      <diagonal/>
    </border>
    <border>
      <left style="thin">
        <color rgb="FF4F80BC"/>
      </left>
      <right/>
      <top/>
      <bottom/>
      <diagonal/>
    </border>
    <border>
      <left style="thin">
        <color rgb="FF4F80BC"/>
      </left>
      <right style="thin">
        <color rgb="FF4F80BC"/>
      </right>
      <top style="thin">
        <color rgb="FF4F80BC"/>
      </top>
      <bottom/>
      <diagonal/>
    </border>
    <border>
      <left style="thin">
        <color rgb="FF4F80BC"/>
      </left>
      <right style="thin">
        <color theme="4"/>
      </right>
      <top/>
      <bottom style="thin">
        <color rgb="FF4F80BC"/>
      </bottom>
      <diagonal/>
    </border>
    <border>
      <left style="thin">
        <color theme="4"/>
      </left>
      <right style="thin">
        <color rgb="FF4F80BC"/>
      </right>
      <top/>
      <bottom style="thin">
        <color rgb="FF4F80BC"/>
      </bottom>
      <diagonal/>
    </border>
    <border>
      <left/>
      <right style="thin">
        <color rgb="FF4F80BC"/>
      </right>
      <top style="thin">
        <color rgb="FF4F80BC"/>
      </top>
      <bottom/>
      <diagonal/>
    </border>
    <border>
      <left/>
      <right style="thin">
        <color rgb="FF4F80BC"/>
      </right>
      <top/>
      <bottom style="thin">
        <color rgb="FF4F80BC"/>
      </bottom>
      <diagonal/>
    </border>
    <border>
      <left/>
      <right/>
      <top/>
      <bottom style="thin">
        <color rgb="FF4F80BC"/>
      </bottom>
      <diagonal/>
    </border>
    <border>
      <left style="thin">
        <color rgb="FF4F80BC"/>
      </left>
      <right style="thin">
        <color rgb="FF4F80BC"/>
      </right>
      <top/>
      <bottom style="thin">
        <color rgb="FF4F80BC"/>
      </bottom>
      <diagonal/>
    </border>
    <border>
      <left/>
      <right/>
      <top style="thin">
        <color theme="4"/>
      </top>
      <bottom style="thin">
        <color rgb="FF2F75B5"/>
      </bottom>
      <diagonal/>
    </border>
    <border>
      <left/>
      <right/>
      <top style="thin">
        <color theme="0"/>
      </top>
      <bottom style="thin">
        <color theme="0" tint="-4.9989318521683403E-2"/>
      </bottom>
      <diagonal/>
    </border>
    <border diagonalUp="1">
      <left/>
      <right/>
      <top/>
      <bottom/>
      <diagonal style="thin">
        <color theme="0"/>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 diagonalUp="1">
      <left/>
      <right/>
      <top/>
      <bottom style="thin">
        <color theme="0"/>
      </bottom>
      <diagonal style="thin">
        <color theme="0"/>
      </diagonal>
    </border>
    <border>
      <left/>
      <right/>
      <top/>
      <bottom style="thin">
        <color theme="0" tint="-0.14999847407452621"/>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9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8" fillId="0" borderId="0"/>
  </cellStyleXfs>
  <cellXfs count="1056">
    <xf numFmtId="0" fontId="0" fillId="0" borderId="0" xfId="0"/>
    <xf numFmtId="0" fontId="0" fillId="2" borderId="0" xfId="0" applyFill="1"/>
    <xf numFmtId="0" fontId="0" fillId="2" borderId="0" xfId="0" applyFill="1" applyProtection="1">
      <protection hidden="1"/>
    </xf>
    <xf numFmtId="0" fontId="0" fillId="2" borderId="0" xfId="0" applyFill="1" applyAlignment="1">
      <alignment horizontal="center"/>
    </xf>
    <xf numFmtId="0" fontId="10" fillId="4" borderId="0" xfId="0" applyFont="1" applyFill="1" applyAlignment="1" applyProtection="1">
      <alignment horizontal="center" vertical="center"/>
      <protection hidden="1"/>
    </xf>
    <xf numFmtId="0" fontId="10" fillId="4" borderId="0" xfId="0" applyFont="1" applyFill="1" applyAlignment="1" applyProtection="1">
      <alignment horizontal="left" vertical="center"/>
      <protection hidden="1"/>
    </xf>
    <xf numFmtId="0" fontId="0" fillId="2" borderId="0" xfId="0" applyFill="1" applyAlignment="1" applyProtection="1">
      <alignment horizontal="center"/>
      <protection hidden="1"/>
    </xf>
    <xf numFmtId="0" fontId="17" fillId="2" borderId="0" xfId="27" applyFont="1" applyFill="1" applyAlignment="1" applyProtection="1">
      <alignment vertical="center"/>
      <protection hidden="1"/>
    </xf>
    <xf numFmtId="0" fontId="17" fillId="2" borderId="0" xfId="27" applyFont="1" applyFill="1" applyProtection="1">
      <protection hidden="1"/>
    </xf>
    <xf numFmtId="0" fontId="0" fillId="0" borderId="0" xfId="0" applyProtection="1">
      <protection hidden="1"/>
    </xf>
    <xf numFmtId="0" fontId="0" fillId="0" borderId="0" xfId="0" applyAlignment="1">
      <alignment horizontal="center"/>
    </xf>
    <xf numFmtId="0" fontId="0" fillId="0" borderId="0" xfId="0" applyAlignment="1" applyProtection="1">
      <alignment horizontal="center"/>
      <protection hidden="1"/>
    </xf>
    <xf numFmtId="14" fontId="12" fillId="7" borderId="0" xfId="0" applyNumberFormat="1" applyFont="1" applyFill="1" applyAlignment="1" applyProtection="1">
      <alignment horizontal="center" vertical="center"/>
      <protection hidden="1"/>
    </xf>
    <xf numFmtId="165" fontId="12" fillId="7" borderId="0" xfId="0" applyNumberFormat="1" applyFont="1" applyFill="1" applyAlignment="1" applyProtection="1">
      <alignment horizontal="center" vertical="center"/>
      <protection hidden="1"/>
    </xf>
    <xf numFmtId="0" fontId="8" fillId="7" borderId="5" xfId="0" applyFont="1" applyFill="1" applyBorder="1" applyAlignment="1" applyProtection="1">
      <alignment horizontal="right"/>
      <protection hidden="1"/>
    </xf>
    <xf numFmtId="0" fontId="8" fillId="7" borderId="2" xfId="0" applyFont="1" applyFill="1" applyBorder="1" applyAlignment="1" applyProtection="1">
      <alignment horizontal="center"/>
      <protection locked="0"/>
    </xf>
    <xf numFmtId="14" fontId="12" fillId="9" borderId="0" xfId="0" applyNumberFormat="1" applyFont="1" applyFill="1" applyAlignment="1" applyProtection="1">
      <alignment horizontal="center" vertical="center"/>
      <protection hidden="1"/>
    </xf>
    <xf numFmtId="165" fontId="12" fillId="9" borderId="0" xfId="0" applyNumberFormat="1" applyFont="1" applyFill="1" applyAlignment="1" applyProtection="1">
      <alignment horizontal="center" vertical="center"/>
      <protection hidden="1"/>
    </xf>
    <xf numFmtId="0" fontId="8" fillId="9" borderId="5" xfId="0" applyFont="1" applyFill="1" applyBorder="1" applyAlignment="1" applyProtection="1">
      <alignment horizontal="right"/>
      <protection hidden="1"/>
    </xf>
    <xf numFmtId="0" fontId="8" fillId="9" borderId="4" xfId="0" applyFont="1" applyFill="1" applyBorder="1" applyProtection="1">
      <protection hidden="1"/>
    </xf>
    <xf numFmtId="0" fontId="8" fillId="9" borderId="2" xfId="0" applyFont="1" applyFill="1" applyBorder="1" applyAlignment="1" applyProtection="1">
      <alignment horizontal="center"/>
      <protection locked="0"/>
    </xf>
    <xf numFmtId="14" fontId="12" fillId="12" borderId="0" xfId="0" applyNumberFormat="1" applyFont="1" applyFill="1" applyAlignment="1" applyProtection="1">
      <alignment horizontal="center" vertical="center"/>
      <protection hidden="1"/>
    </xf>
    <xf numFmtId="165" fontId="12" fillId="12" borderId="0" xfId="0" applyNumberFormat="1" applyFont="1" applyFill="1" applyAlignment="1" applyProtection="1">
      <alignment horizontal="center" vertical="center"/>
      <protection hidden="1"/>
    </xf>
    <xf numFmtId="0" fontId="8" fillId="12" borderId="5" xfId="0" applyFont="1" applyFill="1" applyBorder="1" applyAlignment="1" applyProtection="1">
      <alignment horizontal="right"/>
      <protection hidden="1"/>
    </xf>
    <xf numFmtId="0" fontId="8" fillId="12" borderId="4" xfId="0" applyFont="1" applyFill="1" applyBorder="1" applyProtection="1">
      <protection hidden="1"/>
    </xf>
    <xf numFmtId="0" fontId="8" fillId="12" borderId="2" xfId="0" applyFont="1" applyFill="1" applyBorder="1" applyAlignment="1" applyProtection="1">
      <alignment horizontal="center"/>
      <protection locked="0"/>
    </xf>
    <xf numFmtId="0" fontId="8" fillId="9" borderId="5" xfId="0" applyFont="1" applyFill="1" applyBorder="1" applyProtection="1">
      <protection hidden="1"/>
    </xf>
    <xf numFmtId="14" fontId="12" fillId="7" borderId="16" xfId="0" applyNumberFormat="1" applyFont="1" applyFill="1" applyBorder="1" applyAlignment="1" applyProtection="1">
      <alignment horizontal="center" vertical="center"/>
      <protection hidden="1"/>
    </xf>
    <xf numFmtId="165" fontId="12" fillId="7" borderId="16" xfId="0" applyNumberFormat="1" applyFont="1" applyFill="1" applyBorder="1" applyAlignment="1" applyProtection="1">
      <alignment horizontal="center" vertical="center"/>
      <protection hidden="1"/>
    </xf>
    <xf numFmtId="0" fontId="8" fillId="7" borderId="17" xfId="0" applyFont="1" applyFill="1" applyBorder="1" applyAlignment="1" applyProtection="1">
      <alignment horizontal="right"/>
      <protection hidden="1"/>
    </xf>
    <xf numFmtId="0" fontId="8" fillId="7" borderId="19" xfId="0" applyFont="1" applyFill="1" applyBorder="1" applyAlignment="1" applyProtection="1">
      <alignment horizontal="center"/>
      <protection locked="0"/>
    </xf>
    <xf numFmtId="0" fontId="8" fillId="7" borderId="20" xfId="0" applyFont="1" applyFill="1" applyBorder="1" applyAlignment="1" applyProtection="1">
      <alignment horizontal="left"/>
      <protection hidden="1"/>
    </xf>
    <xf numFmtId="0" fontId="8" fillId="7" borderId="22" xfId="0" applyFont="1" applyFill="1" applyBorder="1" applyAlignment="1" applyProtection="1">
      <alignment horizontal="left"/>
      <protection hidden="1"/>
    </xf>
    <xf numFmtId="14" fontId="12" fillId="7" borderId="24" xfId="0" applyNumberFormat="1" applyFont="1" applyFill="1" applyBorder="1" applyAlignment="1" applyProtection="1">
      <alignment horizontal="center" vertical="center"/>
      <protection hidden="1"/>
    </xf>
    <xf numFmtId="165" fontId="12" fillId="7" borderId="24" xfId="0" applyNumberFormat="1" applyFont="1" applyFill="1" applyBorder="1" applyAlignment="1" applyProtection="1">
      <alignment horizontal="center" vertical="center"/>
      <protection hidden="1"/>
    </xf>
    <xf numFmtId="0" fontId="8" fillId="7" borderId="25" xfId="0" applyFont="1" applyFill="1" applyBorder="1" applyAlignment="1" applyProtection="1">
      <alignment horizontal="right"/>
      <protection hidden="1"/>
    </xf>
    <xf numFmtId="0" fontId="8" fillId="7" borderId="27" xfId="0" applyFont="1" applyFill="1" applyBorder="1" applyAlignment="1" applyProtection="1">
      <alignment horizontal="center"/>
      <protection locked="0"/>
    </xf>
    <xf numFmtId="0" fontId="8" fillId="7" borderId="28" xfId="0" applyFont="1" applyFill="1" applyBorder="1" applyAlignment="1" applyProtection="1">
      <alignment horizontal="left"/>
      <protection hidden="1"/>
    </xf>
    <xf numFmtId="14" fontId="12" fillId="9" borderId="30" xfId="0" applyNumberFormat="1" applyFont="1" applyFill="1" applyBorder="1" applyAlignment="1" applyProtection="1">
      <alignment horizontal="center" vertical="center"/>
      <protection hidden="1"/>
    </xf>
    <xf numFmtId="165" fontId="12" fillId="9" borderId="30" xfId="0" applyNumberFormat="1" applyFont="1" applyFill="1" applyBorder="1" applyAlignment="1" applyProtection="1">
      <alignment horizontal="center" vertical="center"/>
      <protection hidden="1"/>
    </xf>
    <xf numFmtId="0" fontId="8" fillId="9" borderId="31" xfId="0" applyFont="1" applyFill="1" applyBorder="1" applyAlignment="1" applyProtection="1">
      <alignment horizontal="right"/>
      <protection hidden="1"/>
    </xf>
    <xf numFmtId="0" fontId="8" fillId="9" borderId="32" xfId="0" applyFont="1" applyFill="1" applyBorder="1" applyProtection="1">
      <protection hidden="1"/>
    </xf>
    <xf numFmtId="0" fontId="8" fillId="9" borderId="33" xfId="0" applyFont="1" applyFill="1" applyBorder="1" applyAlignment="1" applyProtection="1">
      <alignment horizontal="center"/>
      <protection locked="0"/>
    </xf>
    <xf numFmtId="0" fontId="8" fillId="9" borderId="31" xfId="0" applyFont="1" applyFill="1" applyBorder="1" applyProtection="1">
      <protection hidden="1"/>
    </xf>
    <xf numFmtId="0" fontId="8" fillId="9" borderId="34" xfId="0" applyFont="1" applyFill="1" applyBorder="1" applyAlignment="1" applyProtection="1">
      <alignment horizontal="left"/>
      <protection hidden="1"/>
    </xf>
    <xf numFmtId="0" fontId="8" fillId="9" borderId="36" xfId="0" applyFont="1" applyFill="1" applyBorder="1" applyAlignment="1" applyProtection="1">
      <alignment horizontal="left"/>
      <protection hidden="1"/>
    </xf>
    <xf numFmtId="14" fontId="12" fillId="9" borderId="38" xfId="0" applyNumberFormat="1" applyFont="1" applyFill="1" applyBorder="1" applyAlignment="1" applyProtection="1">
      <alignment horizontal="center" vertical="center"/>
      <protection hidden="1"/>
    </xf>
    <xf numFmtId="165" fontId="12" fillId="9" borderId="38" xfId="0" applyNumberFormat="1" applyFont="1" applyFill="1" applyBorder="1" applyAlignment="1" applyProtection="1">
      <alignment horizontal="center" vertical="center"/>
      <protection hidden="1"/>
    </xf>
    <xf numFmtId="0" fontId="8" fillId="9" borderId="39" xfId="0" applyFont="1" applyFill="1" applyBorder="1" applyAlignment="1" applyProtection="1">
      <alignment horizontal="right"/>
      <protection hidden="1"/>
    </xf>
    <xf numFmtId="0" fontId="8" fillId="9" borderId="40" xfId="0" applyFont="1" applyFill="1" applyBorder="1" applyProtection="1">
      <protection hidden="1"/>
    </xf>
    <xf numFmtId="0" fontId="8" fillId="9" borderId="41" xfId="0" applyFont="1" applyFill="1" applyBorder="1" applyAlignment="1" applyProtection="1">
      <alignment horizontal="center"/>
      <protection locked="0"/>
    </xf>
    <xf numFmtId="0" fontId="8" fillId="9" borderId="39" xfId="0" applyFont="1" applyFill="1" applyBorder="1" applyProtection="1">
      <protection hidden="1"/>
    </xf>
    <xf numFmtId="0" fontId="8" fillId="9" borderId="42" xfId="0" applyFont="1" applyFill="1" applyBorder="1" applyAlignment="1" applyProtection="1">
      <alignment horizontal="left"/>
      <protection hidden="1"/>
    </xf>
    <xf numFmtId="14" fontId="12" fillId="12" borderId="44" xfId="0" applyNumberFormat="1" applyFont="1" applyFill="1" applyBorder="1" applyAlignment="1" applyProtection="1">
      <alignment horizontal="center" vertical="center"/>
      <protection hidden="1"/>
    </xf>
    <xf numFmtId="165" fontId="12" fillId="12" borderId="44" xfId="0" applyNumberFormat="1" applyFont="1" applyFill="1" applyBorder="1" applyAlignment="1" applyProtection="1">
      <alignment horizontal="center" vertical="center"/>
      <protection hidden="1"/>
    </xf>
    <xf numFmtId="0" fontId="8" fillId="12" borderId="45" xfId="0" applyFont="1" applyFill="1" applyBorder="1" applyAlignment="1" applyProtection="1">
      <alignment horizontal="right"/>
      <protection hidden="1"/>
    </xf>
    <xf numFmtId="0" fontId="8" fillId="12" borderId="46" xfId="0" applyFont="1" applyFill="1" applyBorder="1" applyProtection="1">
      <protection hidden="1"/>
    </xf>
    <xf numFmtId="0" fontId="8" fillId="12" borderId="47" xfId="0" applyFont="1" applyFill="1" applyBorder="1" applyAlignment="1" applyProtection="1">
      <alignment horizontal="center"/>
      <protection locked="0"/>
    </xf>
    <xf numFmtId="0" fontId="8" fillId="12" borderId="48" xfId="0" applyFont="1" applyFill="1" applyBorder="1" applyAlignment="1" applyProtection="1">
      <alignment horizontal="left"/>
      <protection hidden="1"/>
    </xf>
    <xf numFmtId="0" fontId="8" fillId="12" borderId="50" xfId="0" applyFont="1" applyFill="1" applyBorder="1" applyAlignment="1" applyProtection="1">
      <alignment horizontal="left"/>
      <protection hidden="1"/>
    </xf>
    <xf numFmtId="14" fontId="12" fillId="12" borderId="52" xfId="0" applyNumberFormat="1" applyFont="1" applyFill="1" applyBorder="1" applyAlignment="1" applyProtection="1">
      <alignment horizontal="center" vertical="center"/>
      <protection hidden="1"/>
    </xf>
    <xf numFmtId="165" fontId="12" fillId="12" borderId="52" xfId="0" applyNumberFormat="1" applyFont="1" applyFill="1" applyBorder="1" applyAlignment="1" applyProtection="1">
      <alignment horizontal="center" vertical="center"/>
      <protection hidden="1"/>
    </xf>
    <xf numFmtId="0" fontId="8" fillId="12" borderId="53" xfId="0" applyFont="1" applyFill="1" applyBorder="1" applyAlignment="1" applyProtection="1">
      <alignment horizontal="right"/>
      <protection hidden="1"/>
    </xf>
    <xf numFmtId="0" fontId="8" fillId="12" borderId="54" xfId="0" applyFont="1" applyFill="1" applyBorder="1" applyProtection="1">
      <protection hidden="1"/>
    </xf>
    <xf numFmtId="0" fontId="8" fillId="12" borderId="55" xfId="0" applyFont="1" applyFill="1" applyBorder="1" applyAlignment="1" applyProtection="1">
      <alignment horizontal="center"/>
      <protection locked="0"/>
    </xf>
    <xf numFmtId="0" fontId="8" fillId="12" borderId="56" xfId="0" applyFont="1" applyFill="1" applyBorder="1" applyAlignment="1" applyProtection="1">
      <alignment horizontal="left"/>
      <protection hidden="1"/>
    </xf>
    <xf numFmtId="0" fontId="3" fillId="13" borderId="0" xfId="0" applyFont="1" applyFill="1" applyAlignment="1" applyProtection="1">
      <alignment vertical="center"/>
      <protection hidden="1"/>
    </xf>
    <xf numFmtId="0" fontId="3" fillId="13" borderId="0" xfId="0" applyFont="1" applyFill="1" applyAlignment="1">
      <alignment horizontal="centerContinuous" vertical="center"/>
    </xf>
    <xf numFmtId="0" fontId="3" fillId="13" borderId="0" xfId="0" applyFont="1" applyFill="1" applyAlignment="1" applyProtection="1">
      <alignment horizontal="centerContinuous" vertical="center"/>
      <protection hidden="1"/>
    </xf>
    <xf numFmtId="0" fontId="4" fillId="13" borderId="0" xfId="0" applyFont="1" applyFill="1" applyProtection="1">
      <protection hidden="1"/>
    </xf>
    <xf numFmtId="0" fontId="4" fillId="13" borderId="0" xfId="0" applyFont="1" applyFill="1" applyAlignment="1" applyProtection="1">
      <alignment horizontal="center"/>
      <protection hidden="1"/>
    </xf>
    <xf numFmtId="0" fontId="10" fillId="13" borderId="0" xfId="0" applyFont="1" applyFill="1" applyAlignment="1" applyProtection="1">
      <alignment horizontal="center"/>
      <protection hidden="1"/>
    </xf>
    <xf numFmtId="0" fontId="13" fillId="13" borderId="0" xfId="0" applyFont="1" applyFill="1" applyAlignment="1" applyProtection="1">
      <alignment horizontal="left" vertical="center"/>
      <protection hidden="1"/>
    </xf>
    <xf numFmtId="0" fontId="22" fillId="13" borderId="0" xfId="0" applyFont="1" applyFill="1" applyAlignment="1" applyProtection="1">
      <alignment horizontal="center" vertical="center"/>
      <protection locked="0" hidden="1"/>
    </xf>
    <xf numFmtId="0" fontId="13" fillId="13" borderId="0" xfId="0" applyFont="1" applyFill="1" applyAlignment="1" applyProtection="1">
      <alignment horizontal="center" vertical="center"/>
      <protection hidden="1"/>
    </xf>
    <xf numFmtId="0" fontId="22" fillId="13" borderId="0" xfId="0" applyFont="1" applyFill="1" applyAlignment="1" applyProtection="1">
      <alignment horizontal="center" vertical="center"/>
      <protection hidden="1"/>
    </xf>
    <xf numFmtId="0" fontId="7" fillId="13" borderId="0" xfId="0" applyFont="1" applyFill="1" applyProtection="1">
      <protection hidden="1"/>
    </xf>
    <xf numFmtId="0" fontId="25" fillId="13" borderId="0" xfId="0" applyFont="1" applyFill="1" applyAlignment="1" applyProtection="1">
      <alignment vertical="center"/>
      <protection hidden="1"/>
    </xf>
    <xf numFmtId="14" fontId="8" fillId="13" borderId="0" xfId="0" applyNumberFormat="1" applyFont="1" applyFill="1" applyProtection="1">
      <protection hidden="1"/>
    </xf>
    <xf numFmtId="0" fontId="28" fillId="13" borderId="0" xfId="0" applyFont="1" applyFill="1" applyAlignment="1" applyProtection="1">
      <alignment vertical="center"/>
      <protection hidden="1"/>
    </xf>
    <xf numFmtId="14" fontId="24" fillId="13" borderId="0" xfId="0" applyNumberFormat="1" applyFont="1" applyFill="1" applyProtection="1">
      <protection hidden="1"/>
    </xf>
    <xf numFmtId="14" fontId="8" fillId="13" borderId="0" xfId="0" applyNumberFormat="1" applyFont="1" applyFill="1" applyAlignment="1" applyProtection="1">
      <alignment horizontal="center" vertical="center"/>
      <protection hidden="1"/>
    </xf>
    <xf numFmtId="0" fontId="8" fillId="13" borderId="0" xfId="0" applyFont="1" applyFill="1" applyProtection="1">
      <protection hidden="1"/>
    </xf>
    <xf numFmtId="0" fontId="9" fillId="13" borderId="0" xfId="0" applyFont="1" applyFill="1" applyAlignment="1" applyProtection="1">
      <alignment horizontal="center"/>
      <protection hidden="1"/>
    </xf>
    <xf numFmtId="0" fontId="9" fillId="13" borderId="0" xfId="0" applyFont="1" applyFill="1" applyProtection="1">
      <protection hidden="1"/>
    </xf>
    <xf numFmtId="0" fontId="9" fillId="13" borderId="0" xfId="0" applyFont="1" applyFill="1" applyAlignment="1" applyProtection="1">
      <alignment horizontal="center" vertical="top"/>
      <protection hidden="1"/>
    </xf>
    <xf numFmtId="0" fontId="9" fillId="13" borderId="0" xfId="0" applyFont="1" applyFill="1" applyAlignment="1">
      <alignment horizontal="right"/>
    </xf>
    <xf numFmtId="0" fontId="9" fillId="13" borderId="0" xfId="0" applyFont="1" applyFill="1" applyAlignment="1">
      <alignment horizontal="center"/>
    </xf>
    <xf numFmtId="0" fontId="9" fillId="13" borderId="0" xfId="0" applyFont="1" applyFill="1"/>
    <xf numFmtId="0" fontId="9" fillId="13" borderId="0" xfId="0" applyFont="1" applyFill="1" applyAlignment="1" applyProtection="1">
      <alignment vertical="center"/>
      <protection hidden="1"/>
    </xf>
    <xf numFmtId="0" fontId="9" fillId="13" borderId="0" xfId="0" applyFont="1" applyFill="1" applyAlignment="1" applyProtection="1">
      <alignment horizontal="centerContinuous" vertical="center"/>
      <protection hidden="1"/>
    </xf>
    <xf numFmtId="0" fontId="9" fillId="13" borderId="0" xfId="0" applyFont="1" applyFill="1" applyAlignment="1">
      <alignment horizontal="centerContinuous" vertical="center"/>
    </xf>
    <xf numFmtId="0" fontId="30" fillId="13" borderId="0" xfId="0" applyFont="1" applyFill="1" applyAlignment="1" applyProtection="1">
      <alignment vertical="center"/>
      <protection hidden="1"/>
    </xf>
    <xf numFmtId="0" fontId="31" fillId="13" borderId="0" xfId="0" applyFont="1" applyFill="1" applyAlignment="1" applyProtection="1">
      <alignment horizontal="center"/>
      <protection hidden="1"/>
    </xf>
    <xf numFmtId="0" fontId="26" fillId="13" borderId="0" xfId="0" applyFont="1" applyFill="1" applyAlignment="1" applyProtection="1">
      <alignment horizontal="left" vertical="center"/>
      <protection hidden="1"/>
    </xf>
    <xf numFmtId="0" fontId="8" fillId="13" borderId="0" xfId="0" applyFont="1" applyFill="1" applyAlignment="1" applyProtection="1">
      <alignment horizontal="center" vertical="center"/>
      <protection hidden="1"/>
    </xf>
    <xf numFmtId="0" fontId="8" fillId="13" borderId="0" xfId="0" applyFont="1" applyFill="1" applyAlignment="1" applyProtection="1">
      <alignment horizontal="left" vertical="center"/>
      <protection hidden="1"/>
    </xf>
    <xf numFmtId="0" fontId="9" fillId="13" borderId="0" xfId="0" applyFont="1" applyFill="1" applyAlignment="1" applyProtection="1">
      <alignment horizontal="center" vertical="center"/>
      <protection hidden="1"/>
    </xf>
    <xf numFmtId="0" fontId="10" fillId="4" borderId="15" xfId="0" applyFont="1" applyFill="1" applyBorder="1" applyAlignment="1" applyProtection="1">
      <alignment horizontal="center" vertical="center"/>
      <protection hidden="1"/>
    </xf>
    <xf numFmtId="0" fontId="10" fillId="4" borderId="16" xfId="0" applyFont="1" applyFill="1" applyBorder="1" applyAlignment="1" applyProtection="1">
      <alignment horizontal="left" vertical="center"/>
      <protection hidden="1"/>
    </xf>
    <xf numFmtId="0" fontId="10" fillId="4" borderId="16" xfId="0" applyFont="1" applyFill="1" applyBorder="1" applyAlignment="1" applyProtection="1">
      <alignment horizontal="center" vertical="center"/>
      <protection hidden="1"/>
    </xf>
    <xf numFmtId="0" fontId="10" fillId="4" borderId="20" xfId="0" applyFont="1" applyFill="1" applyBorder="1" applyAlignment="1" applyProtection="1">
      <alignment horizontal="center" vertical="center"/>
      <protection hidden="1"/>
    </xf>
    <xf numFmtId="0" fontId="10" fillId="4" borderId="21" xfId="0" applyFont="1" applyFill="1" applyBorder="1" applyAlignment="1" applyProtection="1">
      <alignment horizontal="center" vertical="center"/>
      <protection hidden="1"/>
    </xf>
    <xf numFmtId="0" fontId="10" fillId="4" borderId="22" xfId="0" applyFont="1" applyFill="1" applyBorder="1" applyAlignment="1" applyProtection="1">
      <alignment horizontal="center" vertical="center"/>
      <protection hidden="1"/>
    </xf>
    <xf numFmtId="0" fontId="10" fillId="4" borderId="23" xfId="0" applyFont="1" applyFill="1" applyBorder="1" applyAlignment="1" applyProtection="1">
      <alignment horizontal="center" vertical="center"/>
      <protection hidden="1"/>
    </xf>
    <xf numFmtId="0" fontId="10" fillId="4" borderId="24" xfId="0" applyFont="1" applyFill="1" applyBorder="1" applyAlignment="1" applyProtection="1">
      <alignment horizontal="left" vertical="center"/>
      <protection hidden="1"/>
    </xf>
    <xf numFmtId="0" fontId="10" fillId="4" borderId="24" xfId="0" applyFont="1" applyFill="1" applyBorder="1" applyAlignment="1" applyProtection="1">
      <alignment horizontal="center" vertical="center"/>
      <protection hidden="1"/>
    </xf>
    <xf numFmtId="0" fontId="10" fillId="4" borderId="28" xfId="0" applyFont="1" applyFill="1" applyBorder="1" applyAlignment="1" applyProtection="1">
      <alignment horizontal="center" vertical="center"/>
      <protection hidden="1"/>
    </xf>
    <xf numFmtId="0" fontId="9" fillId="8" borderId="15" xfId="0" applyFont="1" applyFill="1" applyBorder="1" applyAlignment="1" applyProtection="1">
      <alignment horizontal="centerContinuous"/>
      <protection hidden="1"/>
    </xf>
    <xf numFmtId="0" fontId="9" fillId="8" borderId="16" xfId="0" applyFont="1" applyFill="1" applyBorder="1" applyAlignment="1" applyProtection="1">
      <alignment horizontal="centerContinuous"/>
      <protection hidden="1"/>
    </xf>
    <xf numFmtId="0" fontId="9" fillId="8" borderId="20" xfId="0" applyFont="1" applyFill="1" applyBorder="1" applyAlignment="1" applyProtection="1">
      <alignment horizontal="centerContinuous"/>
      <protection hidden="1"/>
    </xf>
    <xf numFmtId="0" fontId="9" fillId="8" borderId="23" xfId="0" applyFont="1" applyFill="1" applyBorder="1" applyAlignment="1" applyProtection="1">
      <alignment horizontal="center" vertical="center"/>
      <protection hidden="1"/>
    </xf>
    <xf numFmtId="0" fontId="9" fillId="8" borderId="24" xfId="0" applyFont="1" applyFill="1" applyBorder="1" applyAlignment="1" applyProtection="1">
      <alignment horizontal="left" vertical="center"/>
      <protection hidden="1"/>
    </xf>
    <xf numFmtId="0" fontId="9" fillId="8" borderId="24" xfId="0" applyFont="1" applyFill="1" applyBorder="1" applyAlignment="1" applyProtection="1">
      <alignment horizontal="center" vertical="center"/>
      <protection hidden="1"/>
    </xf>
    <xf numFmtId="0" fontId="9" fillId="8" borderId="28" xfId="0" applyFont="1" applyFill="1" applyBorder="1" applyAlignment="1" applyProtection="1">
      <alignment horizontal="center" vertical="center"/>
      <protection hidden="1"/>
    </xf>
    <xf numFmtId="0" fontId="9" fillId="10" borderId="29" xfId="0" applyFont="1" applyFill="1" applyBorder="1" applyAlignment="1" applyProtection="1">
      <alignment horizontal="centerContinuous"/>
      <protection hidden="1"/>
    </xf>
    <xf numFmtId="0" fontId="9" fillId="10" borderId="30" xfId="0" applyFont="1" applyFill="1" applyBorder="1" applyAlignment="1" applyProtection="1">
      <alignment horizontal="centerContinuous"/>
      <protection hidden="1"/>
    </xf>
    <xf numFmtId="0" fontId="9" fillId="10" borderId="34" xfId="0" applyFont="1" applyFill="1" applyBorder="1" applyAlignment="1" applyProtection="1">
      <alignment horizontal="centerContinuous"/>
      <protection hidden="1"/>
    </xf>
    <xf numFmtId="0" fontId="9" fillId="10" borderId="37" xfId="0" applyFont="1" applyFill="1" applyBorder="1" applyAlignment="1" applyProtection="1">
      <alignment horizontal="center" vertical="center"/>
      <protection hidden="1"/>
    </xf>
    <xf numFmtId="0" fontId="9" fillId="10" borderId="38" xfId="0" applyFont="1" applyFill="1" applyBorder="1" applyAlignment="1" applyProtection="1">
      <alignment horizontal="left" vertical="center"/>
      <protection hidden="1"/>
    </xf>
    <xf numFmtId="0" fontId="9" fillId="10" borderId="38" xfId="0" applyFont="1" applyFill="1" applyBorder="1" applyAlignment="1" applyProtection="1">
      <alignment horizontal="center" vertical="center"/>
      <protection hidden="1"/>
    </xf>
    <xf numFmtId="0" fontId="9" fillId="10" borderId="42" xfId="0" applyFont="1" applyFill="1" applyBorder="1" applyAlignment="1" applyProtection="1">
      <alignment horizontal="center" vertical="center"/>
      <protection hidden="1"/>
    </xf>
    <xf numFmtId="0" fontId="10" fillId="4" borderId="29" xfId="0" applyFont="1" applyFill="1" applyBorder="1" applyAlignment="1" applyProtection="1">
      <alignment horizontal="center" vertical="center"/>
      <protection hidden="1"/>
    </xf>
    <xf numFmtId="0" fontId="10" fillId="4" borderId="30" xfId="0" applyFont="1" applyFill="1" applyBorder="1" applyAlignment="1" applyProtection="1">
      <alignment horizontal="left" vertical="center"/>
      <protection hidden="1"/>
    </xf>
    <xf numFmtId="0" fontId="10" fillId="4" borderId="30" xfId="0" applyFont="1" applyFill="1" applyBorder="1" applyAlignment="1" applyProtection="1">
      <alignment horizontal="center" vertical="center"/>
      <protection hidden="1"/>
    </xf>
    <xf numFmtId="0" fontId="10" fillId="4" borderId="34" xfId="0" applyFont="1" applyFill="1" applyBorder="1" applyAlignment="1" applyProtection="1">
      <alignment horizontal="center" vertical="center"/>
      <protection hidden="1"/>
    </xf>
    <xf numFmtId="0" fontId="10" fillId="4" borderId="35" xfId="0" applyFont="1" applyFill="1" applyBorder="1" applyAlignment="1" applyProtection="1">
      <alignment horizontal="center" vertical="center"/>
      <protection hidden="1"/>
    </xf>
    <xf numFmtId="0" fontId="10" fillId="4" borderId="36" xfId="0" applyFont="1" applyFill="1" applyBorder="1" applyAlignment="1" applyProtection="1">
      <alignment horizontal="center" vertical="center"/>
      <protection hidden="1"/>
    </xf>
    <xf numFmtId="0" fontId="10" fillId="4" borderId="37" xfId="0" applyFont="1" applyFill="1" applyBorder="1" applyAlignment="1" applyProtection="1">
      <alignment horizontal="center" vertical="center"/>
      <protection hidden="1"/>
    </xf>
    <xf numFmtId="0" fontId="10" fillId="4" borderId="38" xfId="0" applyFont="1" applyFill="1" applyBorder="1" applyAlignment="1" applyProtection="1">
      <alignment horizontal="left" vertical="center"/>
      <protection hidden="1"/>
    </xf>
    <xf numFmtId="0" fontId="10" fillId="4" borderId="38" xfId="0" applyFont="1" applyFill="1" applyBorder="1" applyAlignment="1" applyProtection="1">
      <alignment horizontal="center" vertical="center"/>
      <protection hidden="1"/>
    </xf>
    <xf numFmtId="0" fontId="10" fillId="4" borderId="42" xfId="0" applyFont="1" applyFill="1" applyBorder="1" applyAlignment="1" applyProtection="1">
      <alignment horizontal="center" vertical="center"/>
      <protection hidden="1"/>
    </xf>
    <xf numFmtId="0" fontId="9" fillId="11" borderId="43" xfId="0" applyFont="1" applyFill="1" applyBorder="1" applyAlignment="1" applyProtection="1">
      <alignment horizontal="centerContinuous"/>
      <protection hidden="1"/>
    </xf>
    <xf numFmtId="0" fontId="9" fillId="11" borderId="44" xfId="0" applyFont="1" applyFill="1" applyBorder="1" applyAlignment="1" applyProtection="1">
      <alignment horizontal="centerContinuous"/>
      <protection hidden="1"/>
    </xf>
    <xf numFmtId="0" fontId="9" fillId="11" borderId="48" xfId="0" applyFont="1" applyFill="1" applyBorder="1" applyAlignment="1" applyProtection="1">
      <alignment horizontal="centerContinuous"/>
      <protection hidden="1"/>
    </xf>
    <xf numFmtId="0" fontId="9" fillId="11" borderId="51" xfId="0" applyFont="1" applyFill="1" applyBorder="1" applyAlignment="1" applyProtection="1">
      <alignment horizontal="center" vertical="center"/>
      <protection hidden="1"/>
    </xf>
    <xf numFmtId="0" fontId="9" fillId="11" borderId="52" xfId="0" applyFont="1" applyFill="1" applyBorder="1" applyAlignment="1" applyProtection="1">
      <alignment horizontal="left" vertical="center"/>
      <protection hidden="1"/>
    </xf>
    <xf numFmtId="0" fontId="9" fillId="11" borderId="52" xfId="0" applyFont="1" applyFill="1" applyBorder="1" applyAlignment="1" applyProtection="1">
      <alignment horizontal="center" vertical="center"/>
      <protection hidden="1"/>
    </xf>
    <xf numFmtId="0" fontId="9" fillId="11" borderId="56" xfId="0" applyFont="1" applyFill="1" applyBorder="1" applyAlignment="1" applyProtection="1">
      <alignment horizontal="center" vertical="center"/>
      <protection hidden="1"/>
    </xf>
    <xf numFmtId="0" fontId="10" fillId="4" borderId="43" xfId="0" applyFont="1" applyFill="1" applyBorder="1" applyAlignment="1" applyProtection="1">
      <alignment horizontal="center" vertical="center"/>
      <protection hidden="1"/>
    </xf>
    <xf numFmtId="0" fontId="10" fillId="4" borderId="44" xfId="0" applyFont="1" applyFill="1" applyBorder="1" applyAlignment="1" applyProtection="1">
      <alignment horizontal="left" vertical="center"/>
      <protection hidden="1"/>
    </xf>
    <xf numFmtId="0" fontId="10" fillId="4" borderId="44" xfId="0" applyFont="1" applyFill="1" applyBorder="1" applyAlignment="1" applyProtection="1">
      <alignment horizontal="center" vertical="center"/>
      <protection hidden="1"/>
    </xf>
    <xf numFmtId="0" fontId="10" fillId="4" borderId="48" xfId="0" applyFont="1" applyFill="1" applyBorder="1" applyAlignment="1" applyProtection="1">
      <alignment horizontal="center" vertical="center"/>
      <protection hidden="1"/>
    </xf>
    <xf numFmtId="0" fontId="10" fillId="4" borderId="49" xfId="0" applyFont="1" applyFill="1" applyBorder="1" applyAlignment="1" applyProtection="1">
      <alignment horizontal="center" vertical="center"/>
      <protection hidden="1"/>
    </xf>
    <xf numFmtId="0" fontId="10" fillId="4" borderId="50" xfId="0" applyFont="1" applyFill="1" applyBorder="1" applyAlignment="1" applyProtection="1">
      <alignment horizontal="center" vertical="center"/>
      <protection hidden="1"/>
    </xf>
    <xf numFmtId="0" fontId="10" fillId="4" borderId="51" xfId="0" applyFont="1" applyFill="1" applyBorder="1" applyAlignment="1" applyProtection="1">
      <alignment horizontal="center" vertical="center"/>
      <protection hidden="1"/>
    </xf>
    <xf numFmtId="0" fontId="10" fillId="4" borderId="52" xfId="0" applyFont="1" applyFill="1" applyBorder="1" applyAlignment="1" applyProtection="1">
      <alignment horizontal="left" vertical="center"/>
      <protection hidden="1"/>
    </xf>
    <xf numFmtId="0" fontId="10" fillId="4" borderId="52" xfId="0" applyFont="1" applyFill="1" applyBorder="1" applyAlignment="1" applyProtection="1">
      <alignment horizontal="center" vertical="center"/>
      <protection hidden="1"/>
    </xf>
    <xf numFmtId="0" fontId="10" fillId="4" borderId="56" xfId="0" applyFont="1" applyFill="1" applyBorder="1" applyAlignment="1" applyProtection="1">
      <alignment horizontal="center" vertical="center"/>
      <protection hidden="1"/>
    </xf>
    <xf numFmtId="0" fontId="16" fillId="13" borderId="0" xfId="0" applyFont="1" applyFill="1" applyAlignment="1">
      <alignment horizontal="center" vertical="center"/>
    </xf>
    <xf numFmtId="0" fontId="11" fillId="13" borderId="0" xfId="0" applyFont="1" applyFill="1" applyAlignment="1" applyProtection="1">
      <alignment vertical="center" wrapText="1"/>
      <protection hidden="1"/>
    </xf>
    <xf numFmtId="0" fontId="4" fillId="13" borderId="0" xfId="0" applyFont="1" applyFill="1" applyAlignment="1" applyProtection="1">
      <alignment horizontal="center" wrapText="1"/>
      <protection hidden="1"/>
    </xf>
    <xf numFmtId="0" fontId="0" fillId="13" borderId="0" xfId="0" applyFill="1" applyProtection="1">
      <protection hidden="1"/>
    </xf>
    <xf numFmtId="0" fontId="30" fillId="13" borderId="0" xfId="0" applyFont="1" applyFill="1" applyAlignment="1" applyProtection="1">
      <alignment horizontal="centerContinuous" vertical="center"/>
      <protection hidden="1"/>
    </xf>
    <xf numFmtId="0" fontId="26" fillId="13" borderId="0" xfId="0" applyFont="1" applyFill="1" applyAlignment="1" applyProtection="1">
      <alignment horizontal="center"/>
      <protection hidden="1"/>
    </xf>
    <xf numFmtId="0" fontId="26" fillId="13" borderId="0" xfId="0" applyFont="1" applyFill="1" applyAlignment="1">
      <alignment horizontal="center"/>
    </xf>
    <xf numFmtId="0" fontId="26" fillId="13" borderId="0" xfId="0" applyFont="1" applyFill="1" applyAlignment="1">
      <alignment horizontal="center" vertical="center"/>
    </xf>
    <xf numFmtId="0" fontId="9" fillId="13" borderId="0" xfId="0" applyFont="1" applyFill="1" applyAlignment="1">
      <alignment horizontal="center" vertical="center"/>
    </xf>
    <xf numFmtId="0" fontId="9" fillId="13" borderId="0" xfId="0" applyFont="1" applyFill="1" applyAlignment="1" applyProtection="1">
      <alignment horizontal="left" vertical="center"/>
      <protection hidden="1"/>
    </xf>
    <xf numFmtId="0" fontId="0" fillId="13" borderId="0" xfId="0" applyFill="1" applyAlignment="1" applyProtection="1">
      <alignment vertical="center"/>
      <protection hidden="1"/>
    </xf>
    <xf numFmtId="0" fontId="2" fillId="13" borderId="0" xfId="0" applyFont="1" applyFill="1" applyAlignment="1" applyProtection="1">
      <alignment vertical="center"/>
      <protection hidden="1"/>
    </xf>
    <xf numFmtId="14" fontId="12" fillId="6" borderId="66" xfId="0" quotePrefix="1" applyNumberFormat="1" applyFont="1" applyFill="1" applyBorder="1" applyAlignment="1" applyProtection="1">
      <alignment horizontal="center" vertical="center"/>
      <protection hidden="1"/>
    </xf>
    <xf numFmtId="165" fontId="12" fillId="6" borderId="66" xfId="0" quotePrefix="1" applyNumberFormat="1" applyFont="1" applyFill="1" applyBorder="1" applyAlignment="1" applyProtection="1">
      <alignment horizontal="center" vertical="center"/>
      <protection hidden="1"/>
    </xf>
    <xf numFmtId="14" fontId="12" fillId="6" borderId="66" xfId="0" applyNumberFormat="1" applyFont="1" applyFill="1" applyBorder="1" applyAlignment="1" applyProtection="1">
      <alignment horizontal="center" vertical="center"/>
      <protection hidden="1"/>
    </xf>
    <xf numFmtId="0" fontId="8" fillId="6" borderId="67" xfId="0" applyFont="1" applyFill="1" applyBorder="1" applyAlignment="1" applyProtection="1">
      <alignment horizontal="right" vertical="center"/>
      <protection hidden="1"/>
    </xf>
    <xf numFmtId="0" fontId="9" fillId="6" borderId="66" xfId="0" applyFont="1" applyFill="1" applyBorder="1" applyAlignment="1" applyProtection="1">
      <alignment horizontal="center" vertical="center"/>
      <protection locked="0"/>
    </xf>
    <xf numFmtId="0" fontId="9" fillId="6" borderId="68" xfId="0" applyFont="1" applyFill="1" applyBorder="1" applyAlignment="1" applyProtection="1">
      <alignment horizontal="center" vertical="center"/>
      <protection locked="0"/>
    </xf>
    <xf numFmtId="0" fontId="31" fillId="13" borderId="0" xfId="0" applyFont="1" applyFill="1" applyAlignment="1" applyProtection="1">
      <alignment vertical="center"/>
      <protection hidden="1"/>
    </xf>
    <xf numFmtId="14" fontId="34" fillId="15" borderId="65" xfId="0" quotePrefix="1" applyNumberFormat="1" applyFont="1" applyFill="1" applyBorder="1" applyAlignment="1" applyProtection="1">
      <alignment horizontal="center" vertical="center"/>
      <protection hidden="1"/>
    </xf>
    <xf numFmtId="14" fontId="12" fillId="16" borderId="0" xfId="0" applyNumberFormat="1" applyFont="1" applyFill="1" applyAlignment="1" applyProtection="1">
      <alignment horizontal="center" vertical="center"/>
      <protection hidden="1"/>
    </xf>
    <xf numFmtId="165" fontId="12" fillId="16" borderId="0" xfId="0" applyNumberFormat="1" applyFont="1" applyFill="1" applyAlignment="1" applyProtection="1">
      <alignment horizontal="center" vertical="center"/>
      <protection hidden="1"/>
    </xf>
    <xf numFmtId="14" fontId="12" fillId="16" borderId="4" xfId="0" applyNumberFormat="1" applyFont="1" applyFill="1" applyBorder="1" applyAlignment="1" applyProtection="1">
      <alignment horizontal="center" vertical="center"/>
      <protection hidden="1"/>
    </xf>
    <xf numFmtId="0" fontId="8" fillId="16" borderId="5" xfId="0" applyFont="1" applyFill="1" applyBorder="1" applyAlignment="1" applyProtection="1">
      <alignment horizontal="right" vertical="center"/>
      <protection hidden="1"/>
    </xf>
    <xf numFmtId="0" fontId="9" fillId="16" borderId="0" xfId="0" applyFont="1" applyFill="1" applyAlignment="1" applyProtection="1">
      <alignment horizontal="center"/>
      <protection locked="0" hidden="1"/>
    </xf>
    <xf numFmtId="0" fontId="9" fillId="16" borderId="3" xfId="0" applyFont="1" applyFill="1" applyBorder="1" applyAlignment="1" applyProtection="1">
      <alignment horizontal="center"/>
      <protection locked="0"/>
    </xf>
    <xf numFmtId="49" fontId="12" fillId="16" borderId="4" xfId="0" applyNumberFormat="1" applyFont="1" applyFill="1" applyBorder="1" applyAlignment="1" applyProtection="1">
      <alignment horizontal="center" vertical="center"/>
      <protection hidden="1"/>
    </xf>
    <xf numFmtId="0" fontId="19" fillId="6" borderId="0" xfId="0" applyFont="1" applyFill="1" applyAlignment="1" applyProtection="1">
      <alignment horizontal="left" vertical="center"/>
      <protection hidden="1"/>
    </xf>
    <xf numFmtId="0" fontId="19" fillId="6" borderId="4" xfId="0" applyFont="1" applyFill="1" applyBorder="1" applyAlignment="1" applyProtection="1">
      <alignment horizontal="left" vertical="center"/>
      <protection hidden="1"/>
    </xf>
    <xf numFmtId="0" fontId="27" fillId="5" borderId="77" xfId="0" applyFont="1" applyFill="1" applyBorder="1" applyAlignment="1" applyProtection="1">
      <alignment horizontal="left" vertical="center"/>
      <protection hidden="1"/>
    </xf>
    <xf numFmtId="0" fontId="27" fillId="5" borderId="78" xfId="0" applyFont="1" applyFill="1" applyBorder="1" applyAlignment="1" applyProtection="1">
      <alignment horizontal="left" vertical="center"/>
      <protection hidden="1"/>
    </xf>
    <xf numFmtId="0" fontId="19" fillId="6" borderId="84" xfId="0" applyFont="1" applyFill="1" applyBorder="1" applyAlignment="1" applyProtection="1">
      <alignment horizontal="left" vertical="center"/>
      <protection hidden="1"/>
    </xf>
    <xf numFmtId="0" fontId="19" fillId="6" borderId="85" xfId="0" applyFont="1" applyFill="1" applyBorder="1" applyAlignment="1" applyProtection="1">
      <alignment horizontal="left" vertical="center"/>
      <protection hidden="1"/>
    </xf>
    <xf numFmtId="14" fontId="12" fillId="16" borderId="58" xfId="0" quotePrefix="1" applyNumberFormat="1" applyFont="1" applyFill="1" applyBorder="1" applyAlignment="1" applyProtection="1">
      <alignment horizontal="center" vertical="center"/>
      <protection hidden="1"/>
    </xf>
    <xf numFmtId="165" fontId="12" fillId="16" borderId="58" xfId="0" quotePrefix="1" applyNumberFormat="1" applyFont="1" applyFill="1" applyBorder="1" applyAlignment="1" applyProtection="1">
      <alignment horizontal="center" vertical="center"/>
      <protection hidden="1"/>
    </xf>
    <xf numFmtId="14" fontId="12" fillId="16" borderId="70" xfId="0" applyNumberFormat="1" applyFont="1" applyFill="1" applyBorder="1" applyAlignment="1" applyProtection="1">
      <alignment horizontal="center" vertical="center"/>
      <protection hidden="1"/>
    </xf>
    <xf numFmtId="0" fontId="8" fillId="16" borderId="71" xfId="0" applyFont="1" applyFill="1" applyBorder="1" applyAlignment="1" applyProtection="1">
      <alignment horizontal="right" vertical="center"/>
      <protection hidden="1"/>
    </xf>
    <xf numFmtId="0" fontId="9" fillId="16" borderId="70" xfId="0" applyFont="1" applyFill="1" applyBorder="1" applyAlignment="1" applyProtection="1">
      <alignment horizontal="center"/>
      <protection locked="0" hidden="1"/>
    </xf>
    <xf numFmtId="0" fontId="9" fillId="16" borderId="72" xfId="0" applyFont="1" applyFill="1" applyBorder="1" applyAlignment="1" applyProtection="1">
      <alignment horizontal="center"/>
      <protection locked="0"/>
    </xf>
    <xf numFmtId="0" fontId="9" fillId="16" borderId="71" xfId="0" applyFont="1" applyFill="1" applyBorder="1" applyAlignment="1" applyProtection="1">
      <alignment horizontal="center"/>
      <protection locked="0" hidden="1"/>
    </xf>
    <xf numFmtId="0" fontId="8" fillId="16" borderId="59" xfId="0" applyFont="1" applyFill="1" applyBorder="1" applyAlignment="1">
      <alignment horizontal="left" vertical="center"/>
    </xf>
    <xf numFmtId="0" fontId="8" fillId="16" borderId="64" xfId="0" applyFont="1" applyFill="1" applyBorder="1" applyAlignment="1">
      <alignment horizontal="left" vertical="center"/>
    </xf>
    <xf numFmtId="14" fontId="12" fillId="16" borderId="61" xfId="0" applyNumberFormat="1" applyFont="1" applyFill="1" applyBorder="1" applyAlignment="1" applyProtection="1">
      <alignment horizontal="center" vertical="center"/>
      <protection hidden="1"/>
    </xf>
    <xf numFmtId="165" fontId="12" fillId="16" borderId="61" xfId="0" applyNumberFormat="1" applyFont="1" applyFill="1" applyBorder="1" applyAlignment="1" applyProtection="1">
      <alignment horizontal="center" vertical="center"/>
      <protection hidden="1"/>
    </xf>
    <xf numFmtId="49" fontId="12" fillId="16" borderId="73" xfId="0" applyNumberFormat="1" applyFont="1" applyFill="1" applyBorder="1" applyAlignment="1" applyProtection="1">
      <alignment horizontal="center" vertical="center"/>
      <protection hidden="1"/>
    </xf>
    <xf numFmtId="0" fontId="8" fillId="16" borderId="74" xfId="0" applyFont="1" applyFill="1" applyBorder="1" applyAlignment="1" applyProtection="1">
      <alignment horizontal="right" vertical="center"/>
      <protection hidden="1"/>
    </xf>
    <xf numFmtId="0" fontId="9" fillId="16" borderId="61" xfId="0" applyFont="1" applyFill="1" applyBorder="1" applyAlignment="1" applyProtection="1">
      <alignment horizontal="center"/>
      <protection locked="0" hidden="1"/>
    </xf>
    <xf numFmtId="0" fontId="9" fillId="16" borderId="75" xfId="0" applyFont="1" applyFill="1" applyBorder="1" applyAlignment="1" applyProtection="1">
      <alignment horizontal="center"/>
      <protection locked="0"/>
    </xf>
    <xf numFmtId="0" fontId="8" fillId="16" borderId="62" xfId="0" applyFont="1" applyFill="1" applyBorder="1" applyAlignment="1">
      <alignment horizontal="left" vertical="center"/>
    </xf>
    <xf numFmtId="14" fontId="12" fillId="16" borderId="58" xfId="0" applyNumberFormat="1" applyFont="1" applyFill="1" applyBorder="1" applyAlignment="1" applyProtection="1">
      <alignment horizontal="center" vertical="center"/>
      <protection hidden="1"/>
    </xf>
    <xf numFmtId="0" fontId="9" fillId="16" borderId="58" xfId="0" applyFont="1" applyFill="1" applyBorder="1" applyAlignment="1" applyProtection="1">
      <alignment horizontal="center" vertical="center"/>
      <protection locked="0"/>
    </xf>
    <xf numFmtId="0" fontId="9" fillId="16" borderId="72" xfId="0" applyFont="1" applyFill="1" applyBorder="1" applyAlignment="1" applyProtection="1">
      <alignment horizontal="center" vertical="center"/>
      <protection locked="0"/>
    </xf>
    <xf numFmtId="14" fontId="12" fillId="16" borderId="61" xfId="0" quotePrefix="1" applyNumberFormat="1" applyFont="1" applyFill="1" applyBorder="1" applyAlignment="1" applyProtection="1">
      <alignment horizontal="center" vertical="center"/>
      <protection hidden="1"/>
    </xf>
    <xf numFmtId="165" fontId="12" fillId="16" borderId="61" xfId="0" quotePrefix="1" applyNumberFormat="1" applyFont="1" applyFill="1" applyBorder="1" applyAlignment="1" applyProtection="1">
      <alignment horizontal="center" vertical="center"/>
      <protection hidden="1"/>
    </xf>
    <xf numFmtId="0" fontId="9" fillId="16" borderId="61" xfId="0" applyFont="1" applyFill="1" applyBorder="1" applyAlignment="1" applyProtection="1">
      <alignment horizontal="center" vertical="center"/>
      <protection locked="0"/>
    </xf>
    <xf numFmtId="0" fontId="9" fillId="16" borderId="75" xfId="0" applyFont="1" applyFill="1" applyBorder="1" applyAlignment="1" applyProtection="1">
      <alignment horizontal="center" vertical="center"/>
      <protection locked="0"/>
    </xf>
    <xf numFmtId="0" fontId="14" fillId="18" borderId="88" xfId="0" applyFont="1" applyFill="1" applyBorder="1" applyAlignment="1" applyProtection="1">
      <alignment vertical="center"/>
      <protection hidden="1"/>
    </xf>
    <xf numFmtId="0" fontId="15" fillId="18" borderId="89" xfId="0" applyFont="1" applyFill="1" applyBorder="1" applyAlignment="1" applyProtection="1">
      <alignment vertical="center"/>
      <protection hidden="1"/>
    </xf>
    <xf numFmtId="0" fontId="15" fillId="18" borderId="90" xfId="0" applyFont="1" applyFill="1" applyBorder="1" applyAlignment="1" applyProtection="1">
      <alignment vertical="center"/>
      <protection hidden="1"/>
    </xf>
    <xf numFmtId="0" fontId="9" fillId="16" borderId="93" xfId="0" applyFont="1" applyFill="1" applyBorder="1" applyAlignment="1" applyProtection="1">
      <alignment horizontal="center"/>
      <protection locked="0"/>
    </xf>
    <xf numFmtId="0" fontId="9" fillId="16" borderId="5" xfId="0" applyFont="1" applyFill="1" applyBorder="1" applyAlignment="1" applyProtection="1">
      <alignment horizontal="center"/>
      <protection locked="0" hidden="1"/>
    </xf>
    <xf numFmtId="0" fontId="9" fillId="16" borderId="4" xfId="0" applyFont="1" applyFill="1" applyBorder="1" applyAlignment="1" applyProtection="1">
      <alignment horizontal="center"/>
      <protection locked="0" hidden="1"/>
    </xf>
    <xf numFmtId="165" fontId="12" fillId="16" borderId="0" xfId="0" quotePrefix="1" applyNumberFormat="1" applyFont="1" applyFill="1" applyAlignment="1" applyProtection="1">
      <alignment horizontal="center" vertical="center"/>
      <protection hidden="1"/>
    </xf>
    <xf numFmtId="14" fontId="12" fillId="21" borderId="0" xfId="0" applyNumberFormat="1" applyFont="1" applyFill="1" applyAlignment="1" applyProtection="1">
      <alignment horizontal="center" vertical="center"/>
      <protection hidden="1"/>
    </xf>
    <xf numFmtId="165" fontId="12" fillId="21" borderId="0" xfId="0" applyNumberFormat="1" applyFont="1" applyFill="1" applyAlignment="1" applyProtection="1">
      <alignment horizontal="center" vertical="center"/>
      <protection hidden="1"/>
    </xf>
    <xf numFmtId="0" fontId="8" fillId="21" borderId="5" xfId="0" applyFont="1" applyFill="1" applyBorder="1" applyAlignment="1" applyProtection="1">
      <alignment horizontal="right"/>
      <protection hidden="1"/>
    </xf>
    <xf numFmtId="0" fontId="8" fillId="21" borderId="4" xfId="0" applyFont="1" applyFill="1" applyBorder="1" applyProtection="1">
      <protection hidden="1"/>
    </xf>
    <xf numFmtId="0" fontId="8" fillId="21" borderId="2" xfId="0" applyFont="1" applyFill="1" applyBorder="1" applyAlignment="1" applyProtection="1">
      <alignment horizontal="center"/>
      <protection locked="0"/>
    </xf>
    <xf numFmtId="14" fontId="12" fillId="21" borderId="95" xfId="0" applyNumberFormat="1" applyFont="1" applyFill="1" applyBorder="1" applyAlignment="1" applyProtection="1">
      <alignment horizontal="center" vertical="center"/>
      <protection hidden="1"/>
    </xf>
    <xf numFmtId="165" fontId="12" fillId="21" borderId="95" xfId="0" applyNumberFormat="1" applyFont="1" applyFill="1" applyBorder="1" applyAlignment="1" applyProtection="1">
      <alignment horizontal="center" vertical="center"/>
      <protection hidden="1"/>
    </xf>
    <xf numFmtId="0" fontId="8" fillId="21" borderId="96" xfId="0" applyFont="1" applyFill="1" applyBorder="1" applyAlignment="1" applyProtection="1">
      <alignment horizontal="right"/>
      <protection hidden="1"/>
    </xf>
    <xf numFmtId="0" fontId="8" fillId="21" borderId="97" xfId="0" applyFont="1" applyFill="1" applyBorder="1" applyProtection="1">
      <protection hidden="1"/>
    </xf>
    <xf numFmtId="0" fontId="8" fillId="21" borderId="98" xfId="0" applyFont="1" applyFill="1" applyBorder="1" applyAlignment="1" applyProtection="1">
      <alignment horizontal="center"/>
      <protection locked="0"/>
    </xf>
    <xf numFmtId="0" fontId="8" fillId="21" borderId="99" xfId="0" applyFont="1" applyFill="1" applyBorder="1" applyAlignment="1" applyProtection="1">
      <alignment horizontal="left"/>
      <protection hidden="1"/>
    </xf>
    <xf numFmtId="0" fontId="8" fillId="21" borderId="101" xfId="0" applyFont="1" applyFill="1" applyBorder="1" applyAlignment="1" applyProtection="1">
      <alignment horizontal="left"/>
      <protection hidden="1"/>
    </xf>
    <xf numFmtId="14" fontId="12" fillId="21" borderId="103" xfId="0" applyNumberFormat="1" applyFont="1" applyFill="1" applyBorder="1" applyAlignment="1" applyProtection="1">
      <alignment horizontal="center" vertical="center"/>
      <protection hidden="1"/>
    </xf>
    <xf numFmtId="165" fontId="12" fillId="21" borderId="103" xfId="0" applyNumberFormat="1" applyFont="1" applyFill="1" applyBorder="1" applyAlignment="1" applyProtection="1">
      <alignment horizontal="center" vertical="center"/>
      <protection hidden="1"/>
    </xf>
    <xf numFmtId="0" fontId="8" fillId="21" borderId="104" xfId="0" applyFont="1" applyFill="1" applyBorder="1" applyAlignment="1" applyProtection="1">
      <alignment horizontal="right"/>
      <protection hidden="1"/>
    </xf>
    <xf numFmtId="0" fontId="8" fillId="21" borderId="105" xfId="0" applyFont="1" applyFill="1" applyBorder="1" applyProtection="1">
      <protection hidden="1"/>
    </xf>
    <xf numFmtId="0" fontId="8" fillId="21" borderId="106" xfId="0" applyFont="1" applyFill="1" applyBorder="1" applyAlignment="1" applyProtection="1">
      <alignment horizontal="center"/>
      <protection locked="0"/>
    </xf>
    <xf numFmtId="0" fontId="8" fillId="21" borderId="107" xfId="0" applyFont="1" applyFill="1" applyBorder="1" applyAlignment="1" applyProtection="1">
      <alignment horizontal="left"/>
      <protection hidden="1"/>
    </xf>
    <xf numFmtId="14" fontId="12" fillId="23" borderId="0" xfId="0" applyNumberFormat="1" applyFont="1" applyFill="1" applyAlignment="1" applyProtection="1">
      <alignment horizontal="center" vertical="center"/>
      <protection hidden="1"/>
    </xf>
    <xf numFmtId="165" fontId="12" fillId="23" borderId="0" xfId="0" applyNumberFormat="1" applyFont="1" applyFill="1" applyAlignment="1" applyProtection="1">
      <alignment horizontal="center" vertical="center"/>
      <protection hidden="1"/>
    </xf>
    <xf numFmtId="0" fontId="8" fillId="23" borderId="5" xfId="0" applyFont="1" applyFill="1" applyBorder="1" applyAlignment="1" applyProtection="1">
      <alignment horizontal="right"/>
      <protection hidden="1"/>
    </xf>
    <xf numFmtId="0" fontId="8" fillId="23" borderId="4" xfId="0" applyFont="1" applyFill="1" applyBorder="1" applyProtection="1">
      <protection hidden="1"/>
    </xf>
    <xf numFmtId="0" fontId="8" fillId="23" borderId="2" xfId="0" applyFont="1" applyFill="1" applyBorder="1" applyAlignment="1" applyProtection="1">
      <alignment horizontal="center"/>
      <protection locked="0"/>
    </xf>
    <xf numFmtId="14" fontId="12" fillId="23" borderId="109" xfId="0" applyNumberFormat="1" applyFont="1" applyFill="1" applyBorder="1" applyAlignment="1" applyProtection="1">
      <alignment horizontal="center" vertical="center"/>
      <protection hidden="1"/>
    </xf>
    <xf numFmtId="165" fontId="12" fillId="23" borderId="109" xfId="0" applyNumberFormat="1" applyFont="1" applyFill="1" applyBorder="1" applyAlignment="1" applyProtection="1">
      <alignment horizontal="center" vertical="center"/>
      <protection hidden="1"/>
    </xf>
    <xf numFmtId="0" fontId="8" fillId="23" borderId="110" xfId="0" applyFont="1" applyFill="1" applyBorder="1" applyAlignment="1" applyProtection="1">
      <alignment horizontal="right"/>
      <protection hidden="1"/>
    </xf>
    <xf numFmtId="0" fontId="8" fillId="23" borderId="111" xfId="0" applyFont="1" applyFill="1" applyBorder="1" applyProtection="1">
      <protection hidden="1"/>
    </xf>
    <xf numFmtId="0" fontId="8" fillId="23" borderId="112" xfId="0" applyFont="1" applyFill="1" applyBorder="1" applyAlignment="1" applyProtection="1">
      <alignment horizontal="center"/>
      <protection locked="0"/>
    </xf>
    <xf numFmtId="0" fontId="8" fillId="23" borderId="113" xfId="0" applyFont="1" applyFill="1" applyBorder="1" applyAlignment="1" applyProtection="1">
      <alignment horizontal="left"/>
      <protection hidden="1"/>
    </xf>
    <xf numFmtId="0" fontId="8" fillId="23" borderId="115" xfId="0" applyFont="1" applyFill="1" applyBorder="1" applyAlignment="1" applyProtection="1">
      <alignment horizontal="left"/>
      <protection hidden="1"/>
    </xf>
    <xf numFmtId="14" fontId="12" fillId="23" borderId="117" xfId="0" applyNumberFormat="1" applyFont="1" applyFill="1" applyBorder="1" applyAlignment="1" applyProtection="1">
      <alignment horizontal="center" vertical="center"/>
      <protection hidden="1"/>
    </xf>
    <xf numFmtId="165" fontId="12" fillId="23" borderId="117" xfId="0" applyNumberFormat="1" applyFont="1" applyFill="1" applyBorder="1" applyAlignment="1" applyProtection="1">
      <alignment horizontal="center" vertical="center"/>
      <protection hidden="1"/>
    </xf>
    <xf numFmtId="0" fontId="8" fillId="23" borderId="118" xfId="0" applyFont="1" applyFill="1" applyBorder="1" applyAlignment="1" applyProtection="1">
      <alignment horizontal="right"/>
      <protection hidden="1"/>
    </xf>
    <xf numFmtId="0" fontId="8" fillId="23" borderId="119" xfId="0" applyFont="1" applyFill="1" applyBorder="1" applyProtection="1">
      <protection hidden="1"/>
    </xf>
    <xf numFmtId="0" fontId="8" fillId="23" borderId="120" xfId="0" applyFont="1" applyFill="1" applyBorder="1" applyAlignment="1" applyProtection="1">
      <alignment horizontal="center"/>
      <protection locked="0"/>
    </xf>
    <xf numFmtId="0" fontId="8" fillId="23" borderId="121" xfId="0" applyFont="1" applyFill="1" applyBorder="1" applyAlignment="1" applyProtection="1">
      <alignment horizontal="left"/>
      <protection hidden="1"/>
    </xf>
    <xf numFmtId="14" fontId="12" fillId="25" borderId="0" xfId="0" applyNumberFormat="1" applyFont="1" applyFill="1" applyAlignment="1" applyProtection="1">
      <alignment horizontal="center" vertical="center"/>
      <protection hidden="1"/>
    </xf>
    <xf numFmtId="165" fontId="12" fillId="25" borderId="0" xfId="0" applyNumberFormat="1" applyFont="1" applyFill="1" applyAlignment="1" applyProtection="1">
      <alignment horizontal="center" vertical="center"/>
      <protection hidden="1"/>
    </xf>
    <xf numFmtId="0" fontId="8" fillId="25" borderId="5" xfId="0" applyFont="1" applyFill="1" applyBorder="1" applyAlignment="1" applyProtection="1">
      <alignment horizontal="right"/>
      <protection hidden="1"/>
    </xf>
    <xf numFmtId="0" fontId="8" fillId="25" borderId="4" xfId="0" applyFont="1" applyFill="1" applyBorder="1" applyProtection="1">
      <protection hidden="1"/>
    </xf>
    <xf numFmtId="0" fontId="8" fillId="25" borderId="2" xfId="0" applyFont="1" applyFill="1" applyBorder="1" applyAlignment="1" applyProtection="1">
      <alignment horizontal="center"/>
      <protection locked="0"/>
    </xf>
    <xf numFmtId="14" fontId="12" fillId="25" borderId="123" xfId="0" applyNumberFormat="1" applyFont="1" applyFill="1" applyBorder="1" applyAlignment="1" applyProtection="1">
      <alignment horizontal="center" vertical="center"/>
      <protection hidden="1"/>
    </xf>
    <xf numFmtId="165" fontId="12" fillId="25" borderId="123" xfId="0" applyNumberFormat="1" applyFont="1" applyFill="1" applyBorder="1" applyAlignment="1" applyProtection="1">
      <alignment horizontal="center" vertical="center"/>
      <protection hidden="1"/>
    </xf>
    <xf numFmtId="0" fontId="8" fillId="25" borderId="124" xfId="0" applyFont="1" applyFill="1" applyBorder="1" applyAlignment="1" applyProtection="1">
      <alignment horizontal="right"/>
      <protection hidden="1"/>
    </xf>
    <xf numFmtId="0" fontId="8" fillId="25" borderId="125" xfId="0" applyFont="1" applyFill="1" applyBorder="1" applyProtection="1">
      <protection hidden="1"/>
    </xf>
    <xf numFmtId="0" fontId="8" fillId="25" borderId="126" xfId="0" applyFont="1" applyFill="1" applyBorder="1" applyAlignment="1" applyProtection="1">
      <alignment horizontal="center"/>
      <protection locked="0"/>
    </xf>
    <xf numFmtId="0" fontId="8" fillId="25" borderId="127" xfId="0" applyFont="1" applyFill="1" applyBorder="1" applyAlignment="1" applyProtection="1">
      <alignment horizontal="left"/>
      <protection hidden="1"/>
    </xf>
    <xf numFmtId="0" fontId="8" fillId="25" borderId="129" xfId="0" applyFont="1" applyFill="1" applyBorder="1" applyAlignment="1" applyProtection="1">
      <alignment horizontal="left"/>
      <protection hidden="1"/>
    </xf>
    <xf numFmtId="14" fontId="12" fillId="25" borderId="131" xfId="0" applyNumberFormat="1" applyFont="1" applyFill="1" applyBorder="1" applyAlignment="1" applyProtection="1">
      <alignment horizontal="center" vertical="center"/>
      <protection hidden="1"/>
    </xf>
    <xf numFmtId="165" fontId="12" fillId="25" borderId="131" xfId="0" applyNumberFormat="1" applyFont="1" applyFill="1" applyBorder="1" applyAlignment="1" applyProtection="1">
      <alignment horizontal="center" vertical="center"/>
      <protection hidden="1"/>
    </xf>
    <xf numFmtId="0" fontId="8" fillId="25" borderId="132" xfId="0" applyFont="1" applyFill="1" applyBorder="1" applyAlignment="1" applyProtection="1">
      <alignment horizontal="right"/>
      <protection hidden="1"/>
    </xf>
    <xf numFmtId="0" fontId="8" fillId="25" borderId="133" xfId="0" applyFont="1" applyFill="1" applyBorder="1" applyProtection="1">
      <protection hidden="1"/>
    </xf>
    <xf numFmtId="0" fontId="8" fillId="25" borderId="134" xfId="0" applyFont="1" applyFill="1" applyBorder="1" applyAlignment="1" applyProtection="1">
      <alignment horizontal="center"/>
      <protection locked="0"/>
    </xf>
    <xf numFmtId="0" fontId="8" fillId="25" borderId="135" xfId="0" applyFont="1" applyFill="1" applyBorder="1" applyAlignment="1" applyProtection="1">
      <alignment horizontal="left"/>
      <protection hidden="1"/>
    </xf>
    <xf numFmtId="0" fontId="9" fillId="22" borderId="108" xfId="0" applyFont="1" applyFill="1" applyBorder="1" applyAlignment="1" applyProtection="1">
      <alignment horizontal="centerContinuous"/>
      <protection hidden="1"/>
    </xf>
    <xf numFmtId="0" fontId="9" fillId="22" borderId="109" xfId="0" applyFont="1" applyFill="1" applyBorder="1" applyAlignment="1" applyProtection="1">
      <alignment horizontal="centerContinuous"/>
      <protection hidden="1"/>
    </xf>
    <xf numFmtId="0" fontId="9" fillId="22" borderId="113" xfId="0" applyFont="1" applyFill="1" applyBorder="1" applyAlignment="1" applyProtection="1">
      <alignment horizontal="centerContinuous"/>
      <protection hidden="1"/>
    </xf>
    <xf numFmtId="0" fontId="10" fillId="4" borderId="114" xfId="0" applyFont="1" applyFill="1" applyBorder="1" applyAlignment="1" applyProtection="1">
      <alignment horizontal="center" vertical="center"/>
      <protection hidden="1"/>
    </xf>
    <xf numFmtId="0" fontId="10" fillId="4" borderId="115" xfId="0" applyFont="1" applyFill="1" applyBorder="1" applyAlignment="1" applyProtection="1">
      <alignment horizontal="center" vertical="center"/>
      <protection hidden="1"/>
    </xf>
    <xf numFmtId="0" fontId="10" fillId="4" borderId="116" xfId="0" applyFont="1" applyFill="1" applyBorder="1" applyAlignment="1" applyProtection="1">
      <alignment horizontal="center" vertical="center"/>
      <protection hidden="1"/>
    </xf>
    <xf numFmtId="0" fontId="10" fillId="4" borderId="117" xfId="0" applyFont="1" applyFill="1" applyBorder="1" applyAlignment="1" applyProtection="1">
      <alignment horizontal="left" vertical="center"/>
      <protection hidden="1"/>
    </xf>
    <xf numFmtId="0" fontId="10" fillId="4" borderId="117" xfId="0" applyFont="1" applyFill="1" applyBorder="1" applyAlignment="1" applyProtection="1">
      <alignment horizontal="center" vertical="center"/>
      <protection hidden="1"/>
    </xf>
    <xf numFmtId="0" fontId="10" fillId="4" borderId="121" xfId="0" applyFont="1" applyFill="1" applyBorder="1" applyAlignment="1" applyProtection="1">
      <alignment horizontal="center" vertical="center"/>
      <protection hidden="1"/>
    </xf>
    <xf numFmtId="0" fontId="9" fillId="20" borderId="94" xfId="0" applyFont="1" applyFill="1" applyBorder="1" applyAlignment="1" applyProtection="1">
      <alignment horizontal="centerContinuous"/>
      <protection hidden="1"/>
    </xf>
    <xf numFmtId="0" fontId="9" fillId="20" borderId="95" xfId="0" applyFont="1" applyFill="1" applyBorder="1" applyAlignment="1" applyProtection="1">
      <alignment horizontal="centerContinuous"/>
      <protection hidden="1"/>
    </xf>
    <xf numFmtId="0" fontId="9" fillId="20" borderId="99" xfId="0" applyFont="1" applyFill="1" applyBorder="1" applyAlignment="1" applyProtection="1">
      <alignment horizontal="centerContinuous"/>
      <protection hidden="1"/>
    </xf>
    <xf numFmtId="0" fontId="10" fillId="4" borderId="100" xfId="0" applyFont="1" applyFill="1" applyBorder="1" applyAlignment="1" applyProtection="1">
      <alignment horizontal="center" vertical="center"/>
      <protection hidden="1"/>
    </xf>
    <xf numFmtId="0" fontId="10" fillId="4" borderId="101" xfId="0" applyFont="1" applyFill="1" applyBorder="1" applyAlignment="1" applyProtection="1">
      <alignment horizontal="center" vertical="center"/>
      <protection hidden="1"/>
    </xf>
    <xf numFmtId="0" fontId="10" fillId="4" borderId="102" xfId="0" applyFont="1" applyFill="1" applyBorder="1" applyAlignment="1" applyProtection="1">
      <alignment horizontal="center" vertical="center"/>
      <protection hidden="1"/>
    </xf>
    <xf numFmtId="0" fontId="10" fillId="4" borderId="103" xfId="0" applyFont="1" applyFill="1" applyBorder="1" applyAlignment="1" applyProtection="1">
      <alignment horizontal="left" vertical="center"/>
      <protection hidden="1"/>
    </xf>
    <xf numFmtId="0" fontId="10" fillId="4" borderId="103" xfId="0" applyFont="1" applyFill="1" applyBorder="1" applyAlignment="1" applyProtection="1">
      <alignment horizontal="center" vertical="center"/>
      <protection hidden="1"/>
    </xf>
    <xf numFmtId="0" fontId="10" fillId="4" borderId="107" xfId="0" applyFont="1" applyFill="1" applyBorder="1" applyAlignment="1" applyProtection="1">
      <alignment horizontal="center" vertical="center"/>
      <protection hidden="1"/>
    </xf>
    <xf numFmtId="0" fontId="9" fillId="22" borderId="114" xfId="0" applyFont="1" applyFill="1" applyBorder="1" applyAlignment="1" applyProtection="1">
      <alignment horizontal="center" vertical="center"/>
      <protection hidden="1"/>
    </xf>
    <xf numFmtId="0" fontId="9" fillId="22" borderId="0" xfId="0" applyFont="1" applyFill="1" applyAlignment="1" applyProtection="1">
      <alignment horizontal="left" vertical="center"/>
      <protection hidden="1"/>
    </xf>
    <xf numFmtId="0" fontId="9" fillId="22" borderId="0" xfId="0" applyFont="1" applyFill="1" applyAlignment="1" applyProtection="1">
      <alignment horizontal="center" vertical="center"/>
      <protection hidden="1"/>
    </xf>
    <xf numFmtId="0" fontId="9" fillId="22" borderId="115" xfId="0" applyFont="1" applyFill="1" applyBorder="1" applyAlignment="1" applyProtection="1">
      <alignment horizontal="center" vertical="center"/>
      <protection hidden="1"/>
    </xf>
    <xf numFmtId="0" fontId="10" fillId="4" borderId="108" xfId="0" applyFont="1" applyFill="1" applyBorder="1" applyAlignment="1" applyProtection="1">
      <alignment horizontal="center" vertical="center"/>
      <protection hidden="1"/>
    </xf>
    <xf numFmtId="0" fontId="10" fillId="4" borderId="109" xfId="0" applyFont="1" applyFill="1" applyBorder="1" applyAlignment="1" applyProtection="1">
      <alignment horizontal="left" vertical="center"/>
      <protection hidden="1"/>
    </xf>
    <xf numFmtId="0" fontId="10" fillId="4" borderId="109" xfId="0" applyFont="1" applyFill="1" applyBorder="1" applyAlignment="1" applyProtection="1">
      <alignment horizontal="center" vertical="center"/>
      <protection hidden="1"/>
    </xf>
    <xf numFmtId="0" fontId="10" fillId="4" borderId="113" xfId="0" applyFont="1" applyFill="1" applyBorder="1" applyAlignment="1" applyProtection="1">
      <alignment horizontal="center" vertical="center"/>
      <protection hidden="1"/>
    </xf>
    <xf numFmtId="0" fontId="9" fillId="20" borderId="100" xfId="0" applyFont="1" applyFill="1" applyBorder="1" applyAlignment="1" applyProtection="1">
      <alignment horizontal="center" vertical="center"/>
      <protection hidden="1"/>
    </xf>
    <xf numFmtId="0" fontId="9" fillId="20" borderId="0" xfId="0" applyFont="1" applyFill="1" applyAlignment="1" applyProtection="1">
      <alignment horizontal="left" vertical="center"/>
      <protection hidden="1"/>
    </xf>
    <xf numFmtId="0" fontId="9" fillId="20" borderId="0" xfId="0" applyFont="1" applyFill="1" applyAlignment="1" applyProtection="1">
      <alignment horizontal="center" vertical="center"/>
      <protection hidden="1"/>
    </xf>
    <xf numFmtId="0" fontId="9" fillId="20" borderId="101" xfId="0" applyFont="1" applyFill="1" applyBorder="1" applyAlignment="1" applyProtection="1">
      <alignment horizontal="center" vertical="center"/>
      <protection hidden="1"/>
    </xf>
    <xf numFmtId="0" fontId="10" fillId="4" borderId="94" xfId="0" applyFont="1" applyFill="1" applyBorder="1" applyAlignment="1" applyProtection="1">
      <alignment horizontal="center" vertical="center"/>
      <protection hidden="1"/>
    </xf>
    <xf numFmtId="0" fontId="10" fillId="4" borderId="95" xfId="0" applyFont="1" applyFill="1" applyBorder="1" applyAlignment="1" applyProtection="1">
      <alignment horizontal="left" vertical="center"/>
      <protection hidden="1"/>
    </xf>
    <xf numFmtId="0" fontId="10" fillId="4" borderId="95" xfId="0" applyFont="1" applyFill="1" applyBorder="1" applyAlignment="1" applyProtection="1">
      <alignment horizontal="center" vertical="center"/>
      <protection hidden="1"/>
    </xf>
    <xf numFmtId="0" fontId="10" fillId="4" borderId="99" xfId="0" applyFont="1" applyFill="1" applyBorder="1" applyAlignment="1" applyProtection="1">
      <alignment horizontal="center" vertical="center"/>
      <protection hidden="1"/>
    </xf>
    <xf numFmtId="0" fontId="9" fillId="24" borderId="122" xfId="0" applyFont="1" applyFill="1" applyBorder="1" applyAlignment="1" applyProtection="1">
      <alignment horizontal="centerContinuous"/>
      <protection hidden="1"/>
    </xf>
    <xf numFmtId="0" fontId="9" fillId="24" borderId="123" xfId="0" applyFont="1" applyFill="1" applyBorder="1" applyAlignment="1" applyProtection="1">
      <alignment horizontal="centerContinuous"/>
      <protection hidden="1"/>
    </xf>
    <xf numFmtId="0" fontId="9" fillId="24" borderId="127" xfId="0" applyFont="1" applyFill="1" applyBorder="1" applyAlignment="1" applyProtection="1">
      <alignment horizontal="centerContinuous"/>
      <protection hidden="1"/>
    </xf>
    <xf numFmtId="0" fontId="10" fillId="4" borderId="128" xfId="0" applyFont="1" applyFill="1" applyBorder="1" applyAlignment="1" applyProtection="1">
      <alignment horizontal="center" vertical="center"/>
      <protection hidden="1"/>
    </xf>
    <xf numFmtId="0" fontId="10" fillId="4" borderId="129" xfId="0" applyFont="1" applyFill="1" applyBorder="1" applyAlignment="1" applyProtection="1">
      <alignment horizontal="center" vertical="center"/>
      <protection hidden="1"/>
    </xf>
    <xf numFmtId="0" fontId="10" fillId="4" borderId="130" xfId="0" applyFont="1" applyFill="1" applyBorder="1" applyAlignment="1" applyProtection="1">
      <alignment horizontal="center" vertical="center"/>
      <protection hidden="1"/>
    </xf>
    <xf numFmtId="0" fontId="10" fillId="4" borderId="131" xfId="0" applyFont="1" applyFill="1" applyBorder="1" applyAlignment="1" applyProtection="1">
      <alignment horizontal="left" vertical="center"/>
      <protection hidden="1"/>
    </xf>
    <xf numFmtId="0" fontId="10" fillId="4" borderId="131" xfId="0" applyFont="1" applyFill="1" applyBorder="1" applyAlignment="1" applyProtection="1">
      <alignment horizontal="center" vertical="center"/>
      <protection hidden="1"/>
    </xf>
    <xf numFmtId="0" fontId="10" fillId="4" borderId="135" xfId="0" applyFont="1" applyFill="1" applyBorder="1" applyAlignment="1" applyProtection="1">
      <alignment horizontal="center" vertical="center"/>
      <protection hidden="1"/>
    </xf>
    <xf numFmtId="0" fontId="10" fillId="4" borderId="122" xfId="0" applyFont="1" applyFill="1" applyBorder="1" applyAlignment="1" applyProtection="1">
      <alignment horizontal="center" vertical="center"/>
      <protection hidden="1"/>
    </xf>
    <xf numFmtId="0" fontId="10" fillId="4" borderId="123" xfId="0" applyFont="1" applyFill="1" applyBorder="1" applyAlignment="1" applyProtection="1">
      <alignment horizontal="left" vertical="center"/>
      <protection hidden="1"/>
    </xf>
    <xf numFmtId="0" fontId="10" fillId="4" borderId="123" xfId="0" applyFont="1" applyFill="1" applyBorder="1" applyAlignment="1" applyProtection="1">
      <alignment horizontal="center" vertical="center"/>
      <protection hidden="1"/>
    </xf>
    <xf numFmtId="0" fontId="10" fillId="4" borderId="127" xfId="0" applyFont="1" applyFill="1" applyBorder="1" applyAlignment="1" applyProtection="1">
      <alignment horizontal="center" vertical="center"/>
      <protection hidden="1"/>
    </xf>
    <xf numFmtId="0" fontId="37" fillId="0" borderId="0" xfId="0" applyFont="1"/>
    <xf numFmtId="0" fontId="38" fillId="2" borderId="0" xfId="90" applyFill="1" applyProtection="1">
      <protection hidden="1"/>
    </xf>
    <xf numFmtId="0" fontId="38" fillId="2" borderId="0" xfId="90" applyFill="1" applyAlignment="1" applyProtection="1">
      <alignment vertical="top" wrapText="1"/>
      <protection hidden="1"/>
    </xf>
    <xf numFmtId="0" fontId="38" fillId="2" borderId="0" xfId="90" applyFill="1"/>
    <xf numFmtId="0" fontId="3" fillId="2" borderId="0" xfId="90" applyFont="1" applyFill="1" applyAlignment="1" applyProtection="1">
      <alignment vertical="top"/>
      <protection hidden="1"/>
    </xf>
    <xf numFmtId="0" fontId="38" fillId="2" borderId="0" xfId="90" applyFill="1" applyAlignment="1" applyProtection="1">
      <alignment vertical="top"/>
      <protection hidden="1"/>
    </xf>
    <xf numFmtId="0" fontId="38" fillId="2" borderId="0" xfId="90" applyFill="1" applyAlignment="1" applyProtection="1">
      <alignment vertical="center" wrapText="1"/>
      <protection hidden="1"/>
    </xf>
    <xf numFmtId="0" fontId="3" fillId="2" borderId="0" xfId="90" applyFont="1" applyFill="1" applyAlignment="1" applyProtection="1">
      <alignment vertical="center"/>
      <protection hidden="1"/>
    </xf>
    <xf numFmtId="0" fontId="38" fillId="2" borderId="0" xfId="90" applyFill="1" applyAlignment="1" applyProtection="1">
      <alignment vertical="center"/>
      <protection hidden="1"/>
    </xf>
    <xf numFmtId="0" fontId="38" fillId="0" borderId="0" xfId="90"/>
    <xf numFmtId="0" fontId="35" fillId="5" borderId="76" xfId="0" applyFont="1" applyFill="1" applyBorder="1" applyAlignment="1" applyProtection="1">
      <alignment horizontal="left" vertical="center"/>
      <protection hidden="1"/>
    </xf>
    <xf numFmtId="0" fontId="20" fillId="6" borderId="83" xfId="0" applyFont="1" applyFill="1" applyBorder="1" applyAlignment="1" applyProtection="1">
      <alignment horizontal="left" vertical="center"/>
      <protection hidden="1"/>
    </xf>
    <xf numFmtId="0" fontId="20" fillId="6" borderId="81" xfId="0" applyFont="1" applyFill="1" applyBorder="1" applyAlignment="1" applyProtection="1">
      <alignment horizontal="left" vertical="center"/>
      <protection hidden="1"/>
    </xf>
    <xf numFmtId="0" fontId="0" fillId="2" borderId="0" xfId="90" applyFont="1" applyFill="1" applyAlignment="1" applyProtection="1">
      <alignment vertical="top"/>
      <protection hidden="1"/>
    </xf>
    <xf numFmtId="0" fontId="3" fillId="13" borderId="0" xfId="0" applyFont="1" applyFill="1" applyAlignment="1" applyProtection="1">
      <alignment horizontal="center"/>
      <protection hidden="1"/>
    </xf>
    <xf numFmtId="0" fontId="40" fillId="13" borderId="0" xfId="0" applyFont="1" applyFill="1" applyAlignment="1" applyProtection="1">
      <alignment horizontal="center" vertical="center"/>
      <protection hidden="1"/>
    </xf>
    <xf numFmtId="0" fontId="3" fillId="13" borderId="0" xfId="0" applyFont="1" applyFill="1" applyAlignment="1" applyProtection="1">
      <alignment horizontal="center" wrapText="1"/>
      <protection hidden="1"/>
    </xf>
    <xf numFmtId="0" fontId="3" fillId="13" borderId="0" xfId="0" applyFont="1" applyFill="1" applyAlignment="1" applyProtection="1">
      <alignment horizontal="left" vertical="center"/>
      <protection hidden="1"/>
    </xf>
    <xf numFmtId="0" fontId="20" fillId="13" borderId="0" xfId="0" applyFont="1" applyFill="1" applyAlignment="1" applyProtection="1">
      <alignment horizontal="centerContinuous" vertical="center"/>
      <protection hidden="1"/>
    </xf>
    <xf numFmtId="0" fontId="42" fillId="5" borderId="77" xfId="0" applyFont="1" applyFill="1" applyBorder="1" applyAlignment="1" applyProtection="1">
      <alignment horizontal="left" vertical="center"/>
      <protection hidden="1"/>
    </xf>
    <xf numFmtId="0" fontId="5" fillId="2" borderId="0" xfId="27" applyFill="1"/>
    <xf numFmtId="0" fontId="8" fillId="12" borderId="45" xfId="0" applyFont="1" applyFill="1" applyBorder="1" applyProtection="1">
      <protection hidden="1"/>
    </xf>
    <xf numFmtId="0" fontId="8" fillId="12" borderId="5" xfId="0" applyFont="1" applyFill="1" applyBorder="1" applyProtection="1">
      <protection hidden="1"/>
    </xf>
    <xf numFmtId="0" fontId="8" fillId="12" borderId="53" xfId="0" applyFont="1" applyFill="1" applyBorder="1" applyProtection="1">
      <protection hidden="1"/>
    </xf>
    <xf numFmtId="0" fontId="8" fillId="23" borderId="110" xfId="0" applyFont="1" applyFill="1" applyBorder="1" applyProtection="1">
      <protection hidden="1"/>
    </xf>
    <xf numFmtId="0" fontId="8" fillId="23" borderId="5" xfId="0" applyFont="1" applyFill="1" applyBorder="1" applyProtection="1">
      <protection hidden="1"/>
    </xf>
    <xf numFmtId="0" fontId="8" fillId="23" borderId="118" xfId="0" applyFont="1" applyFill="1" applyBorder="1" applyProtection="1">
      <protection hidden="1"/>
    </xf>
    <xf numFmtId="0" fontId="8" fillId="21" borderId="96" xfId="0" applyFont="1" applyFill="1" applyBorder="1" applyProtection="1">
      <protection hidden="1"/>
    </xf>
    <xf numFmtId="0" fontId="8" fillId="21" borderId="5" xfId="0" applyFont="1" applyFill="1" applyBorder="1" applyProtection="1">
      <protection hidden="1"/>
    </xf>
    <xf numFmtId="0" fontId="8" fillId="21" borderId="104" xfId="0" applyFont="1" applyFill="1" applyBorder="1" applyProtection="1">
      <protection hidden="1"/>
    </xf>
    <xf numFmtId="0" fontId="8" fillId="25" borderId="124" xfId="0" applyFont="1" applyFill="1" applyBorder="1" applyProtection="1">
      <protection hidden="1"/>
    </xf>
    <xf numFmtId="0" fontId="8" fillId="25" borderId="5" xfId="0" applyFont="1" applyFill="1" applyBorder="1" applyProtection="1">
      <protection hidden="1"/>
    </xf>
    <xf numFmtId="0" fontId="8" fillId="25" borderId="132" xfId="0" applyFont="1" applyFill="1" applyBorder="1" applyProtection="1">
      <protection hidden="1"/>
    </xf>
    <xf numFmtId="0" fontId="12" fillId="13" borderId="0" xfId="0" applyFont="1" applyFill="1" applyAlignment="1" applyProtection="1">
      <alignment horizontal="center"/>
      <protection hidden="1"/>
    </xf>
    <xf numFmtId="0" fontId="44" fillId="13" borderId="0" xfId="0" applyFont="1" applyFill="1" applyAlignment="1" applyProtection="1">
      <alignment horizontal="center"/>
      <protection hidden="1"/>
    </xf>
    <xf numFmtId="0" fontId="45" fillId="13" borderId="0" xfId="0" applyFont="1" applyFill="1" applyAlignment="1" applyProtection="1">
      <alignment horizontal="center"/>
      <protection hidden="1"/>
    </xf>
    <xf numFmtId="0" fontId="46" fillId="13" borderId="0" xfId="0" applyFont="1" applyFill="1" applyAlignment="1" applyProtection="1">
      <alignment horizontal="center"/>
      <protection hidden="1"/>
    </xf>
    <xf numFmtId="0" fontId="47" fillId="13" borderId="0" xfId="0" applyFont="1" applyFill="1" applyAlignment="1" applyProtection="1">
      <alignment horizontal="center"/>
      <protection hidden="1"/>
    </xf>
    <xf numFmtId="0" fontId="48" fillId="13" borderId="0" xfId="0" applyFont="1" applyFill="1" applyAlignment="1" applyProtection="1">
      <alignment horizontal="center"/>
      <protection hidden="1"/>
    </xf>
    <xf numFmtId="0" fontId="44" fillId="13" borderId="0" xfId="0" applyFont="1" applyFill="1" applyAlignment="1">
      <alignment horizontal="center"/>
    </xf>
    <xf numFmtId="0" fontId="46" fillId="13" borderId="0" xfId="0" applyFont="1" applyFill="1" applyAlignment="1">
      <alignment horizontal="center"/>
    </xf>
    <xf numFmtId="0" fontId="49" fillId="13" borderId="0" xfId="0" applyFont="1" applyFill="1" applyAlignment="1">
      <alignment horizontal="center"/>
    </xf>
    <xf numFmtId="0" fontId="49" fillId="13" borderId="0" xfId="0" applyFont="1" applyFill="1" applyAlignment="1" applyProtection="1">
      <alignment horizontal="center"/>
      <protection hidden="1"/>
    </xf>
    <xf numFmtId="0" fontId="50" fillId="13" borderId="0" xfId="0" applyFont="1" applyFill="1" applyAlignment="1" applyProtection="1">
      <alignment horizontal="center"/>
      <protection hidden="1"/>
    </xf>
    <xf numFmtId="0" fontId="51" fillId="13" borderId="0" xfId="0" applyFont="1" applyFill="1" applyAlignment="1" applyProtection="1">
      <alignment horizontal="center" vertical="center"/>
      <protection hidden="1"/>
    </xf>
    <xf numFmtId="0" fontId="52" fillId="13" borderId="0" xfId="0" applyFont="1" applyFill="1" applyAlignment="1" applyProtection="1">
      <alignment horizontal="center"/>
      <protection hidden="1"/>
    </xf>
    <xf numFmtId="0" fontId="53" fillId="13" borderId="0" xfId="0" applyFont="1" applyFill="1" applyAlignment="1" applyProtection="1">
      <alignment horizontal="center"/>
      <protection hidden="1"/>
    </xf>
    <xf numFmtId="0" fontId="54" fillId="13" borderId="0" xfId="0" applyFont="1" applyFill="1" applyProtection="1">
      <protection hidden="1"/>
    </xf>
    <xf numFmtId="0" fontId="8" fillId="13" borderId="0" xfId="0" applyFont="1" applyFill="1" applyAlignment="1">
      <alignment horizontal="centerContinuous" vertical="center"/>
    </xf>
    <xf numFmtId="0" fontId="9" fillId="27" borderId="144" xfId="0" applyFont="1" applyFill="1" applyBorder="1" applyAlignment="1" applyProtection="1">
      <alignment horizontal="centerContinuous"/>
      <protection hidden="1"/>
    </xf>
    <xf numFmtId="0" fontId="9" fillId="27" borderId="150" xfId="0" applyFont="1" applyFill="1" applyBorder="1" applyAlignment="1" applyProtection="1">
      <alignment horizontal="centerContinuous"/>
      <protection hidden="1"/>
    </xf>
    <xf numFmtId="0" fontId="9" fillId="27" borderId="145" xfId="0" applyFont="1" applyFill="1" applyBorder="1" applyAlignment="1" applyProtection="1">
      <alignment horizontal="centerContinuous"/>
      <protection hidden="1"/>
    </xf>
    <xf numFmtId="0" fontId="10" fillId="4" borderId="146" xfId="0" applyFont="1" applyFill="1" applyBorder="1" applyAlignment="1" applyProtection="1">
      <alignment horizontal="center" vertical="center"/>
      <protection hidden="1"/>
    </xf>
    <xf numFmtId="0" fontId="10" fillId="4" borderId="147" xfId="0" applyFont="1" applyFill="1" applyBorder="1" applyAlignment="1" applyProtection="1">
      <alignment horizontal="center" vertical="center"/>
      <protection hidden="1"/>
    </xf>
    <xf numFmtId="0" fontId="10" fillId="4" borderId="148" xfId="0" applyFont="1" applyFill="1" applyBorder="1" applyAlignment="1" applyProtection="1">
      <alignment horizontal="center" vertical="center"/>
      <protection hidden="1"/>
    </xf>
    <xf numFmtId="0" fontId="10" fillId="4" borderId="154" xfId="0" applyFont="1" applyFill="1" applyBorder="1" applyAlignment="1" applyProtection="1">
      <alignment horizontal="left" vertical="center"/>
      <protection hidden="1"/>
    </xf>
    <xf numFmtId="0" fontId="10" fillId="4" borderId="154" xfId="0" applyFont="1" applyFill="1" applyBorder="1" applyAlignment="1" applyProtection="1">
      <alignment horizontal="center" vertical="center"/>
      <protection hidden="1"/>
    </xf>
    <xf numFmtId="0" fontId="10" fillId="4" borderId="149" xfId="0" applyFont="1" applyFill="1" applyBorder="1" applyAlignment="1" applyProtection="1">
      <alignment horizontal="center" vertical="center"/>
      <protection hidden="1"/>
    </xf>
    <xf numFmtId="0" fontId="9" fillId="27" borderId="148" xfId="0" applyFont="1" applyFill="1" applyBorder="1" applyAlignment="1" applyProtection="1">
      <alignment horizontal="center" vertical="center"/>
      <protection hidden="1"/>
    </xf>
    <xf numFmtId="0" fontId="9" fillId="27" borderId="154" xfId="0" applyFont="1" applyFill="1" applyBorder="1" applyAlignment="1" applyProtection="1">
      <alignment horizontal="left" vertical="center"/>
      <protection hidden="1"/>
    </xf>
    <xf numFmtId="0" fontId="9" fillId="27" borderId="154" xfId="0" applyFont="1" applyFill="1" applyBorder="1" applyAlignment="1" applyProtection="1">
      <alignment horizontal="center" vertical="center"/>
      <protection hidden="1"/>
    </xf>
    <xf numFmtId="0" fontId="9" fillId="27" borderId="149" xfId="0" applyFont="1" applyFill="1" applyBorder="1" applyAlignment="1" applyProtection="1">
      <alignment horizontal="center" vertical="center"/>
      <protection hidden="1"/>
    </xf>
    <xf numFmtId="14" fontId="12" fillId="28" borderId="150" xfId="0" applyNumberFormat="1" applyFont="1" applyFill="1" applyBorder="1" applyAlignment="1" applyProtection="1">
      <alignment horizontal="center" vertical="center"/>
      <protection hidden="1"/>
    </xf>
    <xf numFmtId="165" fontId="12" fillId="28" borderId="150" xfId="0" applyNumberFormat="1" applyFont="1" applyFill="1" applyBorder="1" applyAlignment="1" applyProtection="1">
      <alignment horizontal="center" vertical="center"/>
      <protection hidden="1"/>
    </xf>
    <xf numFmtId="0" fontId="8" fillId="28" borderId="151" xfId="0" applyFont="1" applyFill="1" applyBorder="1" applyAlignment="1" applyProtection="1">
      <alignment horizontal="right"/>
      <protection hidden="1"/>
    </xf>
    <xf numFmtId="0" fontId="8" fillId="28" borderId="152" xfId="0" applyFont="1" applyFill="1" applyBorder="1" applyProtection="1">
      <protection hidden="1"/>
    </xf>
    <xf numFmtId="14" fontId="12" fillId="28" borderId="0" xfId="0" applyNumberFormat="1" applyFont="1" applyFill="1" applyAlignment="1" applyProtection="1">
      <alignment horizontal="center" vertical="center"/>
      <protection hidden="1"/>
    </xf>
    <xf numFmtId="165" fontId="12" fillId="28" borderId="0" xfId="0" applyNumberFormat="1" applyFont="1" applyFill="1" applyAlignment="1" applyProtection="1">
      <alignment horizontal="center" vertical="center"/>
      <protection hidden="1"/>
    </xf>
    <xf numFmtId="0" fontId="8" fillId="28" borderId="5" xfId="0" applyFont="1" applyFill="1" applyBorder="1" applyAlignment="1" applyProtection="1">
      <alignment horizontal="right"/>
      <protection hidden="1"/>
    </xf>
    <xf numFmtId="0" fontId="8" fillId="28" borderId="4" xfId="0" applyFont="1" applyFill="1" applyBorder="1" applyProtection="1">
      <protection hidden="1"/>
    </xf>
    <xf numFmtId="14" fontId="12" fillId="28" borderId="154" xfId="0" applyNumberFormat="1" applyFont="1" applyFill="1" applyBorder="1" applyAlignment="1" applyProtection="1">
      <alignment horizontal="center" vertical="center"/>
      <protection hidden="1"/>
    </xf>
    <xf numFmtId="165" fontId="12" fillId="28" borderId="154" xfId="0" applyNumberFormat="1" applyFont="1" applyFill="1" applyBorder="1" applyAlignment="1" applyProtection="1">
      <alignment horizontal="center" vertical="center"/>
      <protection hidden="1"/>
    </xf>
    <xf numFmtId="0" fontId="8" fillId="28" borderId="155" xfId="0" applyFont="1" applyFill="1" applyBorder="1" applyAlignment="1" applyProtection="1">
      <alignment horizontal="right"/>
      <protection hidden="1"/>
    </xf>
    <xf numFmtId="0" fontId="8" fillId="28" borderId="156" xfId="0" applyFont="1" applyFill="1" applyBorder="1" applyProtection="1">
      <protection hidden="1"/>
    </xf>
    <xf numFmtId="0" fontId="8" fillId="28" borderId="151" xfId="0" applyFont="1" applyFill="1" applyBorder="1" applyProtection="1">
      <protection hidden="1"/>
    </xf>
    <xf numFmtId="0" fontId="8" fillId="28" borderId="145" xfId="0" applyFont="1" applyFill="1" applyBorder="1" applyAlignment="1" applyProtection="1">
      <alignment horizontal="left"/>
      <protection hidden="1"/>
    </xf>
    <xf numFmtId="0" fontId="8" fillId="28" borderId="5" xfId="0" applyFont="1" applyFill="1" applyBorder="1" applyProtection="1">
      <protection hidden="1"/>
    </xf>
    <xf numFmtId="0" fontId="8" fillId="28" borderId="147" xfId="0" applyFont="1" applyFill="1" applyBorder="1" applyAlignment="1" applyProtection="1">
      <alignment horizontal="left"/>
      <protection hidden="1"/>
    </xf>
    <xf numFmtId="0" fontId="8" fillId="28" borderId="155" xfId="0" applyFont="1" applyFill="1" applyBorder="1" applyProtection="1">
      <protection hidden="1"/>
    </xf>
    <xf numFmtId="0" fontId="8" fillId="28" borderId="149" xfId="0" applyFont="1" applyFill="1" applyBorder="1" applyAlignment="1" applyProtection="1">
      <alignment horizontal="left"/>
      <protection hidden="1"/>
    </xf>
    <xf numFmtId="0" fontId="8" fillId="28" borderId="153" xfId="0" applyFont="1" applyFill="1" applyBorder="1" applyAlignment="1" applyProtection="1">
      <alignment horizontal="center"/>
      <protection locked="0"/>
    </xf>
    <xf numFmtId="0" fontId="8" fillId="28" borderId="2" xfId="0" applyFont="1" applyFill="1" applyBorder="1" applyAlignment="1" applyProtection="1">
      <alignment horizontal="center"/>
      <protection locked="0"/>
    </xf>
    <xf numFmtId="0" fontId="8" fillId="28" borderId="157" xfId="0" applyFont="1" applyFill="1" applyBorder="1" applyAlignment="1" applyProtection="1">
      <alignment horizontal="center"/>
      <protection locked="0"/>
    </xf>
    <xf numFmtId="0" fontId="8" fillId="7" borderId="18" xfId="0" applyFont="1" applyFill="1" applyBorder="1" applyAlignment="1" applyProtection="1">
      <alignment vertical="center"/>
      <protection hidden="1"/>
    </xf>
    <xf numFmtId="0" fontId="8" fillId="7" borderId="4" xfId="0" applyFont="1" applyFill="1" applyBorder="1" applyAlignment="1" applyProtection="1">
      <alignment vertical="center"/>
      <protection hidden="1"/>
    </xf>
    <xf numFmtId="0" fontId="8" fillId="7" borderId="26" xfId="0" applyFont="1" applyFill="1" applyBorder="1" applyAlignment="1" applyProtection="1">
      <alignment vertical="center"/>
      <protection hidden="1"/>
    </xf>
    <xf numFmtId="0" fontId="8" fillId="7" borderId="17" xfId="0" applyFont="1" applyFill="1" applyBorder="1" applyAlignment="1" applyProtection="1">
      <alignment vertical="center"/>
      <protection hidden="1"/>
    </xf>
    <xf numFmtId="0" fontId="8" fillId="7" borderId="5" xfId="0" applyFont="1" applyFill="1" applyBorder="1" applyAlignment="1" applyProtection="1">
      <alignment vertical="center"/>
      <protection hidden="1"/>
    </xf>
    <xf numFmtId="0" fontId="8" fillId="7" borderId="25" xfId="0" applyFont="1" applyFill="1" applyBorder="1" applyAlignment="1" applyProtection="1">
      <alignment vertical="center"/>
      <protection hidden="1"/>
    </xf>
    <xf numFmtId="0" fontId="0" fillId="13" borderId="0" xfId="0" applyFill="1" applyAlignment="1" applyProtection="1">
      <alignment horizontal="left" vertical="center"/>
      <protection hidden="1"/>
    </xf>
    <xf numFmtId="0" fontId="1" fillId="13" borderId="0" xfId="0" applyFont="1" applyFill="1" applyAlignment="1" applyProtection="1">
      <alignment horizontal="left" vertical="center"/>
      <protection hidden="1"/>
    </xf>
    <xf numFmtId="14" fontId="12" fillId="26" borderId="0" xfId="0" applyNumberFormat="1" applyFont="1" applyFill="1" applyAlignment="1" applyProtection="1">
      <alignment horizontal="center" vertical="center"/>
      <protection hidden="1"/>
    </xf>
    <xf numFmtId="165" fontId="12" fillId="26" borderId="0" xfId="0" applyNumberFormat="1" applyFont="1" applyFill="1" applyAlignment="1" applyProtection="1">
      <alignment horizontal="center" vertical="center"/>
      <protection hidden="1"/>
    </xf>
    <xf numFmtId="0" fontId="8" fillId="26" borderId="5" xfId="0" applyFont="1" applyFill="1" applyBorder="1" applyAlignment="1" applyProtection="1">
      <alignment horizontal="right"/>
      <protection hidden="1"/>
    </xf>
    <xf numFmtId="0" fontId="8" fillId="26" borderId="4" xfId="0" applyFont="1" applyFill="1" applyBorder="1" applyProtection="1">
      <protection hidden="1"/>
    </xf>
    <xf numFmtId="0" fontId="8" fillId="26" borderId="5" xfId="0" applyFont="1" applyFill="1" applyBorder="1" applyProtection="1">
      <protection hidden="1"/>
    </xf>
    <xf numFmtId="0" fontId="9" fillId="24" borderId="130" xfId="0" applyFont="1" applyFill="1" applyBorder="1" applyAlignment="1" applyProtection="1">
      <alignment horizontal="center" vertical="center"/>
      <protection hidden="1"/>
    </xf>
    <xf numFmtId="0" fontId="9" fillId="24" borderId="131" xfId="0" applyFont="1" applyFill="1" applyBorder="1" applyAlignment="1" applyProtection="1">
      <alignment horizontal="left" vertical="center"/>
      <protection hidden="1"/>
    </xf>
    <xf numFmtId="0" fontId="9" fillId="24" borderId="131" xfId="0" applyFont="1" applyFill="1" applyBorder="1" applyAlignment="1" applyProtection="1">
      <alignment horizontal="center" vertical="center"/>
      <protection hidden="1"/>
    </xf>
    <xf numFmtId="0" fontId="9" fillId="24" borderId="135" xfId="0" applyFont="1" applyFill="1" applyBorder="1" applyAlignment="1" applyProtection="1">
      <alignment horizontal="center" vertical="center"/>
      <protection hidden="1"/>
    </xf>
    <xf numFmtId="0" fontId="10" fillId="4" borderId="144" xfId="0" applyFont="1" applyFill="1" applyBorder="1" applyAlignment="1" applyProtection="1">
      <alignment horizontal="center" vertical="center"/>
      <protection hidden="1"/>
    </xf>
    <xf numFmtId="0" fontId="10" fillId="4" borderId="150" xfId="0" applyFont="1" applyFill="1" applyBorder="1" applyAlignment="1" applyProtection="1">
      <alignment horizontal="left" vertical="center"/>
      <protection hidden="1"/>
    </xf>
    <xf numFmtId="0" fontId="10" fillId="4" borderId="150" xfId="0" applyFont="1" applyFill="1" applyBorder="1" applyAlignment="1" applyProtection="1">
      <alignment horizontal="center" vertical="center"/>
      <protection hidden="1"/>
    </xf>
    <xf numFmtId="0" fontId="10" fillId="4" borderId="145" xfId="0" applyFont="1" applyFill="1" applyBorder="1" applyAlignment="1" applyProtection="1">
      <alignment horizontal="center" vertical="center"/>
      <protection hidden="1"/>
    </xf>
    <xf numFmtId="0" fontId="8" fillId="26" borderId="2" xfId="0" applyFont="1" applyFill="1" applyBorder="1" applyAlignment="1" applyProtection="1">
      <alignment horizontal="center"/>
      <protection locked="0"/>
    </xf>
    <xf numFmtId="14" fontId="12" fillId="26" borderId="159" xfId="0" applyNumberFormat="1" applyFont="1" applyFill="1" applyBorder="1" applyAlignment="1" applyProtection="1">
      <alignment horizontal="center" vertical="center"/>
      <protection hidden="1"/>
    </xf>
    <xf numFmtId="165" fontId="12" fillId="26" borderId="159" xfId="0" applyNumberFormat="1" applyFont="1" applyFill="1" applyBorder="1" applyAlignment="1" applyProtection="1">
      <alignment horizontal="center" vertical="center"/>
      <protection hidden="1"/>
    </xf>
    <xf numFmtId="0" fontId="8" fillId="26" borderId="160" xfId="0" applyFont="1" applyFill="1" applyBorder="1" applyAlignment="1" applyProtection="1">
      <alignment horizontal="right"/>
      <protection hidden="1"/>
    </xf>
    <xf numFmtId="0" fontId="8" fillId="26" borderId="161" xfId="0" applyFont="1" applyFill="1" applyBorder="1" applyProtection="1">
      <protection hidden="1"/>
    </xf>
    <xf numFmtId="0" fontId="8" fillId="26" borderId="162" xfId="0" applyFont="1" applyFill="1" applyBorder="1" applyAlignment="1" applyProtection="1">
      <alignment horizontal="center"/>
      <protection locked="0"/>
    </xf>
    <xf numFmtId="0" fontId="8" fillId="26" borderId="160" xfId="0" applyFont="1" applyFill="1" applyBorder="1" applyProtection="1">
      <protection hidden="1"/>
    </xf>
    <xf numFmtId="0" fontId="8" fillId="26" borderId="163" xfId="0" applyFont="1" applyFill="1" applyBorder="1" applyAlignment="1" applyProtection="1">
      <alignment horizontal="left"/>
      <protection hidden="1"/>
    </xf>
    <xf numFmtId="0" fontId="8" fillId="26" borderId="165" xfId="0" applyFont="1" applyFill="1" applyBorder="1" applyAlignment="1" applyProtection="1">
      <alignment horizontal="left"/>
      <protection hidden="1"/>
    </xf>
    <xf numFmtId="14" fontId="12" fillId="26" borderId="167" xfId="0" applyNumberFormat="1" applyFont="1" applyFill="1" applyBorder="1" applyAlignment="1" applyProtection="1">
      <alignment horizontal="center" vertical="center"/>
      <protection hidden="1"/>
    </xf>
    <xf numFmtId="165" fontId="12" fillId="26" borderId="167" xfId="0" applyNumberFormat="1" applyFont="1" applyFill="1" applyBorder="1" applyAlignment="1" applyProtection="1">
      <alignment horizontal="center" vertical="center"/>
      <protection hidden="1"/>
    </xf>
    <xf numFmtId="0" fontId="8" fillId="26" borderId="168" xfId="0" applyFont="1" applyFill="1" applyBorder="1" applyAlignment="1" applyProtection="1">
      <alignment horizontal="right"/>
      <protection hidden="1"/>
    </xf>
    <xf numFmtId="0" fontId="8" fillId="26" borderId="169" xfId="0" applyFont="1" applyFill="1" applyBorder="1" applyProtection="1">
      <protection hidden="1"/>
    </xf>
    <xf numFmtId="0" fontId="8" fillId="26" borderId="170" xfId="0" applyFont="1" applyFill="1" applyBorder="1" applyAlignment="1" applyProtection="1">
      <alignment horizontal="center"/>
      <protection locked="0"/>
    </xf>
    <xf numFmtId="0" fontId="8" fillId="26" borderId="168" xfId="0" applyFont="1" applyFill="1" applyBorder="1" applyProtection="1">
      <protection hidden="1"/>
    </xf>
    <xf numFmtId="0" fontId="8" fillId="26" borderId="171" xfId="0" applyFont="1" applyFill="1" applyBorder="1" applyAlignment="1" applyProtection="1">
      <alignment horizontal="left"/>
      <protection hidden="1"/>
    </xf>
    <xf numFmtId="0" fontId="9" fillId="29" borderId="158" xfId="0" applyFont="1" applyFill="1" applyBorder="1" applyAlignment="1" applyProtection="1">
      <alignment horizontal="centerContinuous"/>
      <protection hidden="1"/>
    </xf>
    <xf numFmtId="0" fontId="9" fillId="29" borderId="159" xfId="0" applyFont="1" applyFill="1" applyBorder="1" applyAlignment="1" applyProtection="1">
      <alignment horizontal="centerContinuous"/>
      <protection hidden="1"/>
    </xf>
    <xf numFmtId="0" fontId="9" fillId="29" borderId="163" xfId="0" applyFont="1" applyFill="1" applyBorder="1" applyAlignment="1" applyProtection="1">
      <alignment horizontal="centerContinuous"/>
      <protection hidden="1"/>
    </xf>
    <xf numFmtId="0" fontId="9" fillId="29" borderId="166" xfId="0" applyFont="1" applyFill="1" applyBorder="1" applyAlignment="1" applyProtection="1">
      <alignment horizontal="center" vertical="center"/>
      <protection hidden="1"/>
    </xf>
    <xf numFmtId="0" fontId="9" fillId="29" borderId="167" xfId="0" applyFont="1" applyFill="1" applyBorder="1" applyAlignment="1" applyProtection="1">
      <alignment horizontal="left" vertical="center"/>
      <protection hidden="1"/>
    </xf>
    <xf numFmtId="0" fontId="9" fillId="29" borderId="167" xfId="0" applyFont="1" applyFill="1" applyBorder="1" applyAlignment="1" applyProtection="1">
      <alignment horizontal="center" vertical="center"/>
      <protection hidden="1"/>
    </xf>
    <xf numFmtId="0" fontId="9" fillId="29" borderId="171" xfId="0" applyFont="1" applyFill="1" applyBorder="1" applyAlignment="1" applyProtection="1">
      <alignment horizontal="center" vertical="center"/>
      <protection hidden="1"/>
    </xf>
    <xf numFmtId="0" fontId="10" fillId="4" borderId="158" xfId="0" applyFont="1" applyFill="1" applyBorder="1" applyAlignment="1" applyProtection="1">
      <alignment horizontal="center" vertical="center"/>
      <protection hidden="1"/>
    </xf>
    <xf numFmtId="0" fontId="10" fillId="4" borderId="159" xfId="0" applyFont="1" applyFill="1" applyBorder="1" applyAlignment="1" applyProtection="1">
      <alignment horizontal="left" vertical="center"/>
      <protection hidden="1"/>
    </xf>
    <xf numFmtId="0" fontId="10" fillId="4" borderId="159" xfId="0" applyFont="1" applyFill="1" applyBorder="1" applyAlignment="1" applyProtection="1">
      <alignment horizontal="center" vertical="center"/>
      <protection hidden="1"/>
    </xf>
    <xf numFmtId="0" fontId="10" fillId="4" borderId="163" xfId="0" applyFont="1" applyFill="1" applyBorder="1" applyAlignment="1" applyProtection="1">
      <alignment horizontal="center" vertical="center"/>
      <protection hidden="1"/>
    </xf>
    <xf numFmtId="0" fontId="10" fillId="4" borderId="164" xfId="0" applyFont="1" applyFill="1" applyBorder="1" applyAlignment="1" applyProtection="1">
      <alignment horizontal="center" vertical="center"/>
      <protection hidden="1"/>
    </xf>
    <xf numFmtId="0" fontId="10" fillId="4" borderId="165" xfId="0" applyFont="1" applyFill="1" applyBorder="1" applyAlignment="1" applyProtection="1">
      <alignment horizontal="center" vertical="center"/>
      <protection hidden="1"/>
    </xf>
    <xf numFmtId="0" fontId="10" fillId="4" borderId="166" xfId="0" applyFont="1" applyFill="1" applyBorder="1" applyAlignment="1" applyProtection="1">
      <alignment horizontal="center" vertical="center"/>
      <protection hidden="1"/>
    </xf>
    <xf numFmtId="0" fontId="10" fillId="4" borderId="167" xfId="0" applyFont="1" applyFill="1" applyBorder="1" applyAlignment="1" applyProtection="1">
      <alignment horizontal="left" vertical="center"/>
      <protection hidden="1"/>
    </xf>
    <xf numFmtId="0" fontId="10" fillId="4" borderId="167" xfId="0" applyFont="1" applyFill="1" applyBorder="1" applyAlignment="1" applyProtection="1">
      <alignment horizontal="center" vertical="center"/>
      <protection hidden="1"/>
    </xf>
    <xf numFmtId="0" fontId="10" fillId="4" borderId="171" xfId="0" applyFont="1" applyFill="1" applyBorder="1" applyAlignment="1" applyProtection="1">
      <alignment horizontal="center" vertical="center"/>
      <protection hidden="1"/>
    </xf>
    <xf numFmtId="0" fontId="0" fillId="0" borderId="0" xfId="0" applyAlignment="1">
      <alignment horizontal="center" vertical="center"/>
    </xf>
    <xf numFmtId="0" fontId="3" fillId="2" borderId="0" xfId="0" applyFont="1" applyFill="1"/>
    <xf numFmtId="16" fontId="3" fillId="2" borderId="0" xfId="0" quotePrefix="1" applyNumberFormat="1" applyFont="1" applyFill="1"/>
    <xf numFmtId="0" fontId="3" fillId="2" borderId="0" xfId="0" quotePrefix="1" applyFont="1" applyFill="1"/>
    <xf numFmtId="0" fontId="0" fillId="2" borderId="0" xfId="0" applyFill="1" applyAlignment="1">
      <alignment horizontal="center" vertical="center"/>
    </xf>
    <xf numFmtId="0" fontId="0" fillId="2" borderId="175" xfId="0" applyFill="1" applyBorder="1" applyAlignment="1">
      <alignment horizontal="center" vertical="center"/>
    </xf>
    <xf numFmtId="0" fontId="3" fillId="2" borderId="0" xfId="0" applyFont="1" applyFill="1" applyAlignment="1">
      <alignment horizontal="center"/>
    </xf>
    <xf numFmtId="0" fontId="3" fillId="2" borderId="0" xfId="0" applyFont="1" applyFill="1" applyAlignment="1">
      <alignment horizontal="center" vertical="center"/>
    </xf>
    <xf numFmtId="0" fontId="0" fillId="2" borderId="0" xfId="0" applyFill="1" applyAlignment="1">
      <alignment horizontal="left"/>
    </xf>
    <xf numFmtId="0" fontId="0" fillId="0" borderId="179" xfId="0" applyBorder="1" applyAlignment="1">
      <alignment horizontal="center"/>
    </xf>
    <xf numFmtId="0" fontId="0" fillId="0" borderId="179" xfId="0" applyBorder="1"/>
    <xf numFmtId="0" fontId="0" fillId="0" borderId="179" xfId="0" applyBorder="1" applyAlignment="1">
      <alignment horizontal="center" vertical="center"/>
    </xf>
    <xf numFmtId="0" fontId="0" fillId="0" borderId="180" xfId="0" applyBorder="1" applyAlignment="1">
      <alignment horizontal="left"/>
    </xf>
    <xf numFmtId="0" fontId="0" fillId="0" borderId="181" xfId="0" applyBorder="1" applyAlignment="1">
      <alignment horizontal="center"/>
    </xf>
    <xf numFmtId="0" fontId="0" fillId="0" borderId="181" xfId="0" applyBorder="1"/>
    <xf numFmtId="0" fontId="0" fillId="0" borderId="184" xfId="0" applyBorder="1" applyAlignment="1">
      <alignment horizontal="left"/>
    </xf>
    <xf numFmtId="0" fontId="0" fillId="0" borderId="185" xfId="0" applyBorder="1" applyAlignment="1">
      <alignment horizontal="center" vertical="center"/>
    </xf>
    <xf numFmtId="0" fontId="0" fillId="0" borderId="186" xfId="0" applyBorder="1" applyAlignment="1">
      <alignment horizontal="left"/>
    </xf>
    <xf numFmtId="0" fontId="0" fillId="0" borderId="187" xfId="0" applyBorder="1" applyAlignment="1">
      <alignment horizontal="center"/>
    </xf>
    <xf numFmtId="0" fontId="0" fillId="0" borderId="187" xfId="0" applyBorder="1"/>
    <xf numFmtId="0" fontId="0" fillId="2" borderId="188" xfId="0" applyFill="1" applyBorder="1"/>
    <xf numFmtId="0" fontId="9" fillId="9" borderId="0" xfId="0" applyFont="1" applyFill="1" applyAlignment="1">
      <alignment horizontal="center"/>
    </xf>
    <xf numFmtId="0" fontId="9" fillId="12" borderId="194" xfId="0" applyFont="1" applyFill="1" applyBorder="1" applyAlignment="1">
      <alignment horizontal="center"/>
    </xf>
    <xf numFmtId="0" fontId="9" fillId="12" borderId="195" xfId="0" applyFont="1" applyFill="1" applyBorder="1" applyAlignment="1">
      <alignment horizontal="center"/>
    </xf>
    <xf numFmtId="0" fontId="9" fillId="23" borderId="200" xfId="0" applyFont="1" applyFill="1" applyBorder="1" applyAlignment="1">
      <alignment horizontal="center"/>
    </xf>
    <xf numFmtId="0" fontId="9" fillId="23" borderId="201" xfId="0" applyFont="1" applyFill="1" applyBorder="1" applyAlignment="1">
      <alignment horizontal="center"/>
    </xf>
    <xf numFmtId="0" fontId="8" fillId="23" borderId="201" xfId="0" applyFont="1" applyFill="1" applyBorder="1" applyAlignment="1">
      <alignment horizontal="center"/>
    </xf>
    <xf numFmtId="0" fontId="8" fillId="23" borderId="202" xfId="0" applyFont="1" applyFill="1" applyBorder="1" applyAlignment="1">
      <alignment horizontal="center"/>
    </xf>
    <xf numFmtId="0" fontId="0" fillId="0" borderId="199" xfId="0" applyBorder="1" applyAlignment="1">
      <alignment horizontal="center" vertical="center"/>
    </xf>
    <xf numFmtId="0" fontId="0" fillId="0" borderId="199" xfId="0" applyBorder="1" applyAlignment="1">
      <alignment horizontal="center"/>
    </xf>
    <xf numFmtId="0" fontId="0" fillId="0" borderId="199" xfId="0" applyBorder="1"/>
    <xf numFmtId="0" fontId="9" fillId="12" borderId="203" xfId="0" applyFont="1" applyFill="1" applyBorder="1" applyAlignment="1">
      <alignment horizontal="center"/>
    </xf>
    <xf numFmtId="0" fontId="0" fillId="0" borderId="204" xfId="0" applyBorder="1" applyAlignment="1">
      <alignment horizontal="left"/>
    </xf>
    <xf numFmtId="0" fontId="0" fillId="0" borderId="205" xfId="0" applyBorder="1" applyAlignment="1">
      <alignment horizontal="center"/>
    </xf>
    <xf numFmtId="0" fontId="0" fillId="0" borderId="205" xfId="0" applyBorder="1"/>
    <xf numFmtId="0" fontId="0" fillId="0" borderId="207" xfId="0" applyBorder="1" applyAlignment="1">
      <alignment horizontal="left"/>
    </xf>
    <xf numFmtId="0" fontId="0" fillId="0" borderId="208" xfId="0" applyBorder="1" applyAlignment="1">
      <alignment horizontal="center" vertical="center"/>
    </xf>
    <xf numFmtId="0" fontId="0" fillId="0" borderId="209" xfId="0" applyBorder="1" applyAlignment="1">
      <alignment horizontal="left"/>
    </xf>
    <xf numFmtId="0" fontId="0" fillId="0" borderId="210" xfId="0" applyBorder="1" applyAlignment="1">
      <alignment horizontal="center"/>
    </xf>
    <xf numFmtId="0" fontId="0" fillId="0" borderId="210" xfId="0" applyBorder="1"/>
    <xf numFmtId="0" fontId="0" fillId="0" borderId="212" xfId="0" applyBorder="1" applyAlignment="1">
      <alignment horizontal="left"/>
    </xf>
    <xf numFmtId="0" fontId="0" fillId="0" borderId="213" xfId="0" applyBorder="1" applyAlignment="1">
      <alignment horizontal="left"/>
    </xf>
    <xf numFmtId="0" fontId="0" fillId="0" borderId="214" xfId="0" applyBorder="1" applyAlignment="1">
      <alignment horizontal="left"/>
    </xf>
    <xf numFmtId="0" fontId="0" fillId="0" borderId="215" xfId="0" applyBorder="1"/>
    <xf numFmtId="0" fontId="0" fillId="0" borderId="219" xfId="0" applyBorder="1" applyAlignment="1">
      <alignment horizontal="center" vertical="center"/>
    </xf>
    <xf numFmtId="0" fontId="0" fillId="0" borderId="214" xfId="0" applyBorder="1" applyAlignment="1">
      <alignment horizontal="center" vertical="center"/>
    </xf>
    <xf numFmtId="0" fontId="0" fillId="0" borderId="211" xfId="0" applyBorder="1" applyAlignment="1">
      <alignment horizontal="left"/>
    </xf>
    <xf numFmtId="0" fontId="0" fillId="0" borderId="211" xfId="0" applyBorder="1" applyAlignment="1">
      <alignment horizontal="center" vertical="center"/>
    </xf>
    <xf numFmtId="0" fontId="0" fillId="0" borderId="223" xfId="0" applyBorder="1"/>
    <xf numFmtId="0" fontId="0" fillId="0" borderId="221" xfId="0" applyBorder="1" applyAlignment="1">
      <alignment horizontal="center"/>
    </xf>
    <xf numFmtId="0" fontId="0" fillId="0" borderId="223" xfId="0" applyBorder="1" applyAlignment="1">
      <alignment horizontal="center"/>
    </xf>
    <xf numFmtId="0" fontId="0" fillId="0" borderId="215" xfId="0" applyBorder="1" applyAlignment="1">
      <alignment horizontal="center"/>
    </xf>
    <xf numFmtId="0" fontId="0" fillId="0" borderId="217" xfId="0" applyBorder="1" applyAlignment="1">
      <alignment horizontal="center"/>
    </xf>
    <xf numFmtId="0" fontId="0" fillId="0" borderId="214" xfId="0" applyBorder="1" applyAlignment="1">
      <alignment horizontal="center"/>
    </xf>
    <xf numFmtId="0" fontId="0" fillId="0" borderId="224" xfId="0" applyBorder="1" applyAlignment="1">
      <alignment horizontal="center"/>
    </xf>
    <xf numFmtId="0" fontId="0" fillId="0" borderId="211" xfId="0" applyBorder="1" applyAlignment="1">
      <alignment horizontal="center"/>
    </xf>
    <xf numFmtId="0" fontId="0" fillId="0" borderId="225" xfId="0" applyBorder="1" applyAlignment="1">
      <alignment horizontal="center"/>
    </xf>
    <xf numFmtId="0" fontId="0" fillId="0" borderId="225" xfId="0" applyBorder="1"/>
    <xf numFmtId="0" fontId="0" fillId="0" borderId="216" xfId="0" applyBorder="1"/>
    <xf numFmtId="0" fontId="0" fillId="0" borderId="227" xfId="0" applyBorder="1" applyAlignment="1">
      <alignment horizontal="left"/>
    </xf>
    <xf numFmtId="0" fontId="0" fillId="0" borderId="226" xfId="0" applyBorder="1" applyAlignment="1">
      <alignment horizontal="left"/>
    </xf>
    <xf numFmtId="0" fontId="0" fillId="0" borderId="228" xfId="0" applyBorder="1" applyAlignment="1">
      <alignment horizontal="left"/>
    </xf>
    <xf numFmtId="0" fontId="0" fillId="0" borderId="229" xfId="0" applyBorder="1" applyAlignment="1">
      <alignment horizontal="left"/>
    </xf>
    <xf numFmtId="0" fontId="0" fillId="0" borderId="230" xfId="0" applyBorder="1"/>
    <xf numFmtId="0" fontId="0" fillId="0" borderId="231" xfId="0" applyBorder="1"/>
    <xf numFmtId="0" fontId="0" fillId="0" borderId="232" xfId="0" applyBorder="1"/>
    <xf numFmtId="0" fontId="0" fillId="0" borderId="233" xfId="0" applyBorder="1"/>
    <xf numFmtId="0" fontId="0" fillId="0" borderId="231" xfId="0" applyBorder="1" applyAlignment="1">
      <alignment horizontal="center" vertical="center"/>
    </xf>
    <xf numFmtId="0" fontId="0" fillId="0" borderId="237" xfId="0" applyBorder="1" applyAlignment="1">
      <alignment horizontal="center" vertical="center"/>
    </xf>
    <xf numFmtId="0" fontId="0" fillId="0" borderId="232" xfId="0" applyBorder="1" applyAlignment="1">
      <alignment horizontal="center" vertical="center"/>
    </xf>
    <xf numFmtId="0" fontId="0" fillId="0" borderId="236" xfId="0" applyBorder="1" applyAlignment="1">
      <alignment horizontal="center" vertical="center"/>
    </xf>
    <xf numFmtId="0" fontId="0" fillId="0" borderId="230" xfId="0" applyBorder="1" applyAlignment="1">
      <alignment horizontal="center"/>
    </xf>
    <xf numFmtId="0" fontId="0" fillId="0" borderId="231" xfId="0" applyBorder="1" applyAlignment="1">
      <alignment horizontal="center"/>
    </xf>
    <xf numFmtId="0" fontId="0" fillId="0" borderId="232" xfId="0" applyBorder="1" applyAlignment="1">
      <alignment horizontal="center"/>
    </xf>
    <xf numFmtId="0" fontId="0" fillId="0" borderId="233" xfId="0" applyBorder="1" applyAlignment="1">
      <alignment horizontal="center"/>
    </xf>
    <xf numFmtId="0" fontId="0" fillId="0" borderId="238" xfId="0" applyBorder="1" applyAlignment="1">
      <alignment horizontal="center"/>
    </xf>
    <xf numFmtId="0" fontId="0" fillId="0" borderId="226" xfId="0" applyBorder="1" applyAlignment="1">
      <alignment horizontal="center"/>
    </xf>
    <xf numFmtId="0" fontId="0" fillId="0" borderId="228" xfId="0" applyBorder="1" applyAlignment="1">
      <alignment horizontal="center"/>
    </xf>
    <xf numFmtId="0" fontId="0" fillId="0" borderId="239" xfId="0" applyBorder="1" applyAlignment="1">
      <alignment horizontal="center"/>
    </xf>
    <xf numFmtId="0" fontId="9" fillId="7" borderId="181" xfId="0" applyFont="1" applyFill="1" applyBorder="1" applyAlignment="1">
      <alignment horizontal="left" vertical="center"/>
    </xf>
    <xf numFmtId="0" fontId="9" fillId="7" borderId="181" xfId="0" applyFont="1" applyFill="1" applyBorder="1" applyAlignment="1">
      <alignment horizontal="center" vertical="center"/>
    </xf>
    <xf numFmtId="0" fontId="9" fillId="7" borderId="183" xfId="0" applyFont="1" applyFill="1" applyBorder="1" applyAlignment="1">
      <alignment horizontal="center" vertical="center"/>
    </xf>
    <xf numFmtId="0" fontId="0" fillId="7" borderId="188" xfId="0" applyFill="1" applyBorder="1"/>
    <xf numFmtId="0" fontId="0" fillId="7" borderId="188" xfId="0" applyFill="1" applyBorder="1" applyAlignment="1">
      <alignment horizontal="left"/>
    </xf>
    <xf numFmtId="0" fontId="0" fillId="7" borderId="189" xfId="0" applyFill="1" applyBorder="1"/>
    <xf numFmtId="0" fontId="9" fillId="7" borderId="240" xfId="0" applyFont="1" applyFill="1" applyBorder="1" applyAlignment="1">
      <alignment horizontal="center" vertical="center"/>
    </xf>
    <xf numFmtId="0" fontId="9" fillId="7" borderId="189" xfId="0" applyFont="1" applyFill="1" applyBorder="1" applyAlignment="1">
      <alignment horizontal="center" vertical="center"/>
    </xf>
    <xf numFmtId="0" fontId="3" fillId="2" borderId="241" xfId="0" applyFont="1" applyFill="1" applyBorder="1"/>
    <xf numFmtId="0" fontId="9" fillId="9" borderId="191" xfId="0" applyFont="1" applyFill="1" applyBorder="1" applyAlignment="1">
      <alignment horizontal="center"/>
    </xf>
    <xf numFmtId="0" fontId="8" fillId="9" borderId="190" xfId="0" applyFont="1" applyFill="1" applyBorder="1"/>
    <xf numFmtId="0" fontId="8" fillId="9" borderId="190" xfId="0" applyFont="1" applyFill="1" applyBorder="1" applyAlignment="1">
      <alignment horizontal="left"/>
    </xf>
    <xf numFmtId="0" fontId="8" fillId="9" borderId="191" xfId="0" applyFont="1" applyFill="1" applyBorder="1"/>
    <xf numFmtId="0" fontId="9" fillId="9" borderId="230" xfId="0" applyFont="1" applyFill="1" applyBorder="1" applyAlignment="1">
      <alignment horizontal="left" vertical="center"/>
    </xf>
    <xf numFmtId="0" fontId="9" fillId="9" borderId="230" xfId="0" applyFont="1" applyFill="1" applyBorder="1" applyAlignment="1">
      <alignment horizontal="center" vertical="center"/>
    </xf>
    <xf numFmtId="0" fontId="9" fillId="9" borderId="235" xfId="0" applyFont="1" applyFill="1" applyBorder="1" applyAlignment="1">
      <alignment horizontal="center" vertical="center"/>
    </xf>
    <xf numFmtId="0" fontId="9" fillId="9" borderId="234" xfId="0" applyFont="1" applyFill="1" applyBorder="1" applyAlignment="1">
      <alignment horizontal="center" vertical="center"/>
    </xf>
    <xf numFmtId="0" fontId="0" fillId="12" borderId="192" xfId="0" applyFill="1" applyBorder="1"/>
    <xf numFmtId="0" fontId="0" fillId="12" borderId="192" xfId="0" applyFill="1" applyBorder="1" applyAlignment="1">
      <alignment horizontal="left"/>
    </xf>
    <xf numFmtId="0" fontId="0" fillId="12" borderId="193" xfId="0" applyFill="1" applyBorder="1"/>
    <xf numFmtId="0" fontId="9" fillId="23" borderId="205" xfId="0" applyFont="1" applyFill="1" applyBorder="1" applyAlignment="1">
      <alignment horizontal="left" vertical="center"/>
    </xf>
    <xf numFmtId="0" fontId="9" fillId="23" borderId="205" xfId="0" applyFont="1" applyFill="1" applyBorder="1" applyAlignment="1">
      <alignment horizontal="center" vertical="center"/>
    </xf>
    <xf numFmtId="0" fontId="9" fillId="23" borderId="206" xfId="0" applyFont="1" applyFill="1" applyBorder="1" applyAlignment="1">
      <alignment horizontal="center" vertical="center"/>
    </xf>
    <xf numFmtId="0" fontId="8" fillId="23" borderId="197" xfId="0" applyFont="1" applyFill="1" applyBorder="1"/>
    <xf numFmtId="0" fontId="8" fillId="23" borderId="198" xfId="0" applyFont="1" applyFill="1" applyBorder="1"/>
    <xf numFmtId="0" fontId="9" fillId="12" borderId="220" xfId="0" applyFont="1" applyFill="1" applyBorder="1" applyAlignment="1">
      <alignment horizontal="left" vertical="center"/>
    </xf>
    <xf numFmtId="0" fontId="9" fillId="12" borderId="217" xfId="0" applyFont="1" applyFill="1" applyBorder="1" applyAlignment="1">
      <alignment horizontal="center" vertical="center"/>
    </xf>
    <xf numFmtId="0" fontId="9" fillId="12" borderId="218" xfId="0" applyFont="1" applyFill="1" applyBorder="1" applyAlignment="1">
      <alignment horizontal="center" vertical="center"/>
    </xf>
    <xf numFmtId="0" fontId="8" fillId="21" borderId="243" xfId="0" applyFont="1" applyFill="1" applyBorder="1"/>
    <xf numFmtId="0" fontId="8" fillId="21" borderId="243" xfId="0" applyFont="1" applyFill="1" applyBorder="1" applyAlignment="1">
      <alignment horizontal="left"/>
    </xf>
    <xf numFmtId="0" fontId="8" fillId="21" borderId="244" xfId="0" applyFont="1" applyFill="1" applyBorder="1"/>
    <xf numFmtId="0" fontId="9" fillId="21" borderId="245" xfId="0" applyFont="1" applyFill="1" applyBorder="1" applyAlignment="1">
      <alignment horizontal="center"/>
    </xf>
    <xf numFmtId="0" fontId="9" fillId="21" borderId="246" xfId="0" applyFont="1" applyFill="1" applyBorder="1" applyAlignment="1">
      <alignment horizontal="center"/>
    </xf>
    <xf numFmtId="0" fontId="9" fillId="21" borderId="247" xfId="0" applyFont="1" applyFill="1" applyBorder="1" applyAlignment="1">
      <alignment horizontal="center"/>
    </xf>
    <xf numFmtId="0" fontId="0" fillId="0" borderId="250" xfId="0" applyBorder="1" applyAlignment="1">
      <alignment horizontal="left"/>
    </xf>
    <xf numFmtId="0" fontId="0" fillId="0" borderId="251" xfId="0" applyBorder="1" applyAlignment="1">
      <alignment horizontal="center" vertical="center"/>
    </xf>
    <xf numFmtId="0" fontId="0" fillId="0" borderId="252" xfId="0" applyBorder="1" applyAlignment="1">
      <alignment horizontal="center" vertical="center"/>
    </xf>
    <xf numFmtId="0" fontId="0" fillId="0" borderId="253" xfId="0" applyBorder="1" applyAlignment="1">
      <alignment horizontal="left"/>
    </xf>
    <xf numFmtId="0" fontId="0" fillId="0" borderId="254" xfId="0" applyBorder="1" applyAlignment="1">
      <alignment horizontal="center"/>
    </xf>
    <xf numFmtId="0" fontId="0" fillId="0" borderId="254" xfId="0" applyBorder="1"/>
    <xf numFmtId="0" fontId="9" fillId="21" borderId="254" xfId="0" applyFont="1" applyFill="1" applyBorder="1" applyAlignment="1">
      <alignment horizontal="left" vertical="center"/>
    </xf>
    <xf numFmtId="0" fontId="9" fillId="21" borderId="254" xfId="0" applyFont="1" applyFill="1" applyBorder="1" applyAlignment="1">
      <alignment horizontal="center" vertical="center"/>
    </xf>
    <xf numFmtId="0" fontId="9" fillId="21" borderId="255" xfId="0" applyFont="1" applyFill="1" applyBorder="1" applyAlignment="1">
      <alignment horizontal="center" vertical="center"/>
    </xf>
    <xf numFmtId="0" fontId="0" fillId="0" borderId="256" xfId="0" applyBorder="1" applyAlignment="1">
      <alignment horizontal="center"/>
    </xf>
    <xf numFmtId="0" fontId="0" fillId="0" borderId="256" xfId="0" applyBorder="1"/>
    <xf numFmtId="0" fontId="0" fillId="0" borderId="256" xfId="0" applyBorder="1" applyAlignment="1">
      <alignment horizontal="center" vertical="center"/>
    </xf>
    <xf numFmtId="0" fontId="0" fillId="0" borderId="257" xfId="0" applyBorder="1" applyAlignment="1">
      <alignment horizontal="center" vertical="center"/>
    </xf>
    <xf numFmtId="0" fontId="0" fillId="0" borderId="258" xfId="0" applyBorder="1" applyAlignment="1">
      <alignment horizontal="center"/>
    </xf>
    <xf numFmtId="0" fontId="0" fillId="0" borderId="258" xfId="0" applyBorder="1"/>
    <xf numFmtId="0" fontId="0" fillId="0" borderId="258" xfId="0" applyBorder="1" applyAlignment="1">
      <alignment horizontal="center" vertical="center"/>
    </xf>
    <xf numFmtId="0" fontId="0" fillId="0" borderId="259" xfId="0" applyBorder="1" applyAlignment="1">
      <alignment horizontal="left"/>
    </xf>
    <xf numFmtId="0" fontId="0" fillId="0" borderId="260" xfId="0" applyBorder="1" applyAlignment="1">
      <alignment horizontal="center" vertical="center"/>
    </xf>
    <xf numFmtId="0" fontId="0" fillId="0" borderId="261" xfId="0" applyBorder="1" applyAlignment="1">
      <alignment horizontal="left"/>
    </xf>
    <xf numFmtId="0" fontId="0" fillId="0" borderId="262" xfId="0" applyBorder="1" applyAlignment="1">
      <alignment horizontal="left"/>
    </xf>
    <xf numFmtId="0" fontId="0" fillId="0" borderId="263" xfId="0" applyBorder="1" applyAlignment="1">
      <alignment horizontal="center"/>
    </xf>
    <xf numFmtId="0" fontId="0" fillId="0" borderId="263" xfId="0" applyBorder="1"/>
    <xf numFmtId="0" fontId="0" fillId="0" borderId="266" xfId="0" applyBorder="1"/>
    <xf numFmtId="0" fontId="0" fillId="0" borderId="265" xfId="0" applyBorder="1"/>
    <xf numFmtId="0" fontId="0" fillId="0" borderId="266" xfId="0" applyBorder="1" applyAlignment="1">
      <alignment horizontal="center"/>
    </xf>
    <xf numFmtId="0" fontId="0" fillId="0" borderId="265" xfId="0" applyBorder="1" applyAlignment="1">
      <alignment horizontal="center"/>
    </xf>
    <xf numFmtId="0" fontId="0" fillId="0" borderId="264" xfId="0" applyBorder="1" applyAlignment="1">
      <alignment horizontal="center"/>
    </xf>
    <xf numFmtId="0" fontId="0" fillId="0" borderId="267" xfId="0" applyBorder="1" applyAlignment="1">
      <alignment horizontal="center"/>
    </xf>
    <xf numFmtId="0" fontId="0" fillId="0" borderId="264" xfId="0" applyBorder="1" applyAlignment="1">
      <alignment horizontal="center" vertical="center"/>
    </xf>
    <xf numFmtId="0" fontId="0" fillId="0" borderId="267" xfId="0" applyBorder="1" applyAlignment="1">
      <alignment horizontal="center" vertical="center"/>
    </xf>
    <xf numFmtId="0" fontId="0" fillId="2" borderId="242" xfId="0" applyFill="1" applyBorder="1"/>
    <xf numFmtId="0" fontId="0" fillId="2" borderId="242" xfId="0" applyFill="1" applyBorder="1" applyAlignment="1">
      <alignment horizontal="left"/>
    </xf>
    <xf numFmtId="0" fontId="0" fillId="0" borderId="269" xfId="0" applyBorder="1" applyAlignment="1">
      <alignment horizontal="left"/>
    </xf>
    <xf numFmtId="0" fontId="0" fillId="0" borderId="270" xfId="0" applyBorder="1" applyAlignment="1">
      <alignment horizontal="center"/>
    </xf>
    <xf numFmtId="0" fontId="0" fillId="0" borderId="271" xfId="0" applyBorder="1" applyAlignment="1">
      <alignment horizontal="center"/>
    </xf>
    <xf numFmtId="0" fontId="0" fillId="0" borderId="272" xfId="0" applyBorder="1"/>
    <xf numFmtId="0" fontId="0" fillId="0" borderId="276" xfId="0" applyBorder="1" applyAlignment="1">
      <alignment horizontal="left"/>
    </xf>
    <xf numFmtId="0" fontId="0" fillId="0" borderId="277" xfId="0" applyBorder="1" applyAlignment="1">
      <alignment horizontal="center" vertical="center"/>
    </xf>
    <xf numFmtId="0" fontId="0" fillId="0" borderId="278" xfId="0" applyBorder="1" applyAlignment="1">
      <alignment horizontal="left"/>
    </xf>
    <xf numFmtId="0" fontId="0" fillId="0" borderId="279" xfId="0" applyBorder="1" applyAlignment="1">
      <alignment horizontal="center" vertical="center"/>
    </xf>
    <xf numFmtId="0" fontId="0" fillId="0" borderId="280" xfId="0" applyBorder="1" applyAlignment="1">
      <alignment horizontal="left"/>
    </xf>
    <xf numFmtId="0" fontId="0" fillId="0" borderId="281" xfId="0" applyBorder="1" applyAlignment="1">
      <alignment horizontal="left"/>
    </xf>
    <xf numFmtId="0" fontId="0" fillId="0" borderId="282" xfId="0" applyBorder="1" applyAlignment="1">
      <alignment horizontal="center"/>
    </xf>
    <xf numFmtId="0" fontId="0" fillId="0" borderId="283" xfId="0" applyBorder="1" applyAlignment="1">
      <alignment horizontal="center"/>
    </xf>
    <xf numFmtId="0" fontId="0" fillId="0" borderId="282" xfId="0" applyBorder="1"/>
    <xf numFmtId="0" fontId="9" fillId="28" borderId="274" xfId="0" applyFont="1" applyFill="1" applyBorder="1" applyAlignment="1">
      <alignment horizontal="left" vertical="center"/>
    </xf>
    <xf numFmtId="0" fontId="9" fillId="28" borderId="270" xfId="0" applyFont="1" applyFill="1" applyBorder="1" applyAlignment="1">
      <alignment horizontal="center" vertical="center"/>
    </xf>
    <xf numFmtId="0" fontId="9" fillId="28" borderId="274" xfId="0" applyFont="1" applyFill="1" applyBorder="1" applyAlignment="1">
      <alignment horizontal="center" vertical="center"/>
    </xf>
    <xf numFmtId="0" fontId="9" fillId="28" borderId="275" xfId="0" applyFont="1" applyFill="1" applyBorder="1" applyAlignment="1">
      <alignment horizontal="center" vertical="center"/>
    </xf>
    <xf numFmtId="0" fontId="8" fillId="28" borderId="284" xfId="0" applyFont="1" applyFill="1" applyBorder="1"/>
    <xf numFmtId="0" fontId="8" fillId="28" borderId="284" xfId="0" applyFont="1" applyFill="1" applyBorder="1" applyAlignment="1">
      <alignment horizontal="left"/>
    </xf>
    <xf numFmtId="0" fontId="8" fillId="28" borderId="285" xfId="0" applyFont="1" applyFill="1" applyBorder="1"/>
    <xf numFmtId="0" fontId="9" fillId="28" borderId="286" xfId="0" applyFont="1" applyFill="1" applyBorder="1" applyAlignment="1">
      <alignment horizontal="center"/>
    </xf>
    <xf numFmtId="0" fontId="9" fillId="28" borderId="287" xfId="0" applyFont="1" applyFill="1" applyBorder="1" applyAlignment="1">
      <alignment horizontal="center"/>
    </xf>
    <xf numFmtId="0" fontId="9" fillId="28" borderId="288" xfId="0" applyFont="1" applyFill="1" applyBorder="1" applyAlignment="1">
      <alignment horizontal="center"/>
    </xf>
    <xf numFmtId="0" fontId="0" fillId="25" borderId="290" xfId="0" applyFill="1" applyBorder="1" applyAlignment="1">
      <alignment horizontal="left"/>
    </xf>
    <xf numFmtId="0" fontId="0" fillId="25" borderId="290" xfId="0" applyFill="1" applyBorder="1"/>
    <xf numFmtId="0" fontId="0" fillId="25" borderId="291" xfId="0" applyFill="1" applyBorder="1"/>
    <xf numFmtId="0" fontId="9" fillId="25" borderId="292" xfId="0" applyFont="1" applyFill="1" applyBorder="1" applyAlignment="1">
      <alignment horizontal="center"/>
    </xf>
    <xf numFmtId="0" fontId="3" fillId="25" borderId="293" xfId="0" applyFont="1" applyFill="1" applyBorder="1" applyAlignment="1">
      <alignment horizontal="center"/>
    </xf>
    <xf numFmtId="0" fontId="3" fillId="25" borderId="294" xfId="0" applyFont="1" applyFill="1" applyBorder="1" applyAlignment="1">
      <alignment horizontal="center"/>
    </xf>
    <xf numFmtId="0" fontId="9" fillId="25" borderId="296" xfId="0" applyFont="1" applyFill="1" applyBorder="1" applyAlignment="1">
      <alignment horizontal="left" vertical="center"/>
    </xf>
    <xf numFmtId="0" fontId="9" fillId="25" borderId="295" xfId="0" applyFont="1" applyFill="1" applyBorder="1" applyAlignment="1">
      <alignment horizontal="center" vertical="center"/>
    </xf>
    <xf numFmtId="0" fontId="9" fillId="25" borderId="297" xfId="0" applyFont="1" applyFill="1" applyBorder="1" applyAlignment="1">
      <alignment horizontal="center" vertical="center"/>
    </xf>
    <xf numFmtId="0" fontId="0" fillId="0" borderId="298" xfId="0" applyBorder="1" applyAlignment="1">
      <alignment horizontal="center" vertical="center"/>
    </xf>
    <xf numFmtId="0" fontId="0" fillId="0" borderId="299" xfId="0" applyBorder="1" applyAlignment="1">
      <alignment horizontal="center" vertical="center"/>
    </xf>
    <xf numFmtId="0" fontId="0" fillId="0" borderId="300" xfId="0" applyBorder="1" applyAlignment="1">
      <alignment horizontal="center" vertical="center"/>
    </xf>
    <xf numFmtId="0" fontId="0" fillId="0" borderId="302" xfId="0" applyBorder="1" applyAlignment="1">
      <alignment horizontal="center" vertical="center"/>
    </xf>
    <xf numFmtId="0" fontId="0" fillId="0" borderId="303" xfId="0" applyBorder="1" applyAlignment="1">
      <alignment horizontal="center" vertical="center"/>
    </xf>
    <xf numFmtId="0" fontId="0" fillId="0" borderId="305" xfId="0" applyBorder="1" applyAlignment="1">
      <alignment horizontal="center" vertical="center"/>
    </xf>
    <xf numFmtId="0" fontId="0" fillId="0" borderId="306" xfId="0" applyBorder="1" applyAlignment="1">
      <alignment horizontal="left"/>
    </xf>
    <xf numFmtId="0" fontId="0" fillId="0" borderId="307" xfId="0" applyBorder="1" applyAlignment="1">
      <alignment horizontal="center"/>
    </xf>
    <xf numFmtId="0" fontId="0" fillId="0" borderId="308" xfId="0" applyBorder="1"/>
    <xf numFmtId="0" fontId="0" fillId="0" borderId="309" xfId="0" applyBorder="1" applyAlignment="1">
      <alignment horizontal="left"/>
    </xf>
    <xf numFmtId="0" fontId="0" fillId="0" borderId="310" xfId="0" applyBorder="1" applyAlignment="1">
      <alignment horizontal="center"/>
    </xf>
    <xf numFmtId="0" fontId="0" fillId="0" borderId="304" xfId="0" applyBorder="1"/>
    <xf numFmtId="0" fontId="0" fillId="0" borderId="311" xfId="0" applyBorder="1" applyAlignment="1">
      <alignment horizontal="left"/>
    </xf>
    <xf numFmtId="0" fontId="0" fillId="0" borderId="312" xfId="0" applyBorder="1" applyAlignment="1">
      <alignment horizontal="center"/>
    </xf>
    <xf numFmtId="0" fontId="0" fillId="0" borderId="313" xfId="0" applyBorder="1"/>
    <xf numFmtId="0" fontId="0" fillId="0" borderId="315" xfId="0" applyBorder="1" applyAlignment="1">
      <alignment horizontal="center" vertical="center"/>
    </xf>
    <xf numFmtId="0" fontId="0" fillId="0" borderId="316" xfId="0" applyBorder="1" applyAlignment="1">
      <alignment horizontal="center"/>
    </xf>
    <xf numFmtId="0" fontId="0" fillId="0" borderId="316" xfId="0" applyBorder="1"/>
    <xf numFmtId="0" fontId="0" fillId="0" borderId="317" xfId="0" applyBorder="1" applyAlignment="1">
      <alignment horizontal="left"/>
    </xf>
    <xf numFmtId="0" fontId="0" fillId="0" borderId="318" xfId="0" applyBorder="1" applyAlignment="1">
      <alignment horizontal="center"/>
    </xf>
    <xf numFmtId="0" fontId="0" fillId="0" borderId="318" xfId="0" applyBorder="1"/>
    <xf numFmtId="0" fontId="9" fillId="26" borderId="318" xfId="0" applyFont="1" applyFill="1" applyBorder="1" applyAlignment="1">
      <alignment horizontal="left" vertical="center"/>
    </xf>
    <xf numFmtId="0" fontId="9" fillId="26" borderId="318" xfId="0" applyFont="1" applyFill="1" applyBorder="1" applyAlignment="1">
      <alignment horizontal="center" vertical="center"/>
    </xf>
    <xf numFmtId="0" fontId="9" fillId="26" borderId="320" xfId="0" applyFont="1" applyFill="1" applyBorder="1" applyAlignment="1">
      <alignment horizontal="center" vertical="center"/>
    </xf>
    <xf numFmtId="0" fontId="0" fillId="0" borderId="321" xfId="0" applyBorder="1" applyAlignment="1">
      <alignment horizontal="left"/>
    </xf>
    <xf numFmtId="0" fontId="0" fillId="0" borderId="322" xfId="0" applyBorder="1" applyAlignment="1">
      <alignment horizontal="center" vertical="center"/>
    </xf>
    <xf numFmtId="0" fontId="0" fillId="0" borderId="323" xfId="0" applyBorder="1" applyAlignment="1">
      <alignment horizontal="left"/>
    </xf>
    <xf numFmtId="0" fontId="0" fillId="0" borderId="324" xfId="0" applyBorder="1" applyAlignment="1">
      <alignment horizontal="center"/>
    </xf>
    <xf numFmtId="0" fontId="0" fillId="0" borderId="324" xfId="0" applyBorder="1"/>
    <xf numFmtId="0" fontId="0" fillId="26" borderId="178" xfId="0" applyFill="1" applyBorder="1"/>
    <xf numFmtId="0" fontId="0" fillId="26" borderId="325" xfId="0" applyFill="1" applyBorder="1"/>
    <xf numFmtId="0" fontId="9" fillId="26" borderId="326" xfId="0" applyFont="1" applyFill="1" applyBorder="1" applyAlignment="1">
      <alignment horizontal="center"/>
    </xf>
    <xf numFmtId="0" fontId="3" fillId="26" borderId="327" xfId="0" applyFont="1" applyFill="1" applyBorder="1" applyAlignment="1">
      <alignment horizontal="center"/>
    </xf>
    <xf numFmtId="0" fontId="0" fillId="26" borderId="327" xfId="0" applyFill="1" applyBorder="1" applyAlignment="1">
      <alignment horizontal="center"/>
    </xf>
    <xf numFmtId="0" fontId="0" fillId="26" borderId="328" xfId="0" applyFill="1" applyBorder="1" applyAlignment="1">
      <alignment horizontal="center"/>
    </xf>
    <xf numFmtId="0" fontId="0" fillId="2" borderId="182" xfId="0" applyFill="1" applyBorder="1"/>
    <xf numFmtId="0" fontId="0" fillId="2" borderId="238" xfId="0" applyFill="1" applyBorder="1"/>
    <xf numFmtId="0" fontId="0" fillId="2" borderId="190" xfId="0" applyFill="1" applyBorder="1"/>
    <xf numFmtId="0" fontId="0" fillId="2" borderId="221" xfId="0" applyFill="1" applyBorder="1"/>
    <xf numFmtId="0" fontId="0" fillId="2" borderId="222" xfId="0" applyFill="1" applyBorder="1"/>
    <xf numFmtId="0" fontId="0" fillId="2" borderId="192" xfId="0" applyFill="1" applyBorder="1"/>
    <xf numFmtId="0" fontId="0" fillId="2" borderId="196" xfId="0" applyFill="1" applyBorder="1"/>
    <xf numFmtId="0" fontId="0" fillId="2" borderId="197" xfId="0" applyFill="1" applyBorder="1"/>
    <xf numFmtId="0" fontId="0" fillId="2" borderId="243" xfId="0" applyFill="1" applyBorder="1"/>
    <xf numFmtId="0" fontId="0" fillId="2" borderId="273" xfId="0" applyFill="1" applyBorder="1"/>
    <xf numFmtId="0" fontId="0" fillId="2" borderId="268" xfId="0" applyFill="1" applyBorder="1"/>
    <xf numFmtId="0" fontId="0" fillId="2" borderId="284" xfId="0" applyFill="1" applyBorder="1"/>
    <xf numFmtId="0" fontId="0" fillId="2" borderId="289" xfId="0" applyFill="1" applyBorder="1"/>
    <xf numFmtId="0" fontId="0" fillId="2" borderId="290" xfId="0" applyFill="1" applyBorder="1"/>
    <xf numFmtId="0" fontId="0" fillId="2" borderId="319" xfId="0" applyFill="1" applyBorder="1"/>
    <xf numFmtId="0" fontId="0" fillId="2" borderId="314" xfId="0" applyFill="1" applyBorder="1"/>
    <xf numFmtId="0" fontId="0" fillId="2" borderId="178" xfId="0" applyFill="1" applyBorder="1"/>
    <xf numFmtId="0" fontId="0" fillId="2" borderId="248" xfId="0" applyFill="1" applyBorder="1"/>
    <xf numFmtId="0" fontId="0" fillId="2" borderId="249" xfId="0" applyFill="1" applyBorder="1"/>
    <xf numFmtId="0" fontId="0" fillId="9" borderId="0" xfId="0" applyFill="1" applyAlignment="1">
      <alignment horizontal="center"/>
    </xf>
    <xf numFmtId="0" fontId="0" fillId="28" borderId="0" xfId="0" applyFill="1" applyAlignment="1">
      <alignment horizontal="center"/>
    </xf>
    <xf numFmtId="0" fontId="8" fillId="28" borderId="0" xfId="0" applyFont="1" applyFill="1" applyAlignment="1">
      <alignment horizontal="center"/>
    </xf>
    <xf numFmtId="0" fontId="8" fillId="9" borderId="0" xfId="0" applyFont="1" applyFill="1" applyAlignment="1">
      <alignment horizontal="center"/>
    </xf>
    <xf numFmtId="0" fontId="8" fillId="30" borderId="0" xfId="0" applyFont="1" applyFill="1" applyAlignment="1">
      <alignment horizontal="center"/>
    </xf>
    <xf numFmtId="0" fontId="0" fillId="2" borderId="332" xfId="0" applyFill="1" applyBorder="1" applyAlignment="1">
      <alignment horizontal="center" vertical="center"/>
    </xf>
    <xf numFmtId="0" fontId="0" fillId="2" borderId="334" xfId="0" applyFill="1" applyBorder="1" applyAlignment="1">
      <alignment horizontal="center" vertical="center"/>
    </xf>
    <xf numFmtId="0" fontId="0" fillId="2" borderId="336" xfId="0" applyFill="1" applyBorder="1" applyAlignment="1">
      <alignment horizontal="center" vertical="center"/>
    </xf>
    <xf numFmtId="0" fontId="0" fillId="2" borderId="337" xfId="0" applyFill="1" applyBorder="1" applyAlignment="1">
      <alignment horizontal="center" vertical="center"/>
    </xf>
    <xf numFmtId="0" fontId="0" fillId="2" borderId="338" xfId="0" applyFill="1" applyBorder="1" applyAlignment="1">
      <alignment horizontal="center" vertical="center"/>
    </xf>
    <xf numFmtId="0" fontId="0" fillId="2" borderId="339" xfId="0" applyFill="1" applyBorder="1" applyAlignment="1">
      <alignment horizontal="center" vertical="center"/>
    </xf>
    <xf numFmtId="0" fontId="0" fillId="2" borderId="340" xfId="0" applyFill="1" applyBorder="1" applyAlignment="1">
      <alignment horizontal="center" vertical="center"/>
    </xf>
    <xf numFmtId="0" fontId="0" fillId="2" borderId="341" xfId="0" applyFill="1" applyBorder="1" applyAlignment="1">
      <alignment horizontal="center" vertical="center"/>
    </xf>
    <xf numFmtId="0" fontId="0" fillId="2" borderId="342" xfId="0" applyFill="1" applyBorder="1" applyAlignment="1">
      <alignment horizontal="center" vertical="center"/>
    </xf>
    <xf numFmtId="0" fontId="3" fillId="0" borderId="179" xfId="0" applyFont="1" applyBorder="1" applyAlignment="1">
      <alignment horizontal="left"/>
    </xf>
    <xf numFmtId="0" fontId="3" fillId="0" borderId="226" xfId="0" applyFont="1" applyBorder="1" applyAlignment="1">
      <alignment horizontal="left"/>
    </xf>
    <xf numFmtId="0" fontId="3" fillId="0" borderId="228" xfId="0" applyFont="1" applyBorder="1" applyAlignment="1">
      <alignment horizontal="left"/>
    </xf>
    <xf numFmtId="0" fontId="3" fillId="0" borderId="211" xfId="0" applyFont="1" applyBorder="1" applyAlignment="1">
      <alignment horizontal="left"/>
    </xf>
    <xf numFmtId="0" fontId="3" fillId="0" borderId="214" xfId="0" applyFont="1" applyBorder="1" applyAlignment="1">
      <alignment horizontal="left"/>
    </xf>
    <xf numFmtId="0" fontId="3" fillId="0" borderId="199" xfId="0" applyFont="1" applyBorder="1" applyAlignment="1">
      <alignment horizontal="left"/>
    </xf>
    <xf numFmtId="0" fontId="3" fillId="0" borderId="256" xfId="0" applyFont="1" applyBorder="1" applyAlignment="1">
      <alignment horizontal="left"/>
    </xf>
    <xf numFmtId="0" fontId="3" fillId="0" borderId="258" xfId="0" applyFont="1" applyBorder="1" applyAlignment="1">
      <alignment horizontal="left"/>
    </xf>
    <xf numFmtId="0" fontId="3" fillId="0" borderId="264" xfId="0" applyFont="1" applyBorder="1" applyAlignment="1">
      <alignment horizontal="left"/>
    </xf>
    <xf numFmtId="0" fontId="3" fillId="0" borderId="267" xfId="0" applyFont="1" applyBorder="1" applyAlignment="1">
      <alignment horizontal="left"/>
    </xf>
    <xf numFmtId="0" fontId="3" fillId="0" borderId="300" xfId="0" applyFont="1" applyBorder="1" applyAlignment="1">
      <alignment horizontal="left"/>
    </xf>
    <xf numFmtId="0" fontId="3" fillId="0" borderId="303" xfId="0" applyFont="1" applyBorder="1" applyAlignment="1">
      <alignment horizontal="left"/>
    </xf>
    <xf numFmtId="0" fontId="3" fillId="0" borderId="298" xfId="0" applyFont="1" applyBorder="1" applyAlignment="1">
      <alignment horizontal="left"/>
    </xf>
    <xf numFmtId="0" fontId="3" fillId="0" borderId="315" xfId="0" applyFont="1" applyBorder="1" applyAlignment="1">
      <alignment horizontal="left"/>
    </xf>
    <xf numFmtId="0" fontId="0" fillId="31" borderId="0" xfId="0" applyFill="1"/>
    <xf numFmtId="0" fontId="3" fillId="31" borderId="172" xfId="0" applyFont="1" applyFill="1" applyBorder="1" applyAlignment="1">
      <alignment horizontal="center" vertical="center"/>
    </xf>
    <xf numFmtId="0" fontId="0" fillId="31" borderId="172" xfId="0" applyFill="1" applyBorder="1" applyAlignment="1">
      <alignment horizontal="center" vertical="center"/>
    </xf>
    <xf numFmtId="0" fontId="0" fillId="31" borderId="173" xfId="0" applyFill="1" applyBorder="1" applyAlignment="1">
      <alignment horizontal="center" vertical="center"/>
    </xf>
    <xf numFmtId="0" fontId="0" fillId="31" borderId="333" xfId="0" applyFill="1" applyBorder="1" applyAlignment="1">
      <alignment horizontal="center" vertical="center"/>
    </xf>
    <xf numFmtId="0" fontId="0" fillId="31" borderId="0" xfId="0" applyFill="1" applyAlignment="1">
      <alignment horizontal="center" vertical="center"/>
    </xf>
    <xf numFmtId="0" fontId="0" fillId="31" borderId="334" xfId="0" applyFill="1" applyBorder="1" applyAlignment="1">
      <alignment horizontal="center" vertical="center"/>
    </xf>
    <xf numFmtId="0" fontId="0" fillId="31" borderId="335" xfId="0" applyFill="1" applyBorder="1" applyAlignment="1">
      <alignment horizontal="center" vertical="center"/>
    </xf>
    <xf numFmtId="0" fontId="0" fillId="31" borderId="329" xfId="0" applyFill="1" applyBorder="1" applyAlignment="1">
      <alignment horizontal="center" vertical="center"/>
    </xf>
    <xf numFmtId="0" fontId="0" fillId="31" borderId="176" xfId="0" applyFill="1" applyBorder="1" applyAlignment="1">
      <alignment horizontal="center" vertical="center"/>
    </xf>
    <xf numFmtId="0" fontId="0" fillId="31" borderId="174" xfId="0" applyFill="1" applyBorder="1" applyAlignment="1">
      <alignment horizontal="center" vertical="center"/>
    </xf>
    <xf numFmtId="0" fontId="0" fillId="32" borderId="0" xfId="0" applyFill="1"/>
    <xf numFmtId="0" fontId="0" fillId="32" borderId="0" xfId="0" applyFill="1" applyAlignment="1">
      <alignment horizontal="center" vertical="center"/>
    </xf>
    <xf numFmtId="0" fontId="0" fillId="32" borderId="330" xfId="0" applyFill="1" applyBorder="1" applyAlignment="1">
      <alignment horizontal="center" vertical="center"/>
    </xf>
    <xf numFmtId="0" fontId="0" fillId="32" borderId="176" xfId="0" applyFill="1" applyBorder="1" applyAlignment="1">
      <alignment horizontal="center" vertical="center"/>
    </xf>
    <xf numFmtId="0" fontId="0" fillId="32" borderId="172" xfId="0" applyFill="1" applyBorder="1" applyAlignment="1">
      <alignment horizontal="center" vertical="center"/>
    </xf>
    <xf numFmtId="0" fontId="3" fillId="32" borderId="172" xfId="0" applyFont="1" applyFill="1" applyBorder="1" applyAlignment="1">
      <alignment horizontal="center" vertical="center"/>
    </xf>
    <xf numFmtId="0" fontId="0" fillId="32" borderId="174" xfId="0" applyFill="1" applyBorder="1" applyAlignment="1">
      <alignment horizontal="center" vertical="center"/>
    </xf>
    <xf numFmtId="0" fontId="0" fillId="32" borderId="331" xfId="0" applyFill="1" applyBorder="1" applyAlignment="1">
      <alignment horizontal="center" vertical="center"/>
    </xf>
    <xf numFmtId="0" fontId="0" fillId="32" borderId="173" xfId="0" applyFill="1" applyBorder="1" applyAlignment="1">
      <alignment horizontal="center" vertical="center"/>
    </xf>
    <xf numFmtId="0" fontId="0" fillId="32" borderId="333" xfId="0" applyFill="1" applyBorder="1" applyAlignment="1">
      <alignment horizontal="center" vertical="center"/>
    </xf>
    <xf numFmtId="0" fontId="0" fillId="32" borderId="334" xfId="0" applyFill="1" applyBorder="1" applyAlignment="1">
      <alignment horizontal="center" vertical="center"/>
    </xf>
    <xf numFmtId="0" fontId="3" fillId="32" borderId="177" xfId="0" applyFont="1" applyFill="1" applyBorder="1" applyAlignment="1">
      <alignment horizontal="center" vertical="center"/>
    </xf>
    <xf numFmtId="0" fontId="0" fillId="32" borderId="335" xfId="0" applyFill="1" applyBorder="1" applyAlignment="1">
      <alignment horizontal="center" vertical="center"/>
    </xf>
    <xf numFmtId="0" fontId="0" fillId="32" borderId="329" xfId="0" applyFill="1" applyBorder="1" applyAlignment="1">
      <alignment horizontal="center" vertical="center"/>
    </xf>
    <xf numFmtId="0" fontId="0" fillId="33" borderId="0" xfId="0" applyFill="1"/>
    <xf numFmtId="0" fontId="0" fillId="33" borderId="0" xfId="0" applyFill="1" applyAlignment="1">
      <alignment horizontal="center" vertical="center"/>
    </xf>
    <xf numFmtId="0" fontId="0" fillId="33" borderId="334" xfId="0" applyFill="1" applyBorder="1" applyAlignment="1">
      <alignment horizontal="center" vertical="center"/>
    </xf>
    <xf numFmtId="0" fontId="3" fillId="33" borderId="177" xfId="0" applyFont="1" applyFill="1" applyBorder="1" applyAlignment="1">
      <alignment horizontal="center" vertical="center"/>
    </xf>
    <xf numFmtId="0" fontId="0" fillId="33" borderId="172" xfId="0" applyFill="1" applyBorder="1" applyAlignment="1">
      <alignment horizontal="center" vertical="center"/>
    </xf>
    <xf numFmtId="0" fontId="0" fillId="33" borderId="335" xfId="0" applyFill="1" applyBorder="1" applyAlignment="1">
      <alignment horizontal="center" vertical="center"/>
    </xf>
    <xf numFmtId="0" fontId="0" fillId="33" borderId="333" xfId="0" applyFill="1" applyBorder="1" applyAlignment="1">
      <alignment horizontal="center" vertical="center"/>
    </xf>
    <xf numFmtId="0" fontId="0" fillId="33" borderId="0" xfId="0" applyFill="1" applyAlignment="1">
      <alignment horizontal="left" vertical="center"/>
    </xf>
    <xf numFmtId="0" fontId="0" fillId="33" borderId="176" xfId="0" applyFill="1" applyBorder="1" applyAlignment="1">
      <alignment horizontal="center" vertical="center"/>
    </xf>
    <xf numFmtId="0" fontId="3" fillId="33" borderId="172" xfId="0" applyFont="1" applyFill="1" applyBorder="1" applyAlignment="1">
      <alignment horizontal="center" vertical="center"/>
    </xf>
    <xf numFmtId="0" fontId="0" fillId="33" borderId="174" xfId="0" applyFill="1" applyBorder="1" applyAlignment="1">
      <alignment horizontal="center" vertical="center"/>
    </xf>
    <xf numFmtId="0" fontId="0" fillId="33" borderId="331" xfId="0" applyFill="1" applyBorder="1" applyAlignment="1">
      <alignment horizontal="center" vertical="center"/>
    </xf>
    <xf numFmtId="0" fontId="0" fillId="4" borderId="0" xfId="0" applyFill="1"/>
    <xf numFmtId="0" fontId="0" fillId="4" borderId="0" xfId="0" applyFill="1" applyAlignment="1">
      <alignment horizontal="center" vertical="center"/>
    </xf>
    <xf numFmtId="0" fontId="3" fillId="4" borderId="172" xfId="0" applyFont="1" applyFill="1" applyBorder="1" applyAlignment="1">
      <alignment horizontal="center" vertical="center"/>
    </xf>
    <xf numFmtId="0" fontId="0" fillId="4" borderId="172" xfId="0" applyFill="1" applyBorder="1" applyAlignment="1">
      <alignment horizontal="center" vertical="center"/>
    </xf>
    <xf numFmtId="0" fontId="0" fillId="4" borderId="173" xfId="0" applyFill="1" applyBorder="1" applyAlignment="1">
      <alignment horizontal="center" vertical="center"/>
    </xf>
    <xf numFmtId="0" fontId="3" fillId="4" borderId="177" xfId="0" applyFont="1" applyFill="1" applyBorder="1" applyAlignment="1">
      <alignment horizontal="center" vertical="center"/>
    </xf>
    <xf numFmtId="0" fontId="0" fillId="4" borderId="329" xfId="0" applyFill="1" applyBorder="1" applyAlignment="1">
      <alignment horizontal="center" vertical="center"/>
    </xf>
    <xf numFmtId="0" fontId="0" fillId="4" borderId="0" xfId="0" applyFill="1" applyAlignment="1">
      <alignment horizontal="center"/>
    </xf>
    <xf numFmtId="0" fontId="0" fillId="2" borderId="343" xfId="0" applyFill="1" applyBorder="1" applyAlignment="1">
      <alignment horizontal="center" vertical="center"/>
    </xf>
    <xf numFmtId="0" fontId="3" fillId="0" borderId="179" xfId="0" applyFont="1" applyBorder="1" applyAlignment="1">
      <alignment horizontal="center" vertical="center"/>
    </xf>
    <xf numFmtId="0" fontId="3" fillId="0" borderId="231" xfId="0" applyFont="1" applyBorder="1" applyAlignment="1">
      <alignment horizontal="center" vertical="center"/>
    </xf>
    <xf numFmtId="0" fontId="3" fillId="0" borderId="232" xfId="0" applyFont="1" applyBorder="1" applyAlignment="1">
      <alignment horizontal="center" vertical="center"/>
    </xf>
    <xf numFmtId="0" fontId="3" fillId="0" borderId="211" xfId="0" applyFont="1" applyBorder="1" applyAlignment="1">
      <alignment horizontal="center" vertical="center"/>
    </xf>
    <xf numFmtId="0" fontId="3" fillId="0" borderId="214" xfId="0" applyFont="1" applyBorder="1" applyAlignment="1">
      <alignment horizontal="center" vertical="center"/>
    </xf>
    <xf numFmtId="0" fontId="3" fillId="0" borderId="199" xfId="0" applyFont="1" applyBorder="1" applyAlignment="1">
      <alignment horizontal="center" vertical="center"/>
    </xf>
    <xf numFmtId="0" fontId="3" fillId="0" borderId="256" xfId="0" applyFont="1" applyBorder="1" applyAlignment="1">
      <alignment horizontal="center" vertical="center"/>
    </xf>
    <xf numFmtId="0" fontId="3" fillId="0" borderId="258" xfId="0" applyFont="1" applyBorder="1" applyAlignment="1">
      <alignment horizontal="center" vertical="center"/>
    </xf>
    <xf numFmtId="0" fontId="3" fillId="0" borderId="251" xfId="0" applyFont="1" applyBorder="1" applyAlignment="1">
      <alignment horizontal="center" vertical="center"/>
    </xf>
    <xf numFmtId="0" fontId="3" fillId="0" borderId="266" xfId="0" applyFont="1" applyBorder="1" applyAlignment="1">
      <alignment horizontal="center" vertical="center"/>
    </xf>
    <xf numFmtId="0" fontId="3" fillId="0" borderId="265" xfId="0" applyFont="1" applyBorder="1" applyAlignment="1">
      <alignment horizontal="center" vertical="center"/>
    </xf>
    <xf numFmtId="0" fontId="3" fillId="0" borderId="301" xfId="0" applyFont="1" applyBorder="1" applyAlignment="1">
      <alignment horizontal="center" vertical="center"/>
    </xf>
    <xf numFmtId="0" fontId="3" fillId="0" borderId="304" xfId="0" applyFont="1" applyBorder="1" applyAlignment="1">
      <alignment horizontal="center" vertical="center"/>
    </xf>
    <xf numFmtId="0" fontId="3" fillId="0" borderId="176" xfId="0" applyFont="1" applyBorder="1" applyAlignment="1">
      <alignment horizontal="center" vertical="center"/>
    </xf>
    <xf numFmtId="0" fontId="3" fillId="0" borderId="315" xfId="0" applyFont="1" applyBorder="1" applyAlignment="1">
      <alignment horizontal="center" vertical="center"/>
    </xf>
    <xf numFmtId="0" fontId="0" fillId="0" borderId="266" xfId="0" applyBorder="1" applyAlignment="1">
      <alignment horizontal="center" vertical="center"/>
    </xf>
    <xf numFmtId="0" fontId="0" fillId="0" borderId="344" xfId="0" applyBorder="1" applyAlignment="1">
      <alignment horizontal="center" vertical="center"/>
    </xf>
    <xf numFmtId="0" fontId="55" fillId="13" borderId="0" xfId="0" applyFont="1" applyFill="1" applyProtection="1">
      <protection hidden="1"/>
    </xf>
    <xf numFmtId="0" fontId="55" fillId="13" borderId="0" xfId="0" applyFont="1" applyFill="1"/>
    <xf numFmtId="0" fontId="0" fillId="13" borderId="0" xfId="0" applyFill="1"/>
    <xf numFmtId="0" fontId="34" fillId="13" borderId="0" xfId="0" applyFont="1" applyFill="1" applyAlignment="1">
      <alignment horizontal="center" vertical="center"/>
    </xf>
    <xf numFmtId="0" fontId="34" fillId="17" borderId="0" xfId="0" applyFont="1" applyFill="1" applyAlignment="1" applyProtection="1">
      <alignment horizontal="center" vertical="center"/>
      <protection locked="0" hidden="1"/>
    </xf>
    <xf numFmtId="0" fontId="0" fillId="2" borderId="345" xfId="0" applyFill="1" applyBorder="1" applyAlignment="1" applyProtection="1">
      <alignment horizontal="center" vertical="center"/>
      <protection locked="0" hidden="1"/>
    </xf>
    <xf numFmtId="0" fontId="0" fillId="2" borderId="143" xfId="0" applyFill="1" applyBorder="1" applyAlignment="1">
      <alignment vertical="center"/>
    </xf>
    <xf numFmtId="0" fontId="0" fillId="2" borderId="138" xfId="0" applyFill="1" applyBorder="1" applyAlignment="1">
      <alignment horizontal="center" vertical="center"/>
    </xf>
    <xf numFmtId="0" fontId="0" fillId="2" borderId="139" xfId="0" applyFill="1" applyBorder="1" applyAlignment="1">
      <alignment vertical="center"/>
    </xf>
    <xf numFmtId="0" fontId="55" fillId="13" borderId="0" xfId="0" applyFont="1" applyFill="1" applyAlignment="1">
      <alignment horizontal="center"/>
    </xf>
    <xf numFmtId="0" fontId="8" fillId="13" borderId="0" xfId="0" applyFont="1" applyFill="1"/>
    <xf numFmtId="0" fontId="55" fillId="13" borderId="0" xfId="0" applyFont="1" applyFill="1" applyAlignment="1">
      <alignment horizontal="center" vertical="center"/>
    </xf>
    <xf numFmtId="0" fontId="55" fillId="0" borderId="0" xfId="0" applyFont="1"/>
    <xf numFmtId="0" fontId="0" fillId="13" borderId="0" xfId="0" applyFill="1" applyAlignment="1">
      <alignment horizontal="center" vertical="center"/>
    </xf>
    <xf numFmtId="0" fontId="8" fillId="13" borderId="0" xfId="0" applyFont="1" applyFill="1" applyAlignment="1" applyProtection="1">
      <alignment horizontal="right" vertical="center"/>
      <protection hidden="1"/>
    </xf>
    <xf numFmtId="0" fontId="8" fillId="0" borderId="0" xfId="0" applyFont="1" applyAlignment="1">
      <alignment horizontal="left" vertical="center"/>
    </xf>
    <xf numFmtId="0" fontId="8" fillId="0" borderId="0" xfId="0" applyFont="1" applyAlignment="1">
      <alignment horizontal="center" vertical="center"/>
    </xf>
    <xf numFmtId="0" fontId="55" fillId="13" borderId="346" xfId="0" applyFont="1" applyFill="1" applyBorder="1"/>
    <xf numFmtId="0" fontId="36" fillId="0" borderId="0" xfId="0" applyFont="1" applyAlignment="1">
      <alignment vertical="center"/>
    </xf>
    <xf numFmtId="0" fontId="0" fillId="0" borderId="0" xfId="0" applyAlignment="1" applyProtection="1">
      <alignment horizontal="center" vertical="center"/>
      <protection locked="0"/>
    </xf>
    <xf numFmtId="0" fontId="9" fillId="8" borderId="6" xfId="0" applyFont="1" applyFill="1" applyBorder="1" applyAlignment="1" applyProtection="1">
      <alignment horizontal="center" vertical="center"/>
      <protection hidden="1"/>
    </xf>
    <xf numFmtId="0" fontId="0" fillId="0" borderId="1" xfId="0" applyBorder="1"/>
    <xf numFmtId="0" fontId="0" fillId="0" borderId="141" xfId="0" applyBorder="1"/>
    <xf numFmtId="0" fontId="0" fillId="2" borderId="347" xfId="0" applyFill="1" applyBorder="1" applyProtection="1">
      <protection locked="0"/>
    </xf>
    <xf numFmtId="0" fontId="0" fillId="2" borderId="347" xfId="0" applyFill="1" applyBorder="1"/>
    <xf numFmtId="0" fontId="41" fillId="13" borderId="0" xfId="0" applyFont="1" applyFill="1"/>
    <xf numFmtId="0" fontId="9" fillId="8" borderId="5" xfId="0" applyFont="1" applyFill="1" applyBorder="1" applyAlignment="1" applyProtection="1">
      <alignment horizontal="center" vertical="center"/>
      <protection hidden="1"/>
    </xf>
    <xf numFmtId="0" fontId="0" fillId="0" borderId="4" xfId="0" applyBorder="1"/>
    <xf numFmtId="0" fontId="9" fillId="10" borderId="5" xfId="0" applyFont="1" applyFill="1" applyBorder="1" applyAlignment="1" applyProtection="1">
      <alignment horizontal="center" vertical="center"/>
      <protection hidden="1"/>
    </xf>
    <xf numFmtId="49" fontId="0" fillId="2" borderId="347" xfId="0" applyNumberFormat="1" applyFill="1" applyBorder="1" applyProtection="1">
      <protection locked="0"/>
    </xf>
    <xf numFmtId="16" fontId="0" fillId="2" borderId="347" xfId="0" applyNumberFormat="1" applyFill="1" applyBorder="1" applyProtection="1">
      <protection locked="0"/>
    </xf>
    <xf numFmtId="0" fontId="9" fillId="11" borderId="5" xfId="0" applyFont="1" applyFill="1" applyBorder="1" applyAlignment="1" applyProtection="1">
      <alignment horizontal="center" vertical="center"/>
      <protection hidden="1"/>
    </xf>
    <xf numFmtId="0" fontId="9" fillId="22" borderId="5" xfId="0" applyFont="1" applyFill="1" applyBorder="1" applyAlignment="1" applyProtection="1">
      <alignment horizontal="center" vertical="center"/>
      <protection hidden="1"/>
    </xf>
    <xf numFmtId="0" fontId="9" fillId="20" borderId="5" xfId="0" applyFont="1" applyFill="1" applyBorder="1" applyAlignment="1" applyProtection="1">
      <alignment horizontal="center" vertical="center"/>
      <protection hidden="1"/>
    </xf>
    <xf numFmtId="0" fontId="9" fillId="24" borderId="5" xfId="0" applyFont="1" applyFill="1" applyBorder="1" applyAlignment="1" applyProtection="1">
      <alignment horizontal="center" vertical="center"/>
      <protection hidden="1"/>
    </xf>
    <xf numFmtId="0" fontId="7" fillId="13" borderId="0" xfId="0" applyFont="1" applyFill="1" applyAlignment="1">
      <alignment horizontal="center" vertical="center"/>
    </xf>
    <xf numFmtId="0" fontId="7" fillId="13" borderId="0" xfId="0" applyFont="1" applyFill="1"/>
    <xf numFmtId="8" fontId="7" fillId="13" borderId="0" xfId="0" applyNumberFormat="1" applyFont="1" applyFill="1"/>
    <xf numFmtId="0" fontId="7" fillId="13" borderId="0" xfId="0" applyFont="1" applyFill="1" applyAlignment="1">
      <alignment horizontal="center"/>
    </xf>
    <xf numFmtId="0" fontId="28" fillId="13" borderId="0" xfId="0" applyFont="1" applyFill="1" applyAlignment="1">
      <alignment horizontal="center"/>
    </xf>
    <xf numFmtId="0" fontId="0" fillId="13" borderId="0" xfId="0" applyFill="1" applyAlignment="1">
      <alignment horizontal="center"/>
    </xf>
    <xf numFmtId="0" fontId="28" fillId="13" borderId="0" xfId="0" applyFont="1" applyFill="1"/>
    <xf numFmtId="0" fontId="0" fillId="0" borderId="140" xfId="0" applyBorder="1"/>
    <xf numFmtId="0" fontId="0" fillId="0" borderId="143" xfId="0" applyBorder="1"/>
    <xf numFmtId="0" fontId="0" fillId="13" borderId="0" xfId="0" applyFill="1" applyProtection="1">
      <protection locked="0"/>
    </xf>
    <xf numFmtId="0" fontId="0" fillId="13" borderId="346" xfId="0" applyFill="1" applyBorder="1"/>
    <xf numFmtId="0" fontId="0" fillId="0" borderId="1" xfId="0" applyBorder="1" applyProtection="1">
      <protection hidden="1"/>
    </xf>
    <xf numFmtId="0" fontId="0" fillId="0" borderId="141" xfId="0" applyBorder="1" applyProtection="1">
      <protection hidden="1"/>
    </xf>
    <xf numFmtId="0" fontId="0" fillId="0" borderId="0" xfId="0" applyProtection="1">
      <protection locked="0"/>
    </xf>
    <xf numFmtId="0" fontId="0" fillId="0" borderId="4" xfId="0" applyBorder="1" applyProtection="1">
      <protection hidden="1"/>
    </xf>
    <xf numFmtId="0" fontId="0" fillId="0" borderId="140" xfId="0" applyBorder="1" applyProtection="1">
      <protection hidden="1"/>
    </xf>
    <xf numFmtId="0" fontId="0" fillId="0" borderId="143" xfId="0" applyBorder="1" applyProtection="1">
      <protection hidden="1"/>
    </xf>
    <xf numFmtId="0" fontId="0" fillId="0" borderId="6" xfId="0" applyBorder="1"/>
    <xf numFmtId="0" fontId="0" fillId="0" borderId="142" xfId="0" applyBorder="1"/>
    <xf numFmtId="0" fontId="0" fillId="13" borderId="354" xfId="0" applyFill="1" applyBorder="1"/>
    <xf numFmtId="0" fontId="0" fillId="0" borderId="0" xfId="0" applyAlignment="1" applyProtection="1">
      <alignment vertical="center"/>
      <protection locked="0"/>
    </xf>
    <xf numFmtId="0" fontId="0" fillId="0" borderId="6" xfId="0" applyBorder="1" applyProtection="1">
      <protection hidden="1"/>
    </xf>
    <xf numFmtId="0" fontId="0" fillId="0" borderId="142" xfId="0" applyBorder="1" applyProtection="1">
      <protection hidden="1"/>
    </xf>
    <xf numFmtId="16" fontId="34" fillId="34" borderId="3" xfId="0" quotePrefix="1" applyNumberFormat="1" applyFont="1" applyFill="1" applyBorder="1" applyAlignment="1">
      <alignment horizontal="center" vertical="center" wrapText="1"/>
    </xf>
    <xf numFmtId="0" fontId="0" fillId="0" borderId="138" xfId="0" applyBorder="1"/>
    <xf numFmtId="0" fontId="0" fillId="5" borderId="137" xfId="0" applyFill="1" applyBorder="1"/>
    <xf numFmtId="0" fontId="9" fillId="27" borderId="5" xfId="0" applyFont="1" applyFill="1" applyBorder="1" applyAlignment="1" applyProtection="1">
      <alignment horizontal="center" vertical="center"/>
      <protection hidden="1"/>
    </xf>
    <xf numFmtId="0" fontId="9" fillId="29" borderId="5" xfId="0" applyFont="1" applyFill="1" applyBorder="1" applyAlignment="1" applyProtection="1">
      <alignment horizontal="center" vertical="center"/>
      <protection hidden="1"/>
    </xf>
    <xf numFmtId="0" fontId="9" fillId="29" borderId="142" xfId="0" applyFont="1" applyFill="1" applyBorder="1" applyAlignment="1" applyProtection="1">
      <alignment horizontal="center" vertical="center"/>
      <protection hidden="1"/>
    </xf>
    <xf numFmtId="0" fontId="0" fillId="35" borderId="0" xfId="0" applyFill="1" applyProtection="1">
      <protection hidden="1"/>
    </xf>
    <xf numFmtId="0" fontId="0" fillId="35" borderId="0" xfId="0" applyFill="1"/>
    <xf numFmtId="0" fontId="0" fillId="3" borderId="0" xfId="0" applyFill="1"/>
    <xf numFmtId="0" fontId="0" fillId="35" borderId="0" xfId="0" applyFill="1" applyProtection="1">
      <protection locked="0" hidden="1"/>
    </xf>
    <xf numFmtId="0" fontId="61" fillId="35" borderId="0" xfId="0" applyFont="1" applyFill="1" applyProtection="1">
      <protection locked="0" hidden="1"/>
    </xf>
    <xf numFmtId="0" fontId="0" fillId="3" borderId="0" xfId="0" applyFill="1" applyProtection="1">
      <protection hidden="1"/>
    </xf>
    <xf numFmtId="0" fontId="12" fillId="36" borderId="355" xfId="0" applyFont="1" applyFill="1" applyBorder="1" applyAlignment="1" applyProtection="1">
      <alignment horizontal="center" vertical="center"/>
      <protection hidden="1"/>
    </xf>
    <xf numFmtId="0" fontId="62" fillId="3" borderId="0" xfId="0" applyFont="1" applyFill="1" applyProtection="1">
      <protection hidden="1"/>
    </xf>
    <xf numFmtId="0" fontId="63" fillId="5" borderId="355" xfId="0" applyFont="1" applyFill="1" applyBorder="1" applyAlignment="1" applyProtection="1">
      <alignment horizontal="center" vertical="center"/>
      <protection hidden="1"/>
    </xf>
    <xf numFmtId="0" fontId="34" fillId="5" borderId="355" xfId="0" applyFont="1" applyFill="1" applyBorder="1" applyAlignment="1" applyProtection="1">
      <alignment horizontal="center" vertical="center"/>
      <protection hidden="1"/>
    </xf>
    <xf numFmtId="0" fontId="12" fillId="5" borderId="355" xfId="0" applyFont="1" applyFill="1" applyBorder="1" applyAlignment="1" applyProtection="1">
      <alignment horizontal="center" vertical="center"/>
      <protection hidden="1"/>
    </xf>
    <xf numFmtId="0" fontId="27" fillId="37" borderId="0" xfId="0" applyFont="1" applyFill="1" applyAlignment="1" applyProtection="1">
      <alignment horizontal="center" vertical="center"/>
      <protection hidden="1"/>
    </xf>
    <xf numFmtId="0" fontId="35" fillId="37" borderId="0" xfId="0" applyFont="1" applyFill="1" applyAlignment="1" applyProtection="1">
      <alignment horizontal="center" vertical="center"/>
      <protection hidden="1"/>
    </xf>
    <xf numFmtId="0" fontId="12" fillId="37" borderId="0" xfId="0" applyFont="1" applyFill="1" applyAlignment="1" applyProtection="1">
      <alignment horizontal="center" vertical="center"/>
      <protection hidden="1"/>
    </xf>
    <xf numFmtId="0" fontId="19" fillId="38" borderId="0" xfId="0" applyFont="1" applyFill="1" applyAlignment="1" applyProtection="1">
      <alignment horizontal="center" vertical="center"/>
      <protection hidden="1"/>
    </xf>
    <xf numFmtId="0" fontId="20" fillId="38" borderId="0" xfId="0" applyFont="1" applyFill="1" applyAlignment="1" applyProtection="1">
      <alignment horizontal="center" vertical="center"/>
      <protection hidden="1"/>
    </xf>
    <xf numFmtId="0" fontId="12" fillId="38" borderId="0" xfId="0" applyFont="1" applyFill="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64" fillId="3" borderId="0" xfId="0" applyFont="1" applyFill="1" applyAlignment="1" applyProtection="1">
      <alignment horizontal="center" vertical="center"/>
      <protection hidden="1"/>
    </xf>
    <xf numFmtId="0" fontId="65" fillId="3" borderId="0" xfId="0" applyFont="1" applyFill="1" applyAlignment="1" applyProtection="1">
      <alignment horizontal="center" vertical="center"/>
      <protection hidden="1"/>
    </xf>
    <xf numFmtId="0" fontId="62" fillId="3" borderId="0" xfId="0" applyFont="1" applyFill="1"/>
    <xf numFmtId="0" fontId="66" fillId="13" borderId="0" xfId="0" applyFont="1" applyFill="1" applyProtection="1">
      <protection hidden="1"/>
    </xf>
    <xf numFmtId="0" fontId="66" fillId="13" borderId="140" xfId="0" applyFont="1" applyFill="1" applyBorder="1" applyProtection="1">
      <protection hidden="1"/>
    </xf>
    <xf numFmtId="0" fontId="66" fillId="0" borderId="0" xfId="0" applyFont="1"/>
    <xf numFmtId="0" fontId="8" fillId="13" borderId="0" xfId="0" applyFont="1" applyFill="1" applyAlignment="1" applyProtection="1">
      <alignment horizontal="right"/>
      <protection hidden="1"/>
    </xf>
    <xf numFmtId="0" fontId="8" fillId="16" borderId="0" xfId="0" applyFont="1" applyFill="1" applyAlignment="1" applyProtection="1">
      <alignment horizontal="right" vertical="center"/>
      <protection hidden="1"/>
    </xf>
    <xf numFmtId="0" fontId="9" fillId="13" borderId="0" xfId="0" applyFont="1" applyFill="1" applyAlignment="1" applyProtection="1">
      <alignment horizontal="right"/>
      <protection hidden="1"/>
    </xf>
    <xf numFmtId="0" fontId="8" fillId="13" borderId="0" xfId="0" applyFont="1" applyFill="1" applyAlignment="1" applyProtection="1">
      <alignment horizontal="left"/>
      <protection hidden="1"/>
    </xf>
    <xf numFmtId="0" fontId="8" fillId="16" borderId="0" xfId="0" applyFont="1" applyFill="1" applyAlignment="1">
      <alignment horizontal="left" vertical="center"/>
    </xf>
    <xf numFmtId="0" fontId="8" fillId="16" borderId="59" xfId="0" applyFont="1" applyFill="1" applyBorder="1" applyAlignment="1">
      <alignment vertical="center"/>
    </xf>
    <xf numFmtId="0" fontId="8" fillId="16" borderId="62" xfId="0" applyFont="1" applyFill="1" applyBorder="1" applyAlignment="1">
      <alignment vertical="center"/>
    </xf>
    <xf numFmtId="0" fontId="8" fillId="6" borderId="69" xfId="0" applyFont="1" applyFill="1" applyBorder="1" applyAlignment="1">
      <alignment vertical="center"/>
    </xf>
    <xf numFmtId="0" fontId="66" fillId="13" borderId="0" xfId="0" applyFont="1" applyFill="1"/>
    <xf numFmtId="0" fontId="0" fillId="13" borderId="0" xfId="0" quotePrefix="1" applyFill="1"/>
    <xf numFmtId="8" fontId="0" fillId="13" borderId="0" xfId="0" applyNumberFormat="1" applyFill="1"/>
    <xf numFmtId="0" fontId="67" fillId="13" borderId="0" xfId="0" applyFont="1" applyFill="1" applyAlignment="1" applyProtection="1">
      <alignment horizontal="left" vertical="center"/>
      <protection hidden="1"/>
    </xf>
    <xf numFmtId="0" fontId="67" fillId="13" borderId="0" xfId="0" applyFont="1" applyFill="1" applyAlignment="1" applyProtection="1">
      <alignment horizontal="centerContinuous" vertical="center"/>
      <protection hidden="1"/>
    </xf>
    <xf numFmtId="0" fontId="66" fillId="13" borderId="0" xfId="0" applyFont="1" applyFill="1" applyAlignment="1" applyProtection="1">
      <alignment vertical="center"/>
      <protection hidden="1"/>
    </xf>
    <xf numFmtId="0" fontId="67" fillId="13" borderId="0" xfId="0" applyFont="1" applyFill="1" applyProtection="1">
      <protection hidden="1"/>
    </xf>
    <xf numFmtId="0" fontId="67" fillId="13" borderId="0" xfId="0" applyFont="1" applyFill="1" applyAlignment="1" applyProtection="1">
      <alignment vertical="center"/>
      <protection hidden="1"/>
    </xf>
    <xf numFmtId="0" fontId="68" fillId="13" borderId="0" xfId="0" applyFont="1" applyFill="1" applyAlignment="1" applyProtection="1">
      <alignment horizontal="left" vertical="center"/>
      <protection hidden="1"/>
    </xf>
    <xf numFmtId="0" fontId="68" fillId="13" borderId="0" xfId="0" applyFont="1" applyFill="1" applyAlignment="1">
      <alignment horizontal="left" vertical="center"/>
    </xf>
    <xf numFmtId="0" fontId="68" fillId="13" borderId="0" xfId="0" applyFont="1" applyFill="1" applyAlignment="1">
      <alignment horizontal="center" vertical="center"/>
    </xf>
    <xf numFmtId="0" fontId="62" fillId="0" borderId="0" xfId="0" applyFont="1"/>
    <xf numFmtId="0" fontId="69" fillId="40" borderId="0" xfId="0" applyFont="1" applyFill="1"/>
    <xf numFmtId="0" fontId="3" fillId="0" borderId="0" xfId="0" applyFont="1"/>
    <xf numFmtId="0" fontId="20" fillId="13" borderId="138" xfId="0" applyFont="1" applyFill="1" applyBorder="1" applyAlignment="1">
      <alignment vertical="center"/>
    </xf>
    <xf numFmtId="0" fontId="20" fillId="13" borderId="1" xfId="0" applyFont="1" applyFill="1" applyBorder="1" applyAlignment="1">
      <alignment vertical="center"/>
    </xf>
    <xf numFmtId="0" fontId="20" fillId="13" borderId="1" xfId="0" applyFont="1" applyFill="1" applyBorder="1" applyAlignment="1" applyProtection="1">
      <alignment vertical="center"/>
      <protection hidden="1"/>
    </xf>
    <xf numFmtId="0" fontId="20" fillId="13" borderId="141" xfId="0" applyFont="1" applyFill="1" applyBorder="1" applyAlignment="1" applyProtection="1">
      <alignment vertical="center"/>
      <protection hidden="1"/>
    </xf>
    <xf numFmtId="0" fontId="56" fillId="2" borderId="137" xfId="0" applyFont="1" applyFill="1" applyBorder="1" applyAlignment="1">
      <alignment vertical="center"/>
    </xf>
    <xf numFmtId="0" fontId="56" fillId="2" borderId="138" xfId="0" applyFont="1" applyFill="1" applyBorder="1" applyAlignment="1">
      <alignment vertical="center"/>
    </xf>
    <xf numFmtId="0" fontId="3" fillId="41" borderId="0" xfId="0" applyFont="1" applyFill="1"/>
    <xf numFmtId="0" fontId="0" fillId="41" borderId="0" xfId="0" applyFill="1"/>
    <xf numFmtId="14" fontId="0" fillId="41" borderId="0" xfId="0" applyNumberFormat="1" applyFill="1"/>
    <xf numFmtId="0" fontId="70" fillId="0" borderId="0" xfId="0" applyFont="1" applyAlignment="1">
      <alignment vertical="center"/>
    </xf>
    <xf numFmtId="0" fontId="70" fillId="41" borderId="0" xfId="0" applyFont="1" applyFill="1" applyAlignment="1">
      <alignment vertical="center"/>
    </xf>
    <xf numFmtId="0" fontId="33" fillId="43" borderId="0" xfId="0" applyFont="1" applyFill="1" applyAlignment="1">
      <alignment horizontal="center" vertical="center"/>
    </xf>
    <xf numFmtId="14" fontId="66" fillId="44" borderId="0" xfId="0" applyNumberFormat="1" applyFont="1" applyFill="1"/>
    <xf numFmtId="0" fontId="66" fillId="44" borderId="0" xfId="0" applyFont="1" applyFill="1"/>
    <xf numFmtId="0" fontId="62" fillId="0" borderId="0" xfId="0" applyFont="1" applyProtection="1">
      <protection hidden="1"/>
    </xf>
    <xf numFmtId="0" fontId="7" fillId="41" borderId="0" xfId="0" applyFont="1" applyFill="1"/>
    <xf numFmtId="0" fontId="72" fillId="42" borderId="0" xfId="0" applyFont="1" applyFill="1" applyProtection="1">
      <protection hidden="1"/>
    </xf>
    <xf numFmtId="0" fontId="20" fillId="43" borderId="356" xfId="0" applyFont="1" applyFill="1" applyBorder="1" applyAlignment="1" applyProtection="1">
      <alignment vertical="center"/>
      <protection hidden="1"/>
    </xf>
    <xf numFmtId="14" fontId="20" fillId="43" borderId="356" xfId="0" applyNumberFormat="1" applyFont="1" applyFill="1" applyBorder="1" applyAlignment="1" applyProtection="1">
      <alignment vertical="center"/>
      <protection hidden="1"/>
    </xf>
    <xf numFmtId="0" fontId="71" fillId="41" borderId="0" xfId="0" applyFont="1" applyFill="1" applyProtection="1">
      <protection hidden="1"/>
    </xf>
    <xf numFmtId="0" fontId="71" fillId="42" borderId="0" xfId="0" applyFont="1" applyFill="1" applyProtection="1">
      <protection hidden="1"/>
    </xf>
    <xf numFmtId="0" fontId="72" fillId="41" borderId="0" xfId="0" applyFont="1" applyFill="1" applyProtection="1">
      <protection hidden="1"/>
    </xf>
    <xf numFmtId="0" fontId="20" fillId="13" borderId="139" xfId="0" applyFont="1" applyFill="1" applyBorder="1" applyAlignment="1" applyProtection="1">
      <alignment vertical="center"/>
      <protection hidden="1"/>
    </xf>
    <xf numFmtId="14" fontId="0" fillId="0" borderId="141" xfId="0" applyNumberFormat="1" applyBorder="1" applyProtection="1">
      <protection hidden="1"/>
    </xf>
    <xf numFmtId="0" fontId="0" fillId="0" borderId="139" xfId="0" applyBorder="1" applyProtection="1">
      <protection hidden="1"/>
    </xf>
    <xf numFmtId="0" fontId="73" fillId="13" borderId="0" xfId="0" applyFont="1" applyFill="1"/>
    <xf numFmtId="0" fontId="9" fillId="2" borderId="0" xfId="0" applyFont="1" applyFill="1" applyAlignment="1" applyProtection="1">
      <alignment vertical="center"/>
      <protection hidden="1"/>
    </xf>
    <xf numFmtId="0" fontId="8" fillId="2" borderId="0" xfId="0" applyFont="1" applyFill="1" applyProtection="1">
      <protection hidden="1"/>
    </xf>
    <xf numFmtId="0" fontId="9" fillId="2" borderId="0" xfId="0" applyFont="1" applyFill="1" applyProtection="1">
      <protection hidden="1"/>
    </xf>
    <xf numFmtId="0" fontId="8" fillId="2" borderId="0" xfId="0" applyFont="1" applyFill="1"/>
    <xf numFmtId="3" fontId="8" fillId="2" borderId="0" xfId="0" applyNumberFormat="1" applyFont="1" applyFill="1" applyProtection="1">
      <protection hidden="1"/>
    </xf>
    <xf numFmtId="0" fontId="9" fillId="2" borderId="0" xfId="0" applyFont="1" applyFill="1" applyAlignment="1" applyProtection="1">
      <alignment horizontal="center"/>
      <protection hidden="1"/>
    </xf>
    <xf numFmtId="0" fontId="9" fillId="2" borderId="0" xfId="0" applyFont="1" applyFill="1"/>
    <xf numFmtId="0" fontId="9" fillId="2" borderId="0" xfId="0" quotePrefix="1" applyFont="1" applyFill="1"/>
    <xf numFmtId="0" fontId="9" fillId="2" borderId="0" xfId="0" applyFont="1" applyFill="1" applyAlignment="1" applyProtection="1">
      <alignment horizontal="center" vertical="center"/>
      <protection hidden="1"/>
    </xf>
    <xf numFmtId="0" fontId="8" fillId="2" borderId="0" xfId="0" applyFont="1" applyFill="1" applyAlignment="1" applyProtection="1">
      <alignment horizontal="center"/>
      <protection hidden="1"/>
    </xf>
    <xf numFmtId="2" fontId="8" fillId="2" borderId="0" xfId="0" applyNumberFormat="1" applyFont="1" applyFill="1"/>
    <xf numFmtId="0" fontId="8" fillId="2" borderId="0" xfId="0" quotePrefix="1" applyFont="1" applyFill="1" applyProtection="1">
      <protection hidden="1"/>
    </xf>
    <xf numFmtId="0" fontId="8" fillId="2" borderId="0" xfId="0" applyFont="1" applyFill="1" applyAlignment="1" applyProtection="1">
      <alignment horizontal="center" vertical="center"/>
      <protection hidden="1"/>
    </xf>
    <xf numFmtId="0" fontId="8" fillId="2" borderId="0" xfId="0" quotePrefix="1" applyFont="1" applyFill="1"/>
    <xf numFmtId="0" fontId="8" fillId="2" borderId="0" xfId="90" applyFont="1" applyFill="1"/>
    <xf numFmtId="0" fontId="8" fillId="2" borderId="0" xfId="90" quotePrefix="1" applyFont="1" applyFill="1"/>
    <xf numFmtId="0" fontId="9" fillId="2" borderId="0" xfId="0" applyFont="1" applyFill="1" applyAlignment="1">
      <alignment horizontal="center"/>
    </xf>
    <xf numFmtId="0" fontId="8" fillId="2" borderId="0" xfId="0" applyFont="1" applyFill="1" applyAlignment="1">
      <alignment horizontal="center"/>
    </xf>
    <xf numFmtId="17" fontId="8" fillId="2" borderId="0" xfId="0" applyNumberFormat="1" applyFont="1" applyFill="1"/>
    <xf numFmtId="17" fontId="8" fillId="2" borderId="0" xfId="0" applyNumberFormat="1" applyFont="1" applyFill="1" applyProtection="1">
      <protection hidden="1"/>
    </xf>
    <xf numFmtId="0" fontId="9" fillId="2" borderId="0" xfId="0" applyFont="1" applyFill="1" applyAlignment="1" applyProtection="1">
      <alignment horizontal="centerContinuous" wrapText="1"/>
      <protection hidden="1"/>
    </xf>
    <xf numFmtId="0" fontId="8" fillId="2" borderId="0" xfId="0" applyFont="1" applyFill="1" applyAlignment="1">
      <alignment horizontal="left" indent="1"/>
    </xf>
    <xf numFmtId="22" fontId="9" fillId="2" borderId="0" xfId="0" applyNumberFormat="1" applyFont="1" applyFill="1" applyProtection="1">
      <protection hidden="1"/>
    </xf>
    <xf numFmtId="22" fontId="24" fillId="2" borderId="0" xfId="0" applyNumberFormat="1" applyFont="1" applyFill="1" applyAlignment="1" applyProtection="1">
      <alignment horizontal="center" vertical="center"/>
      <protection hidden="1"/>
    </xf>
    <xf numFmtId="22" fontId="8" fillId="2" borderId="0" xfId="0" applyNumberFormat="1" applyFont="1" applyFill="1"/>
    <xf numFmtId="20" fontId="8" fillId="2" borderId="0" xfId="0" applyNumberFormat="1" applyFont="1" applyFill="1"/>
    <xf numFmtId="22" fontId="24" fillId="2" borderId="0" xfId="0" applyNumberFormat="1" applyFont="1" applyFill="1" applyProtection="1">
      <protection hidden="1"/>
    </xf>
    <xf numFmtId="164" fontId="8" fillId="2" borderId="0" xfId="0" applyNumberFormat="1" applyFont="1" applyFill="1" applyProtection="1">
      <protection hidden="1"/>
    </xf>
    <xf numFmtId="22" fontId="30" fillId="2" borderId="0" xfId="0" applyNumberFormat="1" applyFont="1" applyFill="1" applyProtection="1">
      <protection hidden="1"/>
    </xf>
    <xf numFmtId="22" fontId="30" fillId="2" borderId="0" xfId="0" applyNumberFormat="1" applyFont="1" applyFill="1" applyAlignment="1" applyProtection="1">
      <alignment vertical="center"/>
      <protection hidden="1"/>
    </xf>
    <xf numFmtId="22" fontId="24" fillId="2" borderId="0" xfId="0" quotePrefix="1" applyNumberFormat="1" applyFont="1" applyFill="1" applyAlignment="1" applyProtection="1">
      <alignment horizontal="center" vertical="center"/>
      <protection hidden="1"/>
    </xf>
    <xf numFmtId="22" fontId="30" fillId="2" borderId="0" xfId="0" applyNumberFormat="1" applyFont="1" applyFill="1" applyAlignment="1" applyProtection="1">
      <alignment horizontal="centerContinuous" vertical="center"/>
      <protection hidden="1"/>
    </xf>
    <xf numFmtId="16" fontId="8" fillId="2" borderId="0" xfId="0" quotePrefix="1" applyNumberFormat="1" applyFont="1" applyFill="1" applyProtection="1">
      <protection hidden="1"/>
    </xf>
    <xf numFmtId="0" fontId="9" fillId="2" borderId="0" xfId="0" applyFont="1" applyFill="1" applyAlignment="1">
      <alignment horizontal="left"/>
    </xf>
    <xf numFmtId="0" fontId="8" fillId="2" borderId="0" xfId="0" applyFont="1" applyFill="1" applyAlignment="1">
      <alignment horizontal="left"/>
    </xf>
    <xf numFmtId="0" fontId="8" fillId="2" borderId="0" xfId="0" applyFont="1" applyFill="1" applyAlignment="1" applyProtection="1">
      <alignment horizontal="left"/>
      <protection hidden="1"/>
    </xf>
    <xf numFmtId="0" fontId="8" fillId="2" borderId="0" xfId="0" applyFont="1" applyFill="1" applyAlignment="1" applyProtection="1">
      <alignment horizontal="left"/>
      <protection locked="0"/>
    </xf>
    <xf numFmtId="14" fontId="8" fillId="2" borderId="0" xfId="0" applyNumberFormat="1" applyFont="1" applyFill="1"/>
    <xf numFmtId="0" fontId="74" fillId="2" borderId="0" xfId="0" applyFont="1" applyFill="1" applyAlignment="1">
      <alignment horizontal="center" wrapText="1"/>
    </xf>
    <xf numFmtId="0" fontId="8" fillId="39" borderId="0" xfId="0" applyFont="1" applyFill="1"/>
    <xf numFmtId="14" fontId="21" fillId="17" borderId="0" xfId="0" applyNumberFormat="1" applyFont="1" applyFill="1" applyAlignment="1" applyProtection="1">
      <alignment horizontal="center" vertical="center"/>
      <protection locked="0" hidden="1"/>
    </xf>
    <xf numFmtId="0" fontId="8" fillId="0" borderId="0" xfId="0" applyFont="1"/>
    <xf numFmtId="0" fontId="20" fillId="0" borderId="0" xfId="0" applyFont="1" applyAlignment="1">
      <alignment vertical="center"/>
    </xf>
    <xf numFmtId="0" fontId="9" fillId="0" borderId="0" xfId="0" applyFont="1"/>
    <xf numFmtId="0" fontId="75" fillId="39" borderId="357" xfId="0" applyFont="1" applyFill="1" applyBorder="1" applyProtection="1">
      <protection locked="0"/>
    </xf>
    <xf numFmtId="0" fontId="75" fillId="0" borderId="0" xfId="0" applyFont="1" applyProtection="1">
      <protection locked="0"/>
    </xf>
    <xf numFmtId="0" fontId="75" fillId="39" borderId="358" xfId="0" applyFont="1" applyFill="1" applyBorder="1" applyProtection="1">
      <protection locked="0"/>
    </xf>
    <xf numFmtId="49" fontId="75" fillId="39" borderId="358" xfId="0" applyNumberFormat="1" applyFont="1" applyFill="1" applyBorder="1" applyProtection="1">
      <protection locked="0"/>
    </xf>
    <xf numFmtId="16" fontId="75" fillId="39" borderId="358" xfId="0" applyNumberFormat="1" applyFont="1" applyFill="1" applyBorder="1" applyProtection="1">
      <protection locked="0"/>
    </xf>
    <xf numFmtId="0" fontId="75" fillId="40" borderId="0" xfId="0" applyFont="1" applyFill="1" applyProtection="1">
      <protection locked="0"/>
    </xf>
    <xf numFmtId="0" fontId="75" fillId="0" borderId="0" xfId="0" applyFont="1" applyAlignment="1" applyProtection="1">
      <alignment vertical="center"/>
      <protection locked="0"/>
    </xf>
    <xf numFmtId="14" fontId="34" fillId="14" borderId="57" xfId="0" quotePrefix="1" applyNumberFormat="1" applyFont="1" applyFill="1" applyBorder="1" applyAlignment="1" applyProtection="1">
      <alignment horizontal="center" vertical="center"/>
      <protection hidden="1"/>
    </xf>
    <xf numFmtId="14" fontId="34" fillId="14" borderId="60" xfId="0" quotePrefix="1" applyNumberFormat="1" applyFont="1" applyFill="1" applyBorder="1" applyAlignment="1" applyProtection="1">
      <alignment horizontal="center" vertical="center"/>
      <protection hidden="1"/>
    </xf>
    <xf numFmtId="14" fontId="33" fillId="14" borderId="57" xfId="0" quotePrefix="1" applyNumberFormat="1" applyFont="1" applyFill="1" applyBorder="1" applyAlignment="1" applyProtection="1">
      <alignment horizontal="center" vertical="center"/>
      <protection hidden="1"/>
    </xf>
    <xf numFmtId="14" fontId="33" fillId="14" borderId="63" xfId="0" applyNumberFormat="1" applyFont="1" applyFill="1" applyBorder="1" applyAlignment="1" applyProtection="1">
      <alignment horizontal="center" vertical="center"/>
      <protection hidden="1"/>
    </xf>
    <xf numFmtId="14" fontId="33" fillId="14" borderId="60" xfId="0" applyNumberFormat="1" applyFont="1" applyFill="1" applyBorder="1" applyAlignment="1" applyProtection="1">
      <alignment horizontal="center" vertical="center"/>
      <protection hidden="1"/>
    </xf>
    <xf numFmtId="14" fontId="33" fillId="14" borderId="63" xfId="0" quotePrefix="1" applyNumberFormat="1" applyFont="1" applyFill="1" applyBorder="1" applyAlignment="1" applyProtection="1">
      <alignment horizontal="center" vertical="center"/>
      <protection hidden="1"/>
    </xf>
    <xf numFmtId="14" fontId="33" fillId="14" borderId="60" xfId="0" quotePrefix="1" applyNumberFormat="1" applyFont="1" applyFill="1" applyBorder="1" applyAlignment="1" applyProtection="1">
      <alignment horizontal="center" vertical="center"/>
      <protection hidden="1"/>
    </xf>
    <xf numFmtId="0" fontId="20" fillId="17" borderId="0" xfId="0" applyFont="1" applyFill="1" applyAlignment="1" applyProtection="1">
      <alignment horizontal="center" vertical="center"/>
      <protection locked="0" hidden="1"/>
    </xf>
    <xf numFmtId="14" fontId="29" fillId="11" borderId="43" xfId="0" applyNumberFormat="1" applyFont="1" applyFill="1" applyBorder="1" applyAlignment="1" applyProtection="1">
      <alignment horizontal="center" vertical="center"/>
      <protection hidden="1"/>
    </xf>
    <xf numFmtId="14" fontId="29" fillId="11" borderId="49" xfId="0" applyNumberFormat="1" applyFont="1" applyFill="1" applyBorder="1" applyAlignment="1" applyProtection="1">
      <alignment horizontal="center" vertical="center"/>
      <protection hidden="1"/>
    </xf>
    <xf numFmtId="14" fontId="29" fillId="11" borderId="51" xfId="0" applyNumberFormat="1" applyFont="1" applyFill="1" applyBorder="1" applyAlignment="1" applyProtection="1">
      <alignment horizontal="center" vertical="center"/>
      <protection hidden="1"/>
    </xf>
    <xf numFmtId="14" fontId="29" fillId="22" borderId="108" xfId="0" applyNumberFormat="1" applyFont="1" applyFill="1" applyBorder="1" applyAlignment="1" applyProtection="1">
      <alignment horizontal="center" vertical="center"/>
      <protection hidden="1"/>
    </xf>
    <xf numFmtId="14" fontId="29" fillId="22" borderId="114" xfId="0" applyNumberFormat="1" applyFont="1" applyFill="1" applyBorder="1" applyAlignment="1" applyProtection="1">
      <alignment horizontal="center" vertical="center"/>
      <protection hidden="1"/>
    </xf>
    <xf numFmtId="14" fontId="29" fillId="22" borderId="116" xfId="0" applyNumberFormat="1" applyFont="1" applyFill="1" applyBorder="1" applyAlignment="1" applyProtection="1">
      <alignment horizontal="center" vertical="center"/>
      <protection hidden="1"/>
    </xf>
    <xf numFmtId="14" fontId="29" fillId="20" borderId="94" xfId="0" applyNumberFormat="1" applyFont="1" applyFill="1" applyBorder="1" applyAlignment="1" applyProtection="1">
      <alignment horizontal="center" vertical="center"/>
      <protection hidden="1"/>
    </xf>
    <xf numFmtId="14" fontId="29" fillId="20" borderId="100" xfId="0" applyNumberFormat="1" applyFont="1" applyFill="1" applyBorder="1" applyAlignment="1" applyProtection="1">
      <alignment horizontal="center" vertical="center"/>
      <protection hidden="1"/>
    </xf>
    <xf numFmtId="14" fontId="29" fillId="20" borderId="102" xfId="0" applyNumberFormat="1" applyFont="1" applyFill="1" applyBorder="1" applyAlignment="1" applyProtection="1">
      <alignment horizontal="center" vertical="center"/>
      <protection hidden="1"/>
    </xf>
    <xf numFmtId="14" fontId="29" fillId="24" borderId="122" xfId="0" applyNumberFormat="1" applyFont="1" applyFill="1" applyBorder="1" applyAlignment="1" applyProtection="1">
      <alignment horizontal="center" vertical="center"/>
      <protection hidden="1"/>
    </xf>
    <xf numFmtId="14" fontId="29" fillId="24" borderId="128" xfId="0" applyNumberFormat="1" applyFont="1" applyFill="1" applyBorder="1" applyAlignment="1" applyProtection="1">
      <alignment horizontal="center" vertical="center"/>
      <protection hidden="1"/>
    </xf>
    <xf numFmtId="14" fontId="29" fillId="24" borderId="130" xfId="0" applyNumberFormat="1" applyFont="1" applyFill="1" applyBorder="1" applyAlignment="1" applyProtection="1">
      <alignment horizontal="center" vertical="center"/>
      <protection hidden="1"/>
    </xf>
    <xf numFmtId="14" fontId="29" fillId="27" borderId="144" xfId="0" applyNumberFormat="1" applyFont="1" applyFill="1" applyBorder="1" applyAlignment="1" applyProtection="1">
      <alignment horizontal="center" vertical="center"/>
      <protection hidden="1"/>
    </xf>
    <xf numFmtId="14" fontId="29" fillId="27" borderId="146" xfId="0" applyNumberFormat="1" applyFont="1" applyFill="1" applyBorder="1" applyAlignment="1" applyProtection="1">
      <alignment horizontal="center" vertical="center"/>
      <protection hidden="1"/>
    </xf>
    <xf numFmtId="14" fontId="29" fillId="27" borderId="148" xfId="0" applyNumberFormat="1" applyFont="1" applyFill="1" applyBorder="1" applyAlignment="1" applyProtection="1">
      <alignment horizontal="center" vertical="center"/>
      <protection hidden="1"/>
    </xf>
    <xf numFmtId="0" fontId="18" fillId="19" borderId="7" xfId="0" applyFont="1" applyFill="1" applyBorder="1" applyAlignment="1" applyProtection="1">
      <alignment horizontal="center" vertical="center" wrapText="1"/>
      <protection hidden="1"/>
    </xf>
    <xf numFmtId="0" fontId="18" fillId="19" borderId="8" xfId="0" applyFont="1" applyFill="1" applyBorder="1" applyAlignment="1" applyProtection="1">
      <alignment horizontal="center" vertical="center" wrapText="1"/>
      <protection hidden="1"/>
    </xf>
    <xf numFmtId="0" fontId="18" fillId="19" borderId="9" xfId="0" applyFont="1" applyFill="1" applyBorder="1" applyAlignment="1" applyProtection="1">
      <alignment horizontal="center" vertical="center" wrapText="1"/>
      <protection hidden="1"/>
    </xf>
    <xf numFmtId="0" fontId="18" fillId="19" borderId="10" xfId="0" applyFont="1" applyFill="1" applyBorder="1" applyAlignment="1" applyProtection="1">
      <alignment horizontal="center" vertical="center" wrapText="1"/>
      <protection hidden="1"/>
    </xf>
    <xf numFmtId="0" fontId="18" fillId="19" borderId="0" xfId="0" applyFont="1" applyFill="1" applyAlignment="1" applyProtection="1">
      <alignment horizontal="center" vertical="center" wrapText="1"/>
      <protection hidden="1"/>
    </xf>
    <xf numFmtId="0" fontId="18" fillId="19" borderId="11" xfId="0" applyFont="1" applyFill="1" applyBorder="1" applyAlignment="1" applyProtection="1">
      <alignment horizontal="center" vertical="center" wrapText="1"/>
      <protection hidden="1"/>
    </xf>
    <xf numFmtId="0" fontId="21" fillId="19" borderId="10" xfId="0" applyFont="1" applyFill="1" applyBorder="1" applyAlignment="1">
      <alignment horizontal="center" vertical="center" wrapText="1"/>
    </xf>
    <xf numFmtId="0" fontId="21" fillId="19" borderId="0" xfId="0" applyFont="1" applyFill="1" applyAlignment="1">
      <alignment horizontal="center" vertical="center" wrapText="1"/>
    </xf>
    <xf numFmtId="0" fontId="21" fillId="19" borderId="11" xfId="0" applyFont="1" applyFill="1" applyBorder="1" applyAlignment="1">
      <alignment horizontal="center" vertical="center" wrapText="1"/>
    </xf>
    <xf numFmtId="0" fontId="21" fillId="19" borderId="12" xfId="0" applyFont="1" applyFill="1" applyBorder="1" applyAlignment="1">
      <alignment horizontal="center" vertical="center" wrapText="1"/>
    </xf>
    <xf numFmtId="0" fontId="21" fillId="19" borderId="13" xfId="0" applyFont="1" applyFill="1" applyBorder="1" applyAlignment="1">
      <alignment horizontal="center" vertical="center" wrapText="1"/>
    </xf>
    <xf numFmtId="0" fontId="21" fillId="19" borderId="14" xfId="0" applyFont="1" applyFill="1" applyBorder="1" applyAlignment="1">
      <alignment horizontal="center" vertical="center" wrapText="1"/>
    </xf>
    <xf numFmtId="0" fontId="39" fillId="19" borderId="91" xfId="0" applyFont="1" applyFill="1" applyBorder="1" applyAlignment="1" applyProtection="1">
      <alignment horizontal="center" vertical="center"/>
      <protection locked="0"/>
    </xf>
    <xf numFmtId="0" fontId="39" fillId="19" borderId="89" xfId="0" applyFont="1" applyFill="1" applyBorder="1" applyAlignment="1" applyProtection="1">
      <alignment horizontal="center" vertical="center"/>
      <protection locked="0"/>
    </xf>
    <xf numFmtId="0" fontId="39" fillId="19" borderId="92" xfId="0" applyFont="1" applyFill="1" applyBorder="1" applyAlignment="1" applyProtection="1">
      <alignment horizontal="center" vertical="center"/>
      <protection locked="0"/>
    </xf>
    <xf numFmtId="0" fontId="27" fillId="5" borderId="79" xfId="0" applyFont="1" applyFill="1" applyBorder="1" applyAlignment="1">
      <alignment horizontal="left" vertical="center"/>
    </xf>
    <xf numFmtId="0" fontId="27" fillId="5" borderId="77" xfId="0" applyFont="1" applyFill="1" applyBorder="1" applyAlignment="1">
      <alignment horizontal="left" vertical="center"/>
    </xf>
    <xf numFmtId="0" fontId="27" fillId="5" borderId="80" xfId="0" applyFont="1" applyFill="1" applyBorder="1" applyAlignment="1">
      <alignment horizontal="left" vertical="center"/>
    </xf>
    <xf numFmtId="0" fontId="19" fillId="6" borderId="5" xfId="0" applyFont="1" applyFill="1" applyBorder="1" applyAlignment="1">
      <alignment horizontal="left" vertical="center"/>
    </xf>
    <xf numFmtId="0" fontId="19" fillId="6" borderId="0" xfId="0" applyFont="1" applyFill="1" applyAlignment="1">
      <alignment horizontal="left" vertical="center"/>
    </xf>
    <xf numFmtId="0" fontId="19" fillId="6" borderId="82" xfId="0" applyFont="1" applyFill="1" applyBorder="1" applyAlignment="1">
      <alignment horizontal="left" vertical="center"/>
    </xf>
    <xf numFmtId="0" fontId="19" fillId="6" borderId="5" xfId="0" applyFont="1" applyFill="1" applyBorder="1" applyAlignment="1" applyProtection="1">
      <alignment horizontal="left" vertical="center"/>
      <protection locked="0" hidden="1"/>
    </xf>
    <xf numFmtId="0" fontId="19" fillId="6" borderId="0" xfId="0" applyFont="1" applyFill="1" applyAlignment="1" applyProtection="1">
      <alignment horizontal="left" vertical="center"/>
      <protection locked="0" hidden="1"/>
    </xf>
    <xf numFmtId="0" fontId="19" fillId="6" borderId="82" xfId="0" applyFont="1" applyFill="1" applyBorder="1" applyAlignment="1" applyProtection="1">
      <alignment horizontal="left" vertical="center"/>
      <protection locked="0" hidden="1"/>
    </xf>
    <xf numFmtId="0" fontId="27" fillId="5" borderId="79" xfId="0" applyFont="1" applyFill="1" applyBorder="1" applyAlignment="1" applyProtection="1">
      <alignment horizontal="left" vertical="center"/>
      <protection locked="0" hidden="1"/>
    </xf>
    <xf numFmtId="0" fontId="27" fillId="5" borderId="77" xfId="0" applyFont="1" applyFill="1" applyBorder="1" applyAlignment="1" applyProtection="1">
      <alignment horizontal="left" vertical="center"/>
      <protection locked="0" hidden="1"/>
    </xf>
    <xf numFmtId="0" fontId="27" fillId="5" borderId="80" xfId="0" applyFont="1" applyFill="1" applyBorder="1" applyAlignment="1" applyProtection="1">
      <alignment horizontal="left" vertical="center"/>
      <protection locked="0" hidden="1"/>
    </xf>
    <xf numFmtId="0" fontId="19" fillId="6" borderId="86" xfId="0" applyFont="1" applyFill="1" applyBorder="1" applyAlignment="1" applyProtection="1">
      <alignment horizontal="left" vertical="center"/>
      <protection locked="0" hidden="1"/>
    </xf>
    <xf numFmtId="0" fontId="19" fillId="6" borderId="84" xfId="0" applyFont="1" applyFill="1" applyBorder="1" applyAlignment="1" applyProtection="1">
      <alignment horizontal="left" vertical="center"/>
      <protection locked="0" hidden="1"/>
    </xf>
    <xf numFmtId="0" fontId="19" fillId="6" borderId="87" xfId="0" applyFont="1" applyFill="1" applyBorder="1" applyAlignment="1" applyProtection="1">
      <alignment horizontal="left" vertical="center"/>
      <protection locked="0" hidden="1"/>
    </xf>
    <xf numFmtId="0" fontId="19" fillId="6" borderId="86" xfId="0" applyFont="1" applyFill="1" applyBorder="1" applyAlignment="1">
      <alignment horizontal="left" vertical="center"/>
    </xf>
    <xf numFmtId="0" fontId="19" fillId="6" borderId="84" xfId="0" applyFont="1" applyFill="1" applyBorder="1" applyAlignment="1">
      <alignment horizontal="left" vertical="center"/>
    </xf>
    <xf numFmtId="0" fontId="19" fillId="6" borderId="87" xfId="0" applyFont="1" applyFill="1" applyBorder="1" applyAlignment="1">
      <alignment horizontal="left" vertical="center"/>
    </xf>
    <xf numFmtId="0" fontId="32" fillId="13" borderId="0" xfId="0" applyFont="1" applyFill="1" applyAlignment="1" applyProtection="1">
      <alignment horizontal="center" vertical="center" wrapText="1"/>
      <protection hidden="1"/>
    </xf>
    <xf numFmtId="14" fontId="29" fillId="29" borderId="158" xfId="0" applyNumberFormat="1" applyFont="1" applyFill="1" applyBorder="1" applyAlignment="1" applyProtection="1">
      <alignment horizontal="center" vertical="center"/>
      <protection hidden="1"/>
    </xf>
    <xf numFmtId="14" fontId="29" fillId="29" borderId="164" xfId="0" applyNumberFormat="1" applyFont="1" applyFill="1" applyBorder="1" applyAlignment="1" applyProtection="1">
      <alignment horizontal="center" vertical="center"/>
      <protection hidden="1"/>
    </xf>
    <xf numFmtId="14" fontId="29" fillId="29" borderId="166" xfId="0" applyNumberFormat="1" applyFont="1" applyFill="1" applyBorder="1" applyAlignment="1" applyProtection="1">
      <alignment horizontal="center" vertical="center"/>
      <protection hidden="1"/>
    </xf>
    <xf numFmtId="14" fontId="29" fillId="8" borderId="15" xfId="0" applyNumberFormat="1" applyFont="1" applyFill="1" applyBorder="1" applyAlignment="1" applyProtection="1">
      <alignment horizontal="center" vertical="center" textRotation="2"/>
      <protection hidden="1"/>
    </xf>
    <xf numFmtId="14" fontId="29" fillId="8" borderId="21" xfId="0" applyNumberFormat="1" applyFont="1" applyFill="1" applyBorder="1" applyAlignment="1" applyProtection="1">
      <alignment horizontal="center" vertical="center" textRotation="2"/>
      <protection hidden="1"/>
    </xf>
    <xf numFmtId="14" fontId="29" fillId="8" borderId="23" xfId="0" applyNumberFormat="1" applyFont="1" applyFill="1" applyBorder="1" applyAlignment="1" applyProtection="1">
      <alignment horizontal="center" vertical="center" textRotation="2"/>
      <protection hidden="1"/>
    </xf>
    <xf numFmtId="14" fontId="29" fillId="10" borderId="29" xfId="0" applyNumberFormat="1" applyFont="1" applyFill="1" applyBorder="1" applyAlignment="1" applyProtection="1">
      <alignment horizontal="center" vertical="center" textRotation="2"/>
      <protection hidden="1"/>
    </xf>
    <xf numFmtId="14" fontId="29" fillId="10" borderId="35" xfId="0" applyNumberFormat="1" applyFont="1" applyFill="1" applyBorder="1" applyAlignment="1" applyProtection="1">
      <alignment horizontal="center" vertical="center" textRotation="2"/>
      <protection hidden="1"/>
    </xf>
    <xf numFmtId="14" fontId="29" fillId="10" borderId="37" xfId="0" applyNumberFormat="1" applyFont="1" applyFill="1" applyBorder="1" applyAlignment="1" applyProtection="1">
      <alignment horizontal="center" vertical="center" textRotation="2"/>
      <protection hidden="1"/>
    </xf>
    <xf numFmtId="14" fontId="29" fillId="8" borderId="6" xfId="0" applyNumberFormat="1" applyFont="1" applyFill="1" applyBorder="1" applyAlignment="1" applyProtection="1">
      <alignment horizontal="center" vertical="center" textRotation="2"/>
      <protection hidden="1"/>
    </xf>
    <xf numFmtId="14" fontId="29" fillId="8" borderId="5" xfId="0" applyNumberFormat="1" applyFont="1" applyFill="1" applyBorder="1" applyAlignment="1" applyProtection="1">
      <alignment horizontal="center" vertical="center" textRotation="2"/>
      <protection hidden="1"/>
    </xf>
    <xf numFmtId="0" fontId="12" fillId="13" borderId="348" xfId="0" applyFont="1" applyFill="1" applyBorder="1" applyAlignment="1">
      <alignment horizontal="center" vertical="center" wrapText="1"/>
    </xf>
    <xf numFmtId="0" fontId="12" fillId="13" borderId="349" xfId="0" applyFont="1" applyFill="1" applyBorder="1" applyAlignment="1">
      <alignment horizontal="center" vertical="center" wrapText="1"/>
    </xf>
    <xf numFmtId="0" fontId="8" fillId="13" borderId="350" xfId="27" applyFont="1" applyFill="1" applyBorder="1" applyAlignment="1" applyProtection="1">
      <alignment horizontal="center" vertical="center"/>
      <protection locked="0" hidden="1"/>
    </xf>
    <xf numFmtId="0" fontId="8" fillId="13" borderId="351" xfId="27" applyFont="1" applyFill="1" applyBorder="1" applyAlignment="1" applyProtection="1">
      <alignment horizontal="center" vertical="center"/>
      <protection locked="0" hidden="1"/>
    </xf>
    <xf numFmtId="0" fontId="8" fillId="13" borderId="352" xfId="27" applyFont="1" applyFill="1" applyBorder="1" applyAlignment="1" applyProtection="1">
      <alignment horizontal="center" vertical="center"/>
      <protection locked="0" hidden="1"/>
    </xf>
    <xf numFmtId="0" fontId="8" fillId="13" borderId="353" xfId="27" applyFont="1" applyFill="1" applyBorder="1" applyAlignment="1" applyProtection="1">
      <alignment horizontal="center" vertical="center"/>
      <protection locked="0" hidden="1"/>
    </xf>
    <xf numFmtId="16" fontId="58" fillId="34" borderId="93" xfId="0" quotePrefix="1" applyNumberFormat="1" applyFont="1" applyFill="1" applyBorder="1" applyAlignment="1">
      <alignment horizontal="center" vertical="center" wrapText="1"/>
    </xf>
    <xf numFmtId="0" fontId="58" fillId="34" borderId="136" xfId="0" applyFont="1" applyFill="1" applyBorder="1" applyAlignment="1">
      <alignment horizontal="center" vertical="center" wrapText="1"/>
    </xf>
    <xf numFmtId="0" fontId="58" fillId="34" borderId="2" xfId="0" applyFont="1" applyFill="1" applyBorder="1" applyAlignment="1">
      <alignment horizontal="center" vertical="center" wrapText="1"/>
    </xf>
    <xf numFmtId="16" fontId="57" fillId="34" borderId="6" xfId="0" quotePrefix="1" applyNumberFormat="1" applyFont="1" applyFill="1" applyBorder="1" applyAlignment="1">
      <alignment horizontal="center" vertical="center"/>
    </xf>
    <xf numFmtId="0" fontId="57" fillId="34" borderId="5" xfId="0" applyFont="1" applyFill="1" applyBorder="1" applyAlignment="1">
      <alignment horizontal="center" vertical="center"/>
    </xf>
    <xf numFmtId="0" fontId="57" fillId="34" borderId="142" xfId="0" applyFont="1" applyFill="1" applyBorder="1" applyAlignment="1">
      <alignment horizontal="center" vertical="center"/>
    </xf>
    <xf numFmtId="0" fontId="29" fillId="10" borderId="5" xfId="0" applyFont="1" applyFill="1" applyBorder="1" applyAlignment="1" applyProtection="1">
      <alignment horizontal="center" vertical="center"/>
      <protection hidden="1"/>
    </xf>
    <xf numFmtId="0" fontId="29" fillId="11" borderId="5" xfId="0" applyFont="1" applyFill="1" applyBorder="1" applyAlignment="1" applyProtection="1">
      <alignment horizontal="center" vertical="center"/>
      <protection hidden="1"/>
    </xf>
    <xf numFmtId="0" fontId="29" fillId="22" borderId="5" xfId="0" applyFont="1" applyFill="1" applyBorder="1" applyAlignment="1" applyProtection="1">
      <alignment horizontal="center" vertical="center"/>
      <protection hidden="1"/>
    </xf>
    <xf numFmtId="0" fontId="29" fillId="24" borderId="5" xfId="0" applyFont="1" applyFill="1" applyBorder="1" applyAlignment="1" applyProtection="1">
      <alignment horizontal="center" vertical="center"/>
      <protection hidden="1"/>
    </xf>
    <xf numFmtId="0" fontId="29" fillId="29" borderId="5" xfId="0" applyFont="1" applyFill="1" applyBorder="1" applyAlignment="1" applyProtection="1">
      <alignment horizontal="center" vertical="center"/>
      <protection hidden="1"/>
    </xf>
    <xf numFmtId="0" fontId="29" fillId="29" borderId="142" xfId="0" applyFont="1" applyFill="1" applyBorder="1" applyAlignment="1" applyProtection="1">
      <alignment horizontal="center" vertical="center"/>
      <protection hidden="1"/>
    </xf>
    <xf numFmtId="16" fontId="60" fillId="34" borderId="93" xfId="0" quotePrefix="1" applyNumberFormat="1" applyFont="1" applyFill="1" applyBorder="1" applyAlignment="1">
      <alignment horizontal="center" vertical="center" wrapText="1"/>
    </xf>
    <xf numFmtId="0" fontId="60" fillId="34" borderId="2" xfId="0" applyFont="1" applyFill="1" applyBorder="1" applyAlignment="1">
      <alignment horizontal="center" vertical="center" wrapText="1"/>
    </xf>
    <xf numFmtId="0" fontId="29" fillId="20" borderId="5" xfId="0" applyFont="1" applyFill="1" applyBorder="1" applyAlignment="1" applyProtection="1">
      <alignment horizontal="center" vertical="center"/>
      <protection hidden="1"/>
    </xf>
    <xf numFmtId="0" fontId="29" fillId="27" borderId="5" xfId="0" applyFont="1" applyFill="1" applyBorder="1" applyAlignment="1" applyProtection="1">
      <alignment horizontal="center" vertical="center"/>
      <protection hidden="1"/>
    </xf>
    <xf numFmtId="16" fontId="59" fillId="34" borderId="93" xfId="0" quotePrefix="1" applyNumberFormat="1" applyFont="1" applyFill="1" applyBorder="1" applyAlignment="1">
      <alignment horizontal="center" vertical="center" wrapText="1"/>
    </xf>
    <xf numFmtId="0" fontId="59" fillId="34" borderId="136" xfId="0" applyFont="1" applyFill="1" applyBorder="1" applyAlignment="1">
      <alignment horizontal="center" vertical="center" wrapText="1"/>
    </xf>
    <xf numFmtId="0" fontId="59" fillId="34" borderId="2" xfId="0" applyFont="1" applyFill="1" applyBorder="1" applyAlignment="1">
      <alignment horizontal="center" vertical="center" wrapText="1"/>
    </xf>
    <xf numFmtId="16" fontId="57" fillId="34" borderId="5" xfId="0" quotePrefix="1" applyNumberFormat="1" applyFont="1" applyFill="1" applyBorder="1" applyAlignment="1">
      <alignment horizontal="center" vertical="center"/>
    </xf>
    <xf numFmtId="16" fontId="57" fillId="34" borderId="142" xfId="0" quotePrefix="1" applyNumberFormat="1" applyFont="1" applyFill="1" applyBorder="1" applyAlignment="1">
      <alignment horizontal="center" vertical="center"/>
    </xf>
    <xf numFmtId="0" fontId="0" fillId="35" borderId="0" xfId="0" applyFill="1" applyAlignment="1" applyProtection="1">
      <alignment horizontal="center"/>
      <protection locked="0" hidden="1"/>
    </xf>
    <xf numFmtId="0" fontId="38" fillId="2" borderId="0" xfId="90" applyFill="1" applyAlignment="1" applyProtection="1">
      <alignment horizontal="left" vertical="center" wrapText="1"/>
      <protection hidden="1"/>
    </xf>
  </cellXfs>
  <cellStyles count="91">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s>
  <dxfs count="143">
    <dxf>
      <font>
        <color theme="1"/>
      </font>
      <fill>
        <patternFill>
          <bgColor theme="0"/>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b val="0"/>
        <i val="0"/>
        <strike val="0"/>
        <condense val="0"/>
        <extend val="0"/>
        <outline val="0"/>
        <shadow val="0"/>
        <u val="none"/>
        <vertAlign val="baseline"/>
        <sz val="10"/>
        <color theme="0" tint="-0.14999847407452621"/>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protection locked="1" hidden="1"/>
    </dxf>
    <dxf>
      <font>
        <b val="0"/>
        <i val="0"/>
        <strike val="0"/>
        <condense val="0"/>
        <extend val="0"/>
        <outline val="0"/>
        <shadow val="0"/>
        <u val="none"/>
        <vertAlign val="baseline"/>
        <sz val="10"/>
        <color theme="0" tint="-0.14999847407452621"/>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protection locked="1" hidden="1"/>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strike val="0"/>
        <outline val="0"/>
        <shadow val="0"/>
        <u val="none"/>
        <vertAlign val="baseline"/>
        <sz val="11"/>
        <color theme="0" tint="-0.14999847407452621"/>
        <name val="Calibri"/>
        <family val="2"/>
        <scheme val="minor"/>
      </font>
      <fill>
        <patternFill>
          <fgColor rgb="FF000000"/>
          <bgColor rgb="FFD9D9D9"/>
        </patternFill>
      </fill>
      <alignment horizontal="center" vertical="center" textRotation="0" wrapText="0" indent="0" justifyLastLine="0" shrinkToFit="0" readingOrder="0"/>
      <protection locked="1" hidden="1"/>
    </dxf>
    <dxf>
      <font>
        <b/>
      </font>
      <numFmt numFmtId="0" formatCode="General"/>
      <fill>
        <patternFill>
          <fgColor indexed="64"/>
          <bgColor theme="0" tint="-0.14999847407452621"/>
        </patternFill>
      </fill>
      <alignment horizontal="center" vertical="center" textRotation="0" wrapText="0" indent="0" justifyLastLine="0" shrinkToFit="0" readingOrder="0"/>
      <protection locked="1" hidden="1"/>
    </dxf>
    <dxf>
      <numFmt numFmtId="0" formatCode="General"/>
      <fill>
        <patternFill>
          <fgColor indexed="64"/>
          <bgColor theme="0" tint="-0.14999847407452621"/>
        </patternFill>
      </fill>
      <alignment horizontal="center" vertical="center" textRotation="0" wrapText="0" indent="0" justifyLastLine="0" shrinkToFit="0" readingOrder="0"/>
      <protection locked="1" hidden="1"/>
    </dxf>
    <dxf>
      <numFmt numFmtId="0" formatCode="General"/>
      <fill>
        <patternFill>
          <fgColor indexed="64"/>
          <bgColor theme="0" tint="-0.14999847407452621"/>
        </patternFill>
      </fill>
      <alignment horizontal="center" vertical="center" textRotation="0" wrapText="0" indent="0" justifyLastLine="0" shrinkToFit="0" readingOrder="0"/>
      <protection locked="1" hidden="1"/>
    </dxf>
    <dxf>
      <fill>
        <patternFill>
          <fgColor rgb="FF000000"/>
          <bgColor rgb="FFD9D9D9"/>
        </patternFill>
      </fill>
      <alignment horizontal="center" vertical="center" textRotation="0" wrapText="0" indent="0" justifyLastLine="0" shrinkToFit="0" readingOrder="0"/>
      <protection locked="1" hidden="1"/>
    </dxf>
    <dxf>
      <border>
        <bottom style="thin">
          <color theme="0" tint="-0.14999847407452621"/>
        </bottom>
      </border>
    </dxf>
    <dxf>
      <font>
        <strike val="0"/>
        <outline val="0"/>
        <shadow val="0"/>
        <u val="none"/>
        <vertAlign val="baseline"/>
        <sz val="16"/>
        <color theme="0"/>
        <name val="Calibri"/>
        <family val="2"/>
        <scheme val="minor"/>
      </font>
      <fill>
        <patternFill patternType="solid">
          <fgColor indexed="64"/>
          <bgColor rgb="FFA10E23"/>
        </patternFill>
      </fill>
      <alignment horizontal="center" vertical="center" textRotation="0" wrapText="0" indent="0" justifyLastLine="0" shrinkToFit="0" readingOrder="0"/>
      <border diagonalUp="0" diagonalDown="0" outline="0">
        <left/>
        <right/>
        <top/>
        <bottom/>
      </border>
      <protection locked="1" hidden="1"/>
    </dxf>
    <dxf>
      <font>
        <color theme="1"/>
      </font>
      <fill>
        <patternFill>
          <bgColor theme="0"/>
        </patternFill>
      </fill>
    </dxf>
    <dxf>
      <alignment horizontal="center" vertical="center" textRotation="0" wrapText="0" indent="0" justifyLastLine="0" shrinkToFit="0" readingOrder="0"/>
      <protection locked="0" hidden="0"/>
    </dxf>
    <dxf>
      <font>
        <strike val="0"/>
        <outline val="0"/>
        <shadow val="0"/>
        <u val="none"/>
        <vertAlign val="baseline"/>
        <sz val="10"/>
        <name val="Calibri"/>
        <scheme val="minor"/>
      </font>
      <alignment horizontal="general" vertical="center" textRotation="0" wrapText="0" indent="0" justifyLastLine="0" shrinkToFit="0" readingOrder="0"/>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0"/>
        <name val="Calibri"/>
        <family val="2"/>
        <scheme val="minor"/>
      </font>
      <fill>
        <patternFill patternType="solid">
          <fgColor indexed="64"/>
          <bgColor theme="0"/>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0"/>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0"/>
        </patternFill>
      </fill>
      <alignment horizontal="left"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0"/>
        </patternFill>
      </fill>
      <alignment horizontal="left" vertical="bottom" textRotation="0" wrapText="0" indent="0" justifyLastLine="0" shrinkToFit="0" readingOrder="0"/>
    </dxf>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numFmt numFmtId="3" formatCode="#,##0"/>
      <fill>
        <patternFill patternType="solid">
          <fgColor indexed="64"/>
          <bgColor theme="0"/>
        </patternFill>
      </fill>
      <protection locked="1" hidden="1"/>
    </dxf>
    <dxf>
      <font>
        <b val="0"/>
        <i val="0"/>
        <strike val="0"/>
        <condense val="0"/>
        <extend val="0"/>
        <outline val="0"/>
        <shadow val="0"/>
        <u val="none"/>
        <vertAlign val="baseline"/>
        <sz val="11"/>
        <color theme="0"/>
        <name val="Calibri"/>
        <family val="2"/>
        <scheme val="minor"/>
      </font>
      <fill>
        <patternFill patternType="solid">
          <fgColor indexed="64"/>
          <bgColor theme="0"/>
        </patternFill>
      </fill>
      <protection locked="1" hidden="1"/>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1"/>
        <color theme="0"/>
        <name val="Calibri"/>
        <family val="2"/>
        <scheme val="minor"/>
      </font>
    </dxf>
    <dxf>
      <border outline="0">
        <bottom style="thin">
          <color auto="1"/>
        </bottom>
      </border>
    </dxf>
    <dxf>
      <font>
        <strike val="0"/>
        <outline val="0"/>
        <shadow val="0"/>
        <u val="none"/>
        <vertAlign val="baseline"/>
        <sz val="11"/>
        <color theme="0"/>
        <name val="Calibri"/>
        <family val="2"/>
        <scheme val="minor"/>
      </font>
      <fill>
        <patternFill patternType="solid">
          <fgColor indexed="64"/>
          <bgColor theme="0"/>
        </patternFill>
      </fill>
      <protection locked="1" hidden="1"/>
    </dxf>
    <dxf>
      <font>
        <b val="0"/>
        <i val="0"/>
        <color theme="0"/>
      </font>
      <fill>
        <patternFill patternType="solid">
          <fgColor indexed="64"/>
          <bgColor rgb="FFFEC236"/>
        </patternFill>
      </fill>
    </dxf>
    <dxf>
      <font>
        <b val="0"/>
        <i val="0"/>
        <color theme="0"/>
      </font>
      <fill>
        <patternFill patternType="solid">
          <fgColor indexed="64"/>
          <bgColor rgb="FFFEC236"/>
        </patternFill>
      </fill>
    </dxf>
    <dxf>
      <fill>
        <patternFill>
          <bgColor theme="0" tint="-0.14996795556505021"/>
        </patternFill>
      </fill>
      <border>
        <left style="thin">
          <color theme="0"/>
        </left>
        <right style="thin">
          <color theme="0"/>
        </right>
      </border>
    </dxf>
    <dxf>
      <font>
        <color theme="0"/>
      </font>
      <fill>
        <patternFill>
          <bgColor theme="0" tint="-0.14996795556505021"/>
        </patternFill>
      </fill>
      <border>
        <left style="thin">
          <color theme="0"/>
        </left>
        <right style="thin">
          <color theme="0"/>
        </right>
      </border>
    </dxf>
    <dxf>
      <fill>
        <patternFill>
          <bgColor theme="0" tint="-0.14996795556505021"/>
        </patternFill>
      </fill>
      <border>
        <left style="thin">
          <color theme="0"/>
        </left>
        <right style="thin">
          <color theme="0"/>
        </right>
        <top style="thin">
          <color theme="0"/>
        </top>
      </border>
    </dxf>
    <dxf>
      <fill>
        <patternFill>
          <bgColor theme="0" tint="-0.14996795556505021"/>
        </patternFill>
      </fill>
      <border>
        <left style="thin">
          <color theme="0"/>
        </left>
        <right style="thin">
          <color theme="0"/>
        </right>
        <bottom style="thin">
          <color theme="0"/>
        </bottom>
      </border>
    </dxf>
    <dxf>
      <font>
        <b val="0"/>
        <i val="0"/>
        <color theme="0"/>
      </font>
      <fill>
        <patternFill patternType="solid">
          <fgColor indexed="64"/>
          <bgColor theme="4" tint="0.39994506668294322"/>
        </patternFill>
      </fill>
    </dxf>
    <dxf>
      <font>
        <b val="0"/>
        <i val="0"/>
        <color theme="0"/>
      </font>
      <fill>
        <patternFill patternType="solid">
          <fgColor indexed="64"/>
          <bgColor theme="4" tint="0.39994506668294322"/>
        </patternFill>
      </fill>
    </dxf>
    <dxf>
      <font>
        <b val="0"/>
        <i val="0"/>
        <color theme="0"/>
      </font>
      <fill>
        <patternFill patternType="solid">
          <fgColor indexed="64"/>
          <bgColor theme="4" tint="0.39994506668294322"/>
        </patternFill>
      </fill>
    </dxf>
    <dxf>
      <font>
        <color theme="0"/>
      </font>
      <border>
        <left style="thin">
          <color theme="0"/>
        </left>
        <right style="thin">
          <color theme="0"/>
        </right>
        <top style="thin">
          <color theme="0"/>
        </top>
        <bottom style="thin">
          <color theme="0"/>
        </bottom>
        <vertical/>
        <horizontal/>
      </border>
    </dxf>
    <dxf>
      <font>
        <color theme="0"/>
      </font>
      <fill>
        <patternFill>
          <bgColor theme="4"/>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rder>
    </dxf>
    <dxf>
      <fill>
        <patternFill>
          <bgColor theme="0" tint="-0.14996795556505021"/>
        </patternFill>
      </fill>
      <border>
        <left style="thin">
          <color theme="0"/>
        </left>
        <right style="thin">
          <color theme="0"/>
        </right>
        <bottom style="thin">
          <color theme="0"/>
        </bottom>
      </border>
    </dxf>
    <dxf>
      <font>
        <b val="0"/>
        <i val="0"/>
        <color theme="0"/>
      </font>
      <fill>
        <patternFill patternType="solid">
          <fgColor indexed="64"/>
          <bgColor rgb="FF2F75B5"/>
        </patternFill>
      </fill>
    </dxf>
    <dxf>
      <font>
        <b val="0"/>
        <i val="0"/>
        <color theme="0"/>
      </font>
      <fill>
        <patternFill patternType="solid">
          <fgColor indexed="64"/>
          <bgColor rgb="FF2F75B5"/>
        </patternFill>
      </fill>
    </dxf>
    <dxf>
      <font>
        <b val="0"/>
        <i val="0"/>
        <color theme="0"/>
      </font>
      <fill>
        <patternFill patternType="solid">
          <fgColor indexed="64"/>
          <bgColor rgb="FF2F75B5"/>
        </patternFill>
      </fill>
    </dxf>
    <dxf>
      <font>
        <color theme="0"/>
      </font>
      <border>
        <left style="thin">
          <color theme="0"/>
        </left>
        <right style="thin">
          <color theme="0"/>
        </right>
        <top style="thin">
          <color theme="0"/>
        </top>
        <bottom style="thin">
          <color theme="0"/>
        </bottom>
        <vertical/>
        <horizontal/>
      </border>
    </dxf>
    <dxf>
      <font>
        <color theme="0"/>
      </font>
      <fill>
        <patternFill>
          <bgColor rgb="FF1F4E78"/>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rder>
    </dxf>
    <dxf>
      <fill>
        <patternFill>
          <bgColor theme="0" tint="-0.14996795556505021"/>
        </patternFill>
      </fill>
      <border>
        <left style="thin">
          <color theme="0"/>
        </left>
        <right style="thin">
          <color theme="0"/>
        </right>
        <bottom style="thin">
          <color theme="0"/>
        </bottom>
      </border>
    </dxf>
    <dxf>
      <font>
        <color rgb="FF9C0006"/>
      </font>
      <fill>
        <patternFill>
          <bgColor rgb="FFFFC7CE"/>
        </patternFill>
      </fill>
    </dxf>
    <dxf>
      <fill>
        <patternFill>
          <bgColor theme="0" tint="-0.14996795556505021"/>
        </patternFill>
      </fill>
      <border>
        <left style="thin">
          <color theme="0"/>
        </left>
        <right style="thin">
          <color theme="0"/>
        </right>
        <top style="thin">
          <color theme="0"/>
        </top>
      </border>
    </dxf>
    <dxf>
      <fill>
        <patternFill>
          <bgColor theme="0" tint="-0.14996795556505021"/>
        </patternFill>
      </fill>
      <border>
        <left style="thin">
          <color theme="0"/>
        </left>
        <right style="thin">
          <color theme="0"/>
        </right>
        <bottom style="thin">
          <color theme="0"/>
        </bottom>
      </border>
    </dxf>
    <dxf>
      <fill>
        <patternFill>
          <bgColor theme="0" tint="-0.14996795556505021"/>
        </patternFill>
      </fill>
      <border>
        <left style="thin">
          <color theme="0"/>
        </left>
        <right style="thin">
          <color theme="0"/>
        </right>
        <top style="thin">
          <color theme="0"/>
        </top>
      </border>
    </dxf>
    <dxf>
      <fill>
        <patternFill>
          <bgColor theme="0" tint="-0.14996795556505021"/>
        </patternFill>
      </fill>
      <border>
        <left style="thin">
          <color theme="0"/>
        </left>
        <right style="thin">
          <color theme="0"/>
        </right>
        <bottom style="thin">
          <color theme="0"/>
        </bottom>
      </border>
    </dxf>
    <dxf>
      <fill>
        <patternFill>
          <bgColor theme="0" tint="-0.14996795556505021"/>
        </patternFill>
      </fill>
      <border>
        <left style="thin">
          <color theme="0"/>
        </left>
        <right style="thin">
          <color theme="0"/>
        </right>
        <top style="thin">
          <color theme="0"/>
        </top>
      </border>
    </dxf>
    <dxf>
      <fill>
        <patternFill>
          <bgColor theme="0" tint="-0.14996795556505021"/>
        </patternFill>
      </fill>
      <border>
        <left style="thin">
          <color theme="0"/>
        </left>
        <right style="thin">
          <color theme="0"/>
        </right>
        <bottom style="thin">
          <color theme="0"/>
        </bottom>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rder>
    </dxf>
    <dxf>
      <font>
        <color theme="0"/>
      </font>
      <fill>
        <patternFill patternType="solid">
          <fgColor indexed="64"/>
          <bgColor rgb="FFCECECE"/>
        </patternFill>
      </fill>
      <border>
        <left style="thin">
          <color theme="0"/>
        </left>
        <right style="thin">
          <color theme="0"/>
        </right>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rder>
    </dxf>
    <dxf>
      <font>
        <color theme="0"/>
      </font>
      <fill>
        <patternFill patternType="solid">
          <fgColor indexed="64"/>
          <bgColor rgb="FFCECECE"/>
        </patternFill>
      </fill>
      <border>
        <left style="thin">
          <color theme="0"/>
        </left>
        <right style="thin">
          <color theme="0"/>
        </right>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rder>
    </dxf>
    <dxf>
      <font>
        <color theme="0"/>
      </font>
      <fill>
        <patternFill patternType="solid">
          <fgColor indexed="64"/>
          <bgColor rgb="FFCECECE"/>
        </patternFill>
      </fill>
      <border>
        <left style="thin">
          <color theme="0"/>
        </left>
        <right style="thin">
          <color theme="0"/>
        </right>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rder>
    </dxf>
    <dxf>
      <font>
        <color theme="0"/>
      </font>
      <fill>
        <patternFill patternType="solid">
          <fgColor indexed="64"/>
          <bgColor rgb="FFCECECE"/>
        </patternFill>
      </fill>
      <border>
        <left style="thin">
          <color theme="0"/>
        </left>
        <right style="thin">
          <color theme="0"/>
        </right>
        <bottom style="thin">
          <color theme="0"/>
        </bottom>
      </border>
    </dxf>
    <dxf>
      <font>
        <b val="0"/>
        <i val="0"/>
        <color theme="0"/>
      </font>
      <fill>
        <patternFill patternType="solid">
          <fgColor indexed="64"/>
          <bgColor rgb="FFC9C9C9"/>
        </patternFill>
      </fill>
    </dxf>
    <dxf>
      <font>
        <b val="0"/>
        <i val="0"/>
        <color theme="0"/>
      </font>
      <fill>
        <patternFill patternType="solid">
          <fgColor indexed="64"/>
          <bgColor rgb="FFC9C9C9"/>
        </patternFill>
      </fill>
    </dxf>
    <dxf>
      <font>
        <b val="0"/>
        <i val="0"/>
        <color theme="0"/>
      </font>
      <fill>
        <patternFill patternType="solid">
          <fgColor indexed="64"/>
          <bgColor rgb="FFC9C9C9"/>
        </patternFill>
      </fill>
    </dxf>
    <dxf>
      <font>
        <color theme="0"/>
      </font>
      <border>
        <left style="thin">
          <color theme="0"/>
        </left>
        <right style="thin">
          <color theme="0"/>
        </right>
        <top style="thin">
          <color theme="0"/>
        </top>
        <bottom style="thin">
          <color theme="0"/>
        </bottom>
        <vertical/>
        <horizontal/>
      </border>
    </dxf>
    <dxf>
      <font>
        <color theme="0"/>
      </font>
      <fill>
        <patternFill>
          <bgColor rgb="FF7B7B7B"/>
        </patternFill>
      </fill>
      <border>
        <left style="thin">
          <color theme="0"/>
        </left>
        <right style="thin">
          <color theme="0"/>
        </right>
        <top style="thin">
          <color theme="0"/>
        </top>
        <bottom style="thin">
          <color theme="0"/>
        </bottom>
      </border>
    </dxf>
    <dxf>
      <font>
        <b val="0"/>
        <i val="0"/>
        <color theme="0"/>
      </font>
      <fill>
        <patternFill patternType="solid">
          <fgColor indexed="64"/>
          <bgColor rgb="FFAB402E"/>
        </patternFill>
      </fill>
    </dxf>
    <dxf>
      <font>
        <b val="0"/>
        <i val="0"/>
        <color theme="0"/>
      </font>
      <fill>
        <patternFill patternType="solid">
          <fgColor indexed="64"/>
          <bgColor rgb="FFAB402E"/>
        </patternFill>
      </fill>
    </dxf>
    <dxf>
      <font>
        <b val="0"/>
        <i val="0"/>
        <color theme="0"/>
      </font>
      <fill>
        <patternFill patternType="solid">
          <fgColor indexed="64"/>
          <bgColor rgb="FFAB402E"/>
        </patternFill>
      </fill>
    </dxf>
    <dxf>
      <font>
        <color theme="0"/>
      </font>
      <border>
        <left style="thin">
          <color theme="0"/>
        </left>
        <right style="thin">
          <color theme="0"/>
        </right>
        <top style="thin">
          <color theme="0"/>
        </top>
        <bottom style="thin">
          <color theme="0"/>
        </bottom>
        <vertical/>
        <horizontal/>
      </border>
    </dxf>
    <dxf>
      <font>
        <color theme="0"/>
      </font>
      <fill>
        <patternFill>
          <bgColor rgb="FF963633"/>
        </patternFill>
      </fill>
      <border>
        <left style="thin">
          <color theme="0"/>
        </left>
        <right style="thin">
          <color theme="0"/>
        </right>
        <top style="thin">
          <color theme="0"/>
        </top>
        <bottom style="thin">
          <color theme="0"/>
        </bottom>
      </border>
    </dxf>
    <dxf>
      <font>
        <b val="0"/>
        <i val="0"/>
        <color theme="0"/>
      </font>
      <fill>
        <patternFill patternType="solid">
          <fgColor indexed="64"/>
          <bgColor rgb="FFF4B084"/>
        </patternFill>
      </fill>
    </dxf>
    <dxf>
      <font>
        <b val="0"/>
        <i val="0"/>
        <color theme="0"/>
      </font>
      <fill>
        <patternFill patternType="solid">
          <fgColor indexed="64"/>
          <bgColor rgb="FFF4B084"/>
        </patternFill>
      </fill>
    </dxf>
    <dxf>
      <font>
        <b val="0"/>
        <i val="0"/>
        <color theme="0"/>
      </font>
      <fill>
        <patternFill patternType="solid">
          <fgColor indexed="64"/>
          <bgColor rgb="FFF4B084"/>
        </patternFill>
      </fill>
    </dxf>
    <dxf>
      <font>
        <color theme="0"/>
      </font>
      <border>
        <left style="thin">
          <color theme="0"/>
        </left>
        <right style="thin">
          <color theme="0"/>
        </right>
        <top style="thin">
          <color theme="0"/>
        </top>
        <bottom style="thin">
          <color theme="0"/>
        </bottom>
        <vertical/>
        <horizontal/>
      </border>
    </dxf>
    <dxf>
      <font>
        <color theme="0"/>
      </font>
      <fill>
        <patternFill>
          <bgColor rgb="FFC65911"/>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top style="thin">
          <color theme="0"/>
        </top>
      </border>
    </dxf>
    <dxf>
      <font>
        <color theme="0"/>
      </font>
      <fill>
        <patternFill patternType="solid">
          <fgColor indexed="64"/>
          <bgColor rgb="FFCECECE"/>
        </patternFill>
      </fill>
      <border>
        <left style="thin">
          <color theme="0"/>
        </left>
        <right style="thin">
          <color theme="0"/>
        </right>
        <top style="thin">
          <color theme="0"/>
        </top>
      </border>
    </dxf>
    <dxf>
      <fill>
        <patternFill>
          <bgColor rgb="FFC4D79B"/>
        </patternFill>
      </fill>
    </dxf>
    <dxf>
      <fill>
        <patternFill>
          <bgColor theme="0" tint="-0.14996795556505021"/>
        </patternFill>
      </fill>
      <border>
        <left style="thin">
          <color theme="0"/>
        </left>
        <right style="thin">
          <color theme="0"/>
        </right>
      </border>
    </dxf>
    <dxf>
      <font>
        <color theme="0"/>
      </font>
      <fill>
        <patternFill>
          <bgColor theme="0" tint="-0.14996795556505021"/>
        </patternFill>
      </fill>
      <border>
        <left style="thin">
          <color theme="0"/>
        </left>
        <right style="thin">
          <color theme="0"/>
        </right>
      </border>
    </dxf>
    <dxf>
      <font>
        <b val="0"/>
        <i val="0"/>
        <color theme="0"/>
      </font>
      <fill>
        <patternFill patternType="solid">
          <fgColor indexed="64"/>
          <bgColor rgb="FF00B3C9"/>
        </patternFill>
      </fill>
    </dxf>
    <dxf>
      <font>
        <b val="0"/>
        <i val="0"/>
        <color theme="0"/>
      </font>
      <fill>
        <patternFill patternType="solid">
          <fgColor indexed="64"/>
          <bgColor rgb="FF00B3C9"/>
        </patternFill>
      </fill>
    </dxf>
    <dxf>
      <font>
        <b val="0"/>
        <i val="0"/>
        <color theme="0"/>
      </font>
      <fill>
        <patternFill patternType="solid">
          <fgColor indexed="64"/>
          <bgColor rgb="FF00B3C9"/>
        </patternFill>
      </fill>
    </dxf>
    <dxf>
      <font>
        <color theme="0"/>
      </font>
      <border>
        <left style="thin">
          <color theme="0"/>
        </left>
        <right style="thin">
          <color theme="0"/>
        </right>
        <top style="thin">
          <color theme="0"/>
        </top>
        <bottom style="thin">
          <color theme="0"/>
        </bottom>
        <vertical/>
        <horizontal/>
      </border>
    </dxf>
    <dxf>
      <font>
        <color theme="0"/>
      </font>
      <fill>
        <patternFill>
          <bgColor rgb="FF0098A6"/>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rder>
    </dxf>
    <dxf>
      <fill>
        <patternFill>
          <bgColor theme="0" tint="-0.14996795556505021"/>
        </patternFill>
      </fill>
      <border>
        <left style="thin">
          <color theme="0"/>
        </left>
        <right style="thin">
          <color theme="0"/>
        </right>
        <bottom style="thin">
          <color theme="0"/>
        </bottom>
      </border>
    </dxf>
    <dxf>
      <font>
        <b val="0"/>
        <i val="0"/>
        <color theme="0"/>
      </font>
      <fill>
        <patternFill patternType="solid">
          <fgColor indexed="64"/>
          <bgColor rgb="FFFEC236"/>
        </patternFill>
      </fill>
    </dxf>
    <dxf>
      <font>
        <color theme="0"/>
      </font>
      <border>
        <left style="thin">
          <color theme="0"/>
        </left>
        <right style="thin">
          <color theme="0"/>
        </right>
        <top style="thin">
          <color theme="0"/>
        </top>
        <bottom style="thin">
          <color theme="0"/>
        </bottom>
        <vertical/>
        <horizontal/>
      </border>
    </dxf>
    <dxf>
      <font>
        <color theme="0"/>
      </font>
      <fill>
        <patternFill>
          <bgColor rgb="FFFFA800"/>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rder>
    </dxf>
    <dxf>
      <fill>
        <patternFill>
          <bgColor theme="0" tint="-0.14996795556505021"/>
        </patternFill>
      </fill>
      <border>
        <left style="thin">
          <color theme="0"/>
        </left>
        <right style="thin">
          <color theme="0"/>
        </right>
        <bottom style="thin">
          <color theme="0"/>
        </bottom>
      </border>
    </dxf>
    <dxf>
      <font>
        <color theme="0"/>
      </font>
      <fill>
        <patternFill>
          <bgColor theme="0" tint="-0.14996795556505021"/>
        </patternFill>
      </fill>
      <border>
        <left style="thin">
          <color theme="0"/>
        </left>
        <right style="thin">
          <color theme="0"/>
        </right>
        <top style="thin">
          <color theme="0"/>
        </top>
      </border>
    </dxf>
    <dxf>
      <font>
        <b val="0"/>
        <i val="0"/>
        <color theme="0"/>
      </font>
      <fill>
        <patternFill patternType="solid">
          <fgColor indexed="64"/>
          <bgColor rgb="FF00A439"/>
        </patternFill>
      </fill>
    </dxf>
    <dxf>
      <font>
        <b val="0"/>
        <i val="0"/>
        <color theme="0"/>
      </font>
      <fill>
        <patternFill patternType="solid">
          <fgColor indexed="64"/>
          <bgColor rgb="FF00A439"/>
        </patternFill>
      </fill>
    </dxf>
    <dxf>
      <font>
        <b val="0"/>
        <i val="0"/>
        <color theme="0"/>
      </font>
      <fill>
        <patternFill patternType="solid">
          <fgColor indexed="64"/>
          <bgColor rgb="FF00A439"/>
        </patternFill>
      </fill>
    </dxf>
    <dxf>
      <font>
        <color theme="0"/>
      </font>
      <border>
        <left style="thin">
          <color theme="0"/>
        </left>
        <right style="thin">
          <color theme="0"/>
        </right>
        <top style="thin">
          <color theme="0"/>
        </top>
        <bottom style="thin">
          <color theme="0"/>
        </bottom>
        <vertical/>
        <horizontal/>
      </border>
    </dxf>
    <dxf>
      <font>
        <color theme="0"/>
      </font>
      <fill>
        <patternFill>
          <bgColor rgb="FF019535"/>
        </patternFill>
      </fill>
      <border>
        <left style="thin">
          <color theme="0"/>
        </left>
        <right style="thin">
          <color theme="0"/>
        </right>
        <top style="thin">
          <color theme="0"/>
        </top>
        <bottom style="thin">
          <color theme="0"/>
        </bottom>
      </border>
    </dxf>
    <dxf>
      <font>
        <color theme="0"/>
      </font>
      <fill>
        <patternFill patternType="solid">
          <fgColor indexed="64"/>
          <bgColor rgb="FFCECECE"/>
        </patternFill>
      </fill>
      <border>
        <left style="thin">
          <color theme="0"/>
        </left>
        <right style="thin">
          <color theme="0"/>
        </right>
        <bottom style="thin">
          <color theme="0"/>
        </bottom>
      </border>
    </dxf>
    <dxf>
      <fill>
        <patternFill>
          <bgColor theme="0" tint="-0.14996795556505021"/>
        </patternFill>
      </fill>
      <border>
        <left style="thin">
          <color theme="0"/>
        </left>
        <right style="thin">
          <color theme="0"/>
        </right>
        <top style="thin">
          <color theme="0"/>
        </top>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top style="thin">
          <color theme="0"/>
        </top>
        <bottom style="thin">
          <color theme="0"/>
        </bottom>
      </border>
    </dxf>
    <dxf>
      <fill>
        <patternFill>
          <bgColor theme="0" tint="-0.14996795556505021"/>
        </patternFill>
      </fill>
      <border>
        <left style="thin">
          <color theme="0"/>
        </left>
        <right style="thin">
          <color theme="0"/>
        </right>
        <bottom style="thin">
          <color theme="0"/>
        </bottom>
      </border>
    </dxf>
    <dxf>
      <fill>
        <patternFill>
          <bgColor theme="0" tint="-0.14996795556505021"/>
        </patternFill>
      </fill>
      <border>
        <left style="thin">
          <color theme="0"/>
        </left>
        <right style="thin">
          <color theme="0"/>
        </right>
        <top style="thin">
          <color theme="0"/>
        </top>
      </border>
    </dxf>
    <dxf>
      <font>
        <color theme="1"/>
      </font>
      <fill>
        <patternFill>
          <bgColor theme="0"/>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font>
        <color theme="0"/>
      </font>
      <fill>
        <patternFill>
          <bgColor theme="1"/>
        </patternFill>
      </fill>
    </dxf>
  </dxfs>
  <tableStyles count="1" defaultTableStyle="TableStyleMedium9" defaultPivotStyle="PivotStyleLight16">
    <tableStyle name="Estilo de tabla 1" pivot="0" count="3" xr9:uid="{68BC2EC6-FF04-5048-AACD-3D6782C543C8}">
      <tableStyleElement type="headerRow" dxfId="142"/>
      <tableStyleElement type="firstRowStripe" dxfId="141"/>
      <tableStyleElement type="secondRowStripe" dxfId="140"/>
    </tableStyle>
  </tableStyles>
  <colors>
    <mruColors>
      <color rgb="FF0056A4"/>
      <color rgb="FFF6A302"/>
      <color rgb="FF4B929C"/>
      <color rgb="FF7B7B7B"/>
      <color rgb="FF2F75B5"/>
      <color rgb="FF1F4E78"/>
      <color rgb="FF4F80BC"/>
      <color rgb="FFEEBB4C"/>
      <color rgb="FFC9C9C9"/>
      <color rgb="FFFEC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https://matejero.com/world-cup-excel-sweepstake/" TargetMode="External"/><Relationship Id="rId7" Type="http://schemas.openxmlformats.org/officeDocument/2006/relationships/hyperlink" Target="https://matejero.es/administrador-excel-mundial-2022/" TargetMode="External"/><Relationship Id="rId2" Type="http://schemas.openxmlformats.org/officeDocument/2006/relationships/hyperlink" Target="#MUNDIAL!K4"/><Relationship Id="rId1" Type="http://schemas.openxmlformats.org/officeDocument/2006/relationships/hyperlink" Target="https://www.linkedin.com/in/matejero" TargetMode="External"/><Relationship Id="rId6" Type="http://schemas.openxmlformats.org/officeDocument/2006/relationships/image" Target="../media/image2.png"/><Relationship Id="rId5" Type="http://schemas.openxmlformats.org/officeDocument/2006/relationships/image" Target="../media/image1.gif"/><Relationship Id="rId4" Type="http://schemas.openxmlformats.org/officeDocument/2006/relationships/hyperlink" Target="https://www.paypal.com/donate?business=PJ2B6ZBH7ZHR4&amp;currency_code=EUR"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1.gif"/><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https://matejero.es/administrador-excel-mundial-2022/" TargetMode="External"/></Relationships>
</file>

<file path=xl/drawings/drawing1.xml><?xml version="1.0" encoding="utf-8"?>
<xdr:wsDr xmlns:xdr="http://schemas.openxmlformats.org/drawingml/2006/spreadsheetDrawing" xmlns:a="http://schemas.openxmlformats.org/drawingml/2006/main">
  <xdr:twoCellAnchor>
    <xdr:from>
      <xdr:col>5</xdr:col>
      <xdr:colOff>428625</xdr:colOff>
      <xdr:row>6</xdr:row>
      <xdr:rowOff>174626</xdr:rowOff>
    </xdr:from>
    <xdr:to>
      <xdr:col>8</xdr:col>
      <xdr:colOff>152400</xdr:colOff>
      <xdr:row>8</xdr:row>
      <xdr:rowOff>111126</xdr:rowOff>
    </xdr:to>
    <xdr:sp macro="" textlink="">
      <xdr:nvSpPr>
        <xdr:cNvPr id="3" name="Rectángulo redondeado 5">
          <a:hlinkClick xmlns:r="http://schemas.openxmlformats.org/officeDocument/2006/relationships" r:id="rId1"/>
          <a:extLst>
            <a:ext uri="{FF2B5EF4-FFF2-40B4-BE49-F238E27FC236}">
              <a16:creationId xmlns:a16="http://schemas.microsoft.com/office/drawing/2014/main" id="{9746FF3D-34A0-40EB-BFC1-8351B4DF8103}"/>
            </a:ext>
          </a:extLst>
        </xdr:cNvPr>
        <xdr:cNvSpPr/>
      </xdr:nvSpPr>
      <xdr:spPr>
        <a:xfrm>
          <a:off x="4048125" y="1317626"/>
          <a:ext cx="1895475" cy="31750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b="1" baseline="0">
              <a:solidFill>
                <a:srgbClr val="FF0000"/>
              </a:solidFill>
            </a:rPr>
            <a:t>© </a:t>
          </a:r>
          <a:r>
            <a:rPr lang="es-ES" sz="1100" b="0" baseline="0">
              <a:solidFill>
                <a:srgbClr val="FF0000"/>
              </a:solidFill>
              <a:effectLst/>
              <a:latin typeface="+mn-lt"/>
              <a:ea typeface="+mn-ea"/>
              <a:cs typeface="+mn-cs"/>
            </a:rPr>
            <a:t>Miguel Angel Tejero. 2022</a:t>
          </a:r>
        </a:p>
        <a:p>
          <a:pPr marL="0" marR="0" lvl="0" indent="0" algn="ctr" defTabSz="914400" eaLnBrk="1" fontAlgn="auto" latinLnBrk="0" hangingPunct="1">
            <a:lnSpc>
              <a:spcPct val="100000"/>
            </a:lnSpc>
            <a:spcBef>
              <a:spcPts val="0"/>
            </a:spcBef>
            <a:spcAft>
              <a:spcPts val="0"/>
            </a:spcAft>
            <a:buClrTx/>
            <a:buSzTx/>
            <a:buFontTx/>
            <a:buNone/>
            <a:tabLst/>
            <a:defRPr/>
          </a:pPr>
          <a:endParaRPr lang="es-ES" b="0">
            <a:solidFill>
              <a:srgbClr val="FF0000"/>
            </a:solidFill>
            <a:effectLst/>
          </a:endParaRPr>
        </a:p>
        <a:p>
          <a:pPr algn="ctr"/>
          <a:r>
            <a:rPr lang="es-ES" sz="1100" b="1" baseline="0">
              <a:solidFill>
                <a:srgbClr val="FF0000"/>
              </a:solidFill>
            </a:rPr>
            <a:t> </a:t>
          </a:r>
          <a:endParaRPr lang="es-ES" sz="1100" b="1">
            <a:solidFill>
              <a:srgbClr val="FF0000"/>
            </a:solidFill>
          </a:endParaRPr>
        </a:p>
      </xdr:txBody>
    </xdr:sp>
    <xdr:clientData/>
  </xdr:twoCellAnchor>
  <xdr:twoCellAnchor>
    <xdr:from>
      <xdr:col>5</xdr:col>
      <xdr:colOff>409575</xdr:colOff>
      <xdr:row>4</xdr:row>
      <xdr:rowOff>41276</xdr:rowOff>
    </xdr:from>
    <xdr:to>
      <xdr:col>8</xdr:col>
      <xdr:colOff>180975</xdr:colOff>
      <xdr:row>5</xdr:row>
      <xdr:rowOff>168276</xdr:rowOff>
    </xdr:to>
    <xdr:sp macro="" textlink="">
      <xdr:nvSpPr>
        <xdr:cNvPr id="4" name="Rectángulo redondeado 5">
          <a:hlinkClick xmlns:r="http://schemas.openxmlformats.org/officeDocument/2006/relationships" r:id="rId2"/>
          <a:extLst>
            <a:ext uri="{FF2B5EF4-FFF2-40B4-BE49-F238E27FC236}">
              <a16:creationId xmlns:a16="http://schemas.microsoft.com/office/drawing/2014/main" id="{FF999FD2-9217-4020-8A98-38141898F163}"/>
            </a:ext>
          </a:extLst>
        </xdr:cNvPr>
        <xdr:cNvSpPr/>
      </xdr:nvSpPr>
      <xdr:spPr>
        <a:xfrm>
          <a:off x="4676775" y="803276"/>
          <a:ext cx="2247900" cy="317500"/>
        </a:xfrm>
        <a:prstGeom prst="roundRect">
          <a:avLst/>
        </a:prstGeom>
        <a:solidFill>
          <a:srgbClr val="28889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200" b="1" baseline="0">
              <a:solidFill>
                <a:schemeClr val="bg1"/>
              </a:solidFill>
            </a:rPr>
            <a:t>Introducir Resultados</a:t>
          </a:r>
          <a:endParaRPr lang="es-ES" sz="1200" b="0" baseline="0">
            <a:solidFill>
              <a:schemeClr val="bg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s-ES" b="0">
            <a:solidFill>
              <a:schemeClr val="bg1"/>
            </a:solidFill>
            <a:effectLst/>
          </a:endParaRPr>
        </a:p>
        <a:p>
          <a:pPr algn="ctr"/>
          <a:r>
            <a:rPr lang="es-ES" sz="1100" b="1" baseline="0">
              <a:solidFill>
                <a:schemeClr val="bg1"/>
              </a:solidFill>
            </a:rPr>
            <a:t> </a:t>
          </a:r>
          <a:endParaRPr lang="es-ES" sz="1100" b="1">
            <a:solidFill>
              <a:schemeClr val="bg1"/>
            </a:solidFill>
          </a:endParaRPr>
        </a:p>
      </xdr:txBody>
    </xdr:sp>
    <xdr:clientData/>
  </xdr:twoCellAnchor>
  <xdr:twoCellAnchor>
    <xdr:from>
      <xdr:col>1</xdr:col>
      <xdr:colOff>736600</xdr:colOff>
      <xdr:row>9</xdr:row>
      <xdr:rowOff>180976</xdr:rowOff>
    </xdr:from>
    <xdr:to>
      <xdr:col>3</xdr:col>
      <xdr:colOff>787400</xdr:colOff>
      <xdr:row>14</xdr:row>
      <xdr:rowOff>76200</xdr:rowOff>
    </xdr:to>
    <xdr:sp macro="" textlink="">
      <xdr:nvSpPr>
        <xdr:cNvPr id="9" name="Rectángulo redondeado 5">
          <a:extLst>
            <a:ext uri="{FF2B5EF4-FFF2-40B4-BE49-F238E27FC236}">
              <a16:creationId xmlns:a16="http://schemas.microsoft.com/office/drawing/2014/main" id="{F71B37F6-83F3-7D43-B66F-183C93F91B1E}"/>
            </a:ext>
          </a:extLst>
        </xdr:cNvPr>
        <xdr:cNvSpPr/>
      </xdr:nvSpPr>
      <xdr:spPr>
        <a:xfrm>
          <a:off x="1562100" y="1895476"/>
          <a:ext cx="1701800" cy="84772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800" b="1" baseline="0">
              <a:solidFill>
                <a:schemeClr val="tx1"/>
              </a:solidFill>
            </a:rPr>
            <a:t>XXII Mundial 2022</a:t>
          </a:r>
          <a:endParaRPr lang="es-ES" sz="1600" b="0">
            <a:solidFill>
              <a:schemeClr val="tx1"/>
            </a:solidFill>
            <a:effectLst/>
          </a:endParaRPr>
        </a:p>
        <a:p>
          <a:pPr algn="ctr"/>
          <a:r>
            <a:rPr lang="es-ES" sz="1600" b="1" baseline="0">
              <a:solidFill>
                <a:schemeClr val="bg1"/>
              </a:solidFill>
            </a:rPr>
            <a:t> </a:t>
          </a:r>
          <a:endParaRPr lang="es-ES" sz="1600" b="1">
            <a:solidFill>
              <a:schemeClr val="bg1"/>
            </a:solidFill>
          </a:endParaRPr>
        </a:p>
      </xdr:txBody>
    </xdr:sp>
    <xdr:clientData/>
  </xdr:twoCellAnchor>
  <xdr:twoCellAnchor>
    <xdr:from>
      <xdr:col>5</xdr:col>
      <xdr:colOff>396875</xdr:colOff>
      <xdr:row>11</xdr:row>
      <xdr:rowOff>142876</xdr:rowOff>
    </xdr:from>
    <xdr:to>
      <xdr:col>8</xdr:col>
      <xdr:colOff>168275</xdr:colOff>
      <xdr:row>14</xdr:row>
      <xdr:rowOff>165100</xdr:rowOff>
    </xdr:to>
    <xdr:sp macro="" textlink="">
      <xdr:nvSpPr>
        <xdr:cNvPr id="6" name="Rectángulo redondeado 5">
          <a:hlinkClick xmlns:r="http://schemas.openxmlformats.org/officeDocument/2006/relationships" r:id="rId3"/>
          <a:extLst>
            <a:ext uri="{FF2B5EF4-FFF2-40B4-BE49-F238E27FC236}">
              <a16:creationId xmlns:a16="http://schemas.microsoft.com/office/drawing/2014/main" id="{B68BD3AF-2BB2-2B47-A9D3-42ADCA4245B0}"/>
            </a:ext>
          </a:extLst>
        </xdr:cNvPr>
        <xdr:cNvSpPr/>
      </xdr:nvSpPr>
      <xdr:spPr>
        <a:xfrm>
          <a:off x="4664075" y="2238376"/>
          <a:ext cx="2247900" cy="593724"/>
        </a:xfrm>
        <a:prstGeom prst="roundRect">
          <a:avLst/>
        </a:prstGeom>
        <a:ln/>
        <a:effectLst>
          <a:outerShdw blurRad="50800" dist="38100" dir="2700000" algn="tl"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2400" b="1" baseline="0">
              <a:solidFill>
                <a:schemeClr val="bg1"/>
              </a:solidFill>
            </a:rPr>
            <a:t>English version</a:t>
          </a:r>
          <a:r>
            <a:rPr lang="es-ES" sz="2000" b="1" baseline="0">
              <a:solidFill>
                <a:schemeClr val="bg1"/>
              </a:solidFill>
            </a:rPr>
            <a:t> </a:t>
          </a:r>
          <a:endParaRPr lang="es-ES" sz="2000" b="1">
            <a:solidFill>
              <a:schemeClr val="bg1"/>
            </a:solidFill>
          </a:endParaRPr>
        </a:p>
      </xdr:txBody>
    </xdr:sp>
    <xdr:clientData/>
  </xdr:twoCellAnchor>
  <xdr:twoCellAnchor editAs="oneCell">
    <xdr:from>
      <xdr:col>8</xdr:col>
      <xdr:colOff>571500</xdr:colOff>
      <xdr:row>20</xdr:row>
      <xdr:rowOff>63500</xdr:rowOff>
    </xdr:from>
    <xdr:to>
      <xdr:col>9</xdr:col>
      <xdr:colOff>768350</xdr:colOff>
      <xdr:row>21</xdr:row>
      <xdr:rowOff>123825</xdr:rowOff>
    </xdr:to>
    <xdr:pic>
      <xdr:nvPicPr>
        <xdr:cNvPr id="8" name="Imagen 7" descr="https://www.paypalobjects.com/es_ES/ES/i/btn/btn_donate_LG.gif">
          <a:hlinkClick xmlns:r="http://schemas.openxmlformats.org/officeDocument/2006/relationships" r:id="rId4"/>
          <a:extLst>
            <a:ext uri="{FF2B5EF4-FFF2-40B4-BE49-F238E27FC236}">
              <a16:creationId xmlns:a16="http://schemas.microsoft.com/office/drawing/2014/main" id="{1338EA11-8DA6-8A40-AC0B-740A7A97591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315200" y="3898900"/>
          <a:ext cx="1022350" cy="25082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800100</xdr:colOff>
      <xdr:row>1</xdr:row>
      <xdr:rowOff>101600</xdr:rowOff>
    </xdr:from>
    <xdr:to>
      <xdr:col>3</xdr:col>
      <xdr:colOff>788205</xdr:colOff>
      <xdr:row>9</xdr:row>
      <xdr:rowOff>139700</xdr:rowOff>
    </xdr:to>
    <xdr:pic>
      <xdr:nvPicPr>
        <xdr:cNvPr id="12" name="Imagen 11" descr="World cup trophy vector graphics">
          <a:extLst>
            <a:ext uri="{FF2B5EF4-FFF2-40B4-BE49-F238E27FC236}">
              <a16:creationId xmlns:a16="http://schemas.microsoft.com/office/drawing/2014/main" id="{F55FEE86-931F-E84C-9977-0BD8BDA91D9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25600" y="292100"/>
          <a:ext cx="1639105"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431800</xdr:colOff>
      <xdr:row>15</xdr:row>
      <xdr:rowOff>139700</xdr:rowOff>
    </xdr:from>
    <xdr:to>
      <xdr:col>4</xdr:col>
      <xdr:colOff>203200</xdr:colOff>
      <xdr:row>19</xdr:row>
      <xdr:rowOff>136524</xdr:rowOff>
    </xdr:to>
    <xdr:sp macro="" textlink="">
      <xdr:nvSpPr>
        <xdr:cNvPr id="2" name="Rectángulo redondeado 1">
          <a:hlinkClick xmlns:r="http://schemas.openxmlformats.org/officeDocument/2006/relationships" r:id="rId7"/>
          <a:extLst>
            <a:ext uri="{FF2B5EF4-FFF2-40B4-BE49-F238E27FC236}">
              <a16:creationId xmlns:a16="http://schemas.microsoft.com/office/drawing/2014/main" id="{954C531B-0517-324A-AF5A-DBC56FC6E3D1}"/>
            </a:ext>
          </a:extLst>
        </xdr:cNvPr>
        <xdr:cNvSpPr/>
      </xdr:nvSpPr>
      <xdr:spPr>
        <a:xfrm>
          <a:off x="1257300" y="3022600"/>
          <a:ext cx="2247900" cy="758824"/>
        </a:xfrm>
        <a:prstGeom prst="roundRect">
          <a:avLst/>
        </a:prstGeom>
        <a:solidFill>
          <a:srgbClr val="FFA800"/>
        </a:solidFill>
        <a:ln w="4762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600" b="1" baseline="0">
              <a:solidFill>
                <a:schemeClr val="bg1"/>
              </a:solidFill>
            </a:rPr>
            <a:t>Versiones para más participantes</a:t>
          </a:r>
          <a:endParaRPr lang="es-ES" sz="1600" b="0" baseline="0">
            <a:solidFill>
              <a:schemeClr val="bg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s-ES" b="0">
            <a:solidFill>
              <a:schemeClr val="bg1"/>
            </a:solidFill>
            <a:effectLst/>
          </a:endParaRPr>
        </a:p>
        <a:p>
          <a:pPr algn="ctr"/>
          <a:r>
            <a:rPr lang="es-ES" sz="1100" b="1" baseline="0">
              <a:solidFill>
                <a:schemeClr val="bg1"/>
              </a:solidFill>
            </a:rPr>
            <a:t> </a:t>
          </a:r>
          <a:endParaRPr lang="es-ES" sz="11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30211</xdr:colOff>
      <xdr:row>103</xdr:row>
      <xdr:rowOff>0</xdr:rowOff>
    </xdr:from>
    <xdr:to>
      <xdr:col>26</xdr:col>
      <xdr:colOff>133350</xdr:colOff>
      <xdr:row>104</xdr:row>
      <xdr:rowOff>192809</xdr:rowOff>
    </xdr:to>
    <xdr:sp macro="" textlink="">
      <xdr:nvSpPr>
        <xdr:cNvPr id="2" name="Rectángulo: esquinas redondeadas 140">
          <a:hlinkClick xmlns:r="http://schemas.openxmlformats.org/officeDocument/2006/relationships" r:id="rId1"/>
          <a:extLst>
            <a:ext uri="{FF2B5EF4-FFF2-40B4-BE49-F238E27FC236}">
              <a16:creationId xmlns:a16="http://schemas.microsoft.com/office/drawing/2014/main" id="{E1D8921A-FCE5-424D-AB71-50B933CB7515}"/>
            </a:ext>
          </a:extLst>
        </xdr:cNvPr>
        <xdr:cNvSpPr/>
      </xdr:nvSpPr>
      <xdr:spPr>
        <a:xfrm>
          <a:off x="5773786" y="12344400"/>
          <a:ext cx="3636914" cy="392834"/>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a:solidFill>
                <a:schemeClr val="bg1"/>
              </a:solidFill>
            </a:rPr>
            <a:t>Autor: Miguel Angel Tejero</a:t>
          </a:r>
        </a:p>
      </xdr:txBody>
    </xdr:sp>
    <xdr:clientData/>
  </xdr:twoCellAnchor>
  <xdr:twoCellAnchor editAs="oneCell">
    <xdr:from>
      <xdr:col>22</xdr:col>
      <xdr:colOff>152400</xdr:colOff>
      <xdr:row>103</xdr:row>
      <xdr:rowOff>85725</xdr:rowOff>
    </xdr:from>
    <xdr:to>
      <xdr:col>26</xdr:col>
      <xdr:colOff>57150</xdr:colOff>
      <xdr:row>104</xdr:row>
      <xdr:rowOff>120650</xdr:rowOff>
    </xdr:to>
    <xdr:pic>
      <xdr:nvPicPr>
        <xdr:cNvPr id="16" name="Imagen 15" descr="https://www.paypalobjects.com/es_ES/ES/i/btn/btn_donate_LG.gif">
          <a:hlinkClick xmlns:r="http://schemas.openxmlformats.org/officeDocument/2006/relationships" r:id="rId2"/>
          <a:extLst>
            <a:ext uri="{FF2B5EF4-FFF2-40B4-BE49-F238E27FC236}">
              <a16:creationId xmlns:a16="http://schemas.microsoft.com/office/drawing/2014/main" id="{363D5CC9-F6A5-47E3-BAE7-D669AEC2A18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58200" y="12430125"/>
          <a:ext cx="876300" cy="2476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184150</xdr:colOff>
      <xdr:row>3</xdr:row>
      <xdr:rowOff>57150</xdr:rowOff>
    </xdr:from>
    <xdr:to>
      <xdr:col>2</xdr:col>
      <xdr:colOff>2965450</xdr:colOff>
      <xdr:row>5</xdr:row>
      <xdr:rowOff>101600</xdr:rowOff>
    </xdr:to>
    <xdr:sp macro="" textlink="">
      <xdr:nvSpPr>
        <xdr:cNvPr id="2" name="Rectángulo redondeado 5">
          <a:hlinkClick xmlns:r="http://schemas.openxmlformats.org/officeDocument/2006/relationships" r:id="rId1"/>
          <a:extLst>
            <a:ext uri="{FF2B5EF4-FFF2-40B4-BE49-F238E27FC236}">
              <a16:creationId xmlns:a16="http://schemas.microsoft.com/office/drawing/2014/main" id="{F7F2F667-2155-FE4A-9EF4-DCFF09A66EF6}"/>
            </a:ext>
          </a:extLst>
        </xdr:cNvPr>
        <xdr:cNvSpPr/>
      </xdr:nvSpPr>
      <xdr:spPr>
        <a:xfrm>
          <a:off x="615950" y="704850"/>
          <a:ext cx="2781300" cy="425450"/>
        </a:xfrm>
        <a:prstGeom prst="roundRect">
          <a:avLst/>
        </a:prstGeom>
        <a:solidFill>
          <a:srgbClr val="04123B"/>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400" b="1" baseline="0">
              <a:solidFill>
                <a:schemeClr val="bg1"/>
              </a:solidFill>
              <a:effectLst/>
              <a:latin typeface="+mn-lt"/>
              <a:ea typeface="+mn-ea"/>
              <a:cs typeface="+mn-cs"/>
            </a:rPr>
            <a:t>Versiones para más participantes</a:t>
          </a:r>
          <a:endParaRPr lang="es-ES" sz="1400" b="0" baseline="0">
            <a:solidFill>
              <a:schemeClr val="bg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s-ES" sz="1800" b="0">
            <a:solidFill>
              <a:schemeClr val="bg1"/>
            </a:solidFill>
            <a:effectLst/>
          </a:endParaRPr>
        </a:p>
        <a:p>
          <a:pPr algn="ctr"/>
          <a:r>
            <a:rPr lang="es-ES" sz="1800" b="1" baseline="0">
              <a:solidFill>
                <a:schemeClr val="bg1"/>
              </a:solidFill>
            </a:rPr>
            <a:t> </a:t>
          </a:r>
          <a:endParaRPr lang="es-ES" sz="18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25400</xdr:rowOff>
    </xdr:from>
    <xdr:to>
      <xdr:col>17</xdr:col>
      <xdr:colOff>1</xdr:colOff>
      <xdr:row>1</xdr:row>
      <xdr:rowOff>155575</xdr:rowOff>
    </xdr:to>
    <xdr:sp macro="" textlink="">
      <xdr:nvSpPr>
        <xdr:cNvPr id="2" name="Rectángulo 1">
          <a:extLst>
            <a:ext uri="{FF2B5EF4-FFF2-40B4-BE49-F238E27FC236}">
              <a16:creationId xmlns:a16="http://schemas.microsoft.com/office/drawing/2014/main" id="{2A86E656-10F3-EE4F-8639-DAA6DA77474E}"/>
            </a:ext>
          </a:extLst>
        </xdr:cNvPr>
        <xdr:cNvSpPr/>
      </xdr:nvSpPr>
      <xdr:spPr>
        <a:xfrm>
          <a:off x="342900" y="25400"/>
          <a:ext cx="13970001" cy="70167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s-ES" sz="3200">
              <a:solidFill>
                <a:schemeClr val="bg1"/>
              </a:solidFill>
            </a:rPr>
            <a:t>CLASIFICACIÓN EXCEL MUNDIAL </a:t>
          </a:r>
          <a:r>
            <a:rPr lang="es-ES" sz="3200" baseline="0">
              <a:solidFill>
                <a:schemeClr val="bg1"/>
              </a:solidFill>
            </a:rPr>
            <a:t>2022</a:t>
          </a:r>
          <a:endParaRPr lang="es-ES">
            <a:solidFill>
              <a:schemeClr val="bg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AV2:AW11" totalsRowShown="0" headerRowDxfId="37" dataDxfId="35" headerRowBorderDxfId="36" tableBorderDxfId="34" totalsRowBorderDxfId="33">
  <tableColumns count="2">
    <tableColumn id="1" xr3:uid="{00000000-0010-0000-0000-000001000000}" name="TOPIC" dataDxfId="32"/>
    <tableColumn id="2" xr3:uid="{00000000-0010-0000-0000-000002000000}" name="VALUE" dataDxfId="3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abla3" displayName="Tabla3" ref="A1:D33" totalsRowShown="0" headerRowDxfId="29" dataDxfId="28">
  <sortState xmlns:xlrd2="http://schemas.microsoft.com/office/spreadsheetml/2017/richdata2" ref="A2:D13">
    <sortCondition ref="D2:D13"/>
  </sortState>
  <tableColumns count="4">
    <tableColumn id="1" xr3:uid="{00000000-0010-0000-0B00-000001000000}" name="OK" dataDxfId="27">
      <calculatedColumnFormula>NOT(ISERROR(VLOOKUP(Equipos!$B2,#REF!,1,FALSE)))</calculatedColumnFormula>
    </tableColumn>
    <tableColumn id="2" xr3:uid="{00000000-0010-0000-0B00-000002000000}" name="NombreEquipo" dataDxfId="26">
      <calculatedColumnFormula>VLOOKUP(Tabla3[[#This Row],[OK]],$G$2:$H$33,2,0)</calculatedColumnFormula>
    </tableColumn>
    <tableColumn id="4" xr3:uid="{00000000-0010-0000-0B00-000004000000}" name="Grupo" dataDxfId="25"/>
    <tableColumn id="3" xr3:uid="{00000000-0010-0000-0B00-000003000000}" name="Rank" dataDxfId="2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A2C5CF-0AF0-F04D-BD3D-50BF951C7BBC}" name="Tabla1" displayName="Tabla1" ref="C7:D43" totalsRowShown="0" tableBorderDxfId="23">
  <tableColumns count="2">
    <tableColumn id="1" xr3:uid="{1873FC86-AE50-4A4B-9798-73E2325EDDF8}" name="Regla*" dataDxfId="22"/>
    <tableColumn id="2" xr3:uid="{09A6B806-385A-344D-AC15-580EB7763E23}" name="Puntos" dataDxfId="21"/>
  </tableColumns>
  <tableStyleInfo name="Estilo de tabla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807683-C76B-564F-868C-A6337CAFF42E}" name="Tabla45" displayName="Tabla45" ref="B3:Q8" totalsRowShown="0" headerRowDxfId="19" dataDxfId="17" headerRowBorderDxfId="18">
  <tableColumns count="16">
    <tableColumn id="1" xr3:uid="{EC334B1C-910D-B640-BABF-1C76ECD6F92A}" name="Pos" dataDxfId="16">
      <calculatedColumnFormula>IFERROR(HLOOKUP(A4,OFFSET(Administrador!$N$1,0,0,4,Administrador!$D$3*5),2,FALSE),"-")</calculatedColumnFormula>
    </tableColumn>
    <tableColumn id="2" xr3:uid="{DA113875-1E22-DF47-BBD6-66EF901AD048}" name="Jugador" dataDxfId="15">
      <calculatedColumnFormula>IFERROR(HLOOKUP(A4,OFFSET(Administrador!$N$1,0,0,4,Administrador!$D$3*5),3,FALSE),"-")</calculatedColumnFormula>
    </tableColumn>
    <tableColumn id="3" xr3:uid="{1699FA75-6E24-6B41-8FF7-034439627FDE}" name="Puntos Totales" dataDxfId="14">
      <calculatedColumnFormula>IFERROR(HLOOKUP(A4,OFFSET(Administrador!$N$1,0,0,4,Administrador!$D$3*5),4,FALSE),"-")</calculatedColumnFormula>
    </tableColumn>
    <tableColumn id="4" xr3:uid="{A5A4DF1B-AB98-384E-87C3-FC24936E001C}" name="F. Grupos" dataDxfId="13"/>
    <tableColumn id="5" xr3:uid="{B97E4F56-DB2B-B245-9D67-152B50D3305B}" name="Pos. Grupos" dataDxfId="12"/>
    <tableColumn id="6" xr3:uid="{17B4D9FA-E7F6-9D47-9FD3-3D43BBABDB34}" name="Equipos 1/8" dataDxfId="11"/>
    <tableColumn id="7" xr3:uid="{48FA6D02-559F-BA4B-A57F-53806F768A37}" name="Partidos 1/8" dataDxfId="10"/>
    <tableColumn id="8" xr3:uid="{BB3D2385-2A1A-0640-A5C7-08665A6875C7}" name="Equipos 1/4" dataDxfId="9"/>
    <tableColumn id="9" xr3:uid="{D622350D-7810-7D48-883D-438078E410BB}" name="Partidos 1/4" dataDxfId="8"/>
    <tableColumn id="10" xr3:uid="{32B2EC38-7CBE-0C48-9D28-390A518015EE}" name="Equipos 1/2" dataDxfId="7"/>
    <tableColumn id="11" xr3:uid="{0D1C22E1-0007-BE46-AD8A-FF942D32A106}" name="Partidos 1/2" dataDxfId="6"/>
    <tableColumn id="16" xr3:uid="{3B755531-E4D9-B141-8C10-2199A3A5B4C5}" name="Equipos 3º4º" dataDxfId="5">
      <calculatedColumnFormula>IFERROR(INDEX(Administrador!$N$1:Administrador!#REF!,M$2,MATCH($A4,Administrador!$N$1:Administrador!#REF!,0)+1),"-")</calculatedColumnFormula>
    </tableColumn>
    <tableColumn id="15" xr3:uid="{FB15328A-5D6C-6947-93D9-F2249A81EFFF}" name="Partidos 3º4º" dataDxfId="4">
      <calculatedColumnFormula>IFERROR(INDEX(Administrador!$N$1:Administrador!#REF!,N$2,MATCH($A4,Administrador!$N$1:Administrador!#REF!,0)+1),"-")</calculatedColumnFormula>
    </tableColumn>
    <tableColumn id="12" xr3:uid="{47AEAE19-B349-834B-A926-9F3CD16D70E0}" name="Equipos Final" dataDxfId="3"/>
    <tableColumn id="13" xr3:uid="{2932024A-3064-7844-AB8B-70CB9AEA602D}" name="Partido Final" dataDxfId="2"/>
    <tableColumn id="14" xr3:uid="{1411ACC9-D9E3-D049-9D7A-299BD8DF1445}" name="Cuadro de Honor"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hyperlink" Target="https://matejero.es/puntuaciones-excel-mundial-2022/"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hyperlink" Target="https://www.linkedin.com/in/mateje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theme="6"/>
  </sheetPr>
  <dimension ref="A1:AGY62"/>
  <sheetViews>
    <sheetView showGridLines="0" showRowColHeaders="0" zoomScaleNormal="100" workbookViewId="0">
      <selection activeCell="B16" sqref="B16"/>
    </sheetView>
  </sheetViews>
  <sheetFormatPr baseColWidth="10" defaultColWidth="0" defaultRowHeight="15" zeroHeight="1"/>
  <cols>
    <col min="1" max="4" width="10.83203125" style="1" customWidth="1"/>
    <col min="5" max="5" width="12.6640625" style="1" customWidth="1"/>
    <col min="6" max="10" width="10.83203125" style="1" customWidth="1"/>
    <col min="11" max="15" width="0" style="1" hidden="1" customWidth="1"/>
    <col min="16" max="16384" width="10.83203125" style="1" hidden="1"/>
  </cols>
  <sheetData>
    <row r="1" spans="1:15"/>
    <row r="2" spans="1:15">
      <c r="A2"/>
    </row>
    <row r="3" spans="1:15"/>
    <row r="4" spans="1:15">
      <c r="O4"/>
    </row>
    <row r="5" spans="1:15"/>
    <row r="6" spans="1:15"/>
    <row r="7" spans="1:15"/>
    <row r="8" spans="1:15"/>
    <row r="9" spans="1:15"/>
    <row r="10" spans="1:15"/>
    <row r="11" spans="1:15"/>
    <row r="12" spans="1:15"/>
    <row r="13" spans="1:15">
      <c r="E13"/>
    </row>
    <row r="14" spans="1:15"/>
    <row r="15" spans="1:15" ht="17">
      <c r="B15" s="1" t="s">
        <v>446</v>
      </c>
      <c r="F15" s="313"/>
    </row>
    <row r="16" spans="1:15"/>
    <row r="17" spans="1:13">
      <c r="I17" s="3"/>
    </row>
    <row r="18" spans="1:13"/>
    <row r="19" spans="1:13">
      <c r="F19" s="879" t="s">
        <v>138</v>
      </c>
    </row>
    <row r="20" spans="1:13"/>
    <row r="21" spans="1:13"/>
    <row r="22" spans="1:13">
      <c r="A22" s="333"/>
    </row>
    <row r="24" spans="1:13" hidden="1">
      <c r="M24"/>
    </row>
    <row r="57" spans="84:883" hidden="1">
      <c r="AGD57" s="1">
        <f t="array" ref="AGD57">IF(AND($CC$57:$CC$58=$CC$57,$CC$58&lt;&gt;$CC$59,$CC$59&lt;&gt;$CC$60,$CC$60&lt;&gt;$CC$61,$CC$61:$CC$62=$CC$61,$CE$57:$CE$58=$CE$57,$CE$61:$CE$62=$CE$61,$CF$57:$CF$58=$CF$57,$CF$61&lt;&gt;$CF$62,$CG$57:$CG$58=$CG$57),1,0)</f>
        <v>0</v>
      </c>
      <c r="AGE57" s="1">
        <f t="array" ref="AGE57">IF(AND($CC$57:$CC$58=$CC$57,$CC$58&lt;&gt;$CC$59,$CC$59&lt;&gt;$CC$60,$CC$60&lt;&gt;$CC$61,$CC$61:$CC$62=$CC$61,$CE$57:$CE$58=$CE$57,$CE$61:$CE$62=$CE$61,$CF$57&lt;&gt;$CF$58,$CF$61:$CF$62=$CF$61,$CG$61:$CG$62=$CG$61),1,0)</f>
        <v>0</v>
      </c>
      <c r="AGF57" s="1">
        <f t="array" ref="AGF57">IF(AND($CC$57:$CC$58=$CC$57,$CC$58&lt;&gt;$CC$59,$CC$59&lt;&gt;$CC$60,$CC$60&lt;&gt;$CC$61,$CC$61:$CC$62=$CC$61,$CE$57:$CE$58=$CE$57,$CE$61:$CE$62=$CE$61,$CF$57&lt;&gt;$CF$58,$CF$61&lt;&gt;$CF$62),1,0)</f>
        <v>0</v>
      </c>
    </row>
    <row r="58" spans="84:883" hidden="1">
      <c r="CF58" s="1">
        <v>5</v>
      </c>
      <c r="AGD58" s="1">
        <f t="array" ref="AGD58">IF(AND($CC$57:$CC$58=$CC$58,$CC$58&lt;&gt;$CC$59,$CC$59&lt;&gt;$CC$60,$CC$60&lt;&gt;$CC$61,$CC$61:$CC$62=$CC$61,$CE$57:$CE$58=$CE$58,$CE$61:$CE$62=$CE$61,$CF$57:$CF$58=$CF$58,$CF$61&lt;&gt;$CF$62,$CG$57:$CG$58=$CG$58),1,0)</f>
        <v>0</v>
      </c>
      <c r="AGE58" s="1">
        <f t="array" ref="AGE58">IF(AND($CC$57:$CC$58=$CC$58,$CC$58&lt;&gt;$CC$59,$CC$59&lt;&gt;$CC$60,$CC$60&lt;&gt;$CC$61,$CC$61:$CC$62=$CC$61,$CE$57:$CE$58=$CE$58,$CE$61:$CE$62=$CE$61,$CF$57&lt;&gt;$CF$58,$CF$61:$CF$62=$CF$61,$CG$61:$CG$62=$CG$61),1,0)</f>
        <v>0</v>
      </c>
      <c r="AGF58" s="1">
        <f t="array" ref="AGF58">IF(AND($CC$57:$CC$58=$CC$58,$CC$58&lt;&gt;$CC$59,$CC$59&lt;&gt;$CC$60,$CC$60&lt;&gt;$CC$61,$CC$61:$CC$62=$CC$61,$CE$57:$CE$58=$CE$58,$CE$61:$CE$62=$CE$61,$CF$57&lt;&gt;$CF$58,$CF$61&lt;&gt;$CF$62),1,0)</f>
        <v>0</v>
      </c>
    </row>
    <row r="59" spans="84:883" hidden="1">
      <c r="JZ59" s="1">
        <f t="array" ref="JZ59">IF(AND($CC$57:$CC$62=$CC$59,$CE$57:$CE$62=$CE$59,$CF$57:$CF$58=$CF$58,$CF$58&lt;&gt;$CF$59,$CF$59:$CF$62=$CF$59,$CG$57:$CG$58=$CG$58,$CG$59&lt;&gt;$CG$60,$CG$60:$CG$62=$CG$60),1,0)</f>
        <v>0</v>
      </c>
      <c r="AGD59" s="1">
        <f t="array" ref="AGD59">IF(AND($CC$57:$CC$58=$CC$58,$CC$58&lt;&gt;$CC$59,$CC$59&lt;&gt;$CC$60,$CC$60&lt;&gt;$CC$61,$CC$61:$CC$62=$CC$61,$CE$57:$CE$58=$CE$58,$CE$61:$CE$62=$CE$61,$CF$57:$CF$58=$CF$58,$CF$61&lt;&gt;$CF$62,$CG$57:$CG$58=$CG$58),1,0)</f>
        <v>0</v>
      </c>
      <c r="AGE59" s="1">
        <f t="array" ref="AGE59">IF(AND($CC$57:$CC$58=$CC$58,$CC$58&lt;&gt;$CC$59,$CC$59&lt;&gt;$CC$60,$CC$60&lt;&gt;$CC$61,$CC$61:$CC$62=$CC$61,$CE$57:$CE$58=$CE$58,$CE$61:$CE$62=$CE$61,$CF$57&lt;&gt;$CF$58,$CF$61:$CF$62=$CF$61,$CG$61:$CG$62=$CG$61),1,0)</f>
        <v>0</v>
      </c>
      <c r="AGF59" s="1">
        <f t="array" ref="AGF59">IF(AND($CC$57:$CC$58=$CC$58,$CC$58&lt;&gt;$CC$59,$CC$59&lt;&gt;$CC$60,$CC$60&lt;&gt;$CC$61,$CC$61:$CC$62=$CC$61,$CE$57:$CE$58=$CE$58,$CE$61:$CE$62=$CE$61,$CF$57&lt;&gt;$CF$58,$CF$61&lt;&gt;$CF$62),1,0)</f>
        <v>0</v>
      </c>
    </row>
    <row r="60" spans="84:883" hidden="1">
      <c r="JZ60" s="1">
        <f t="array" ref="JZ60">IF(AND($CC$57:$CC$62=$CC$60,$CE$57:$CE$62=$CE$60,$CF$57:$CF$58=$CF$58,$CF$58&lt;&gt;$CF$59,$CF$59:$CF$62=$CF$60,$CG$57:$CG$58=$CG$58,$CG$59&lt;&gt;$CG$60,$CG$60:$CG$62=$CG$60),1,0)</f>
        <v>0</v>
      </c>
      <c r="AFZ60" s="1">
        <f t="array" ref="AFZ60">IF(AND($CC$57:$CC$58=$CC$58,$CC$58&lt;&gt;$CC$59,$CC$59&lt;&gt;$CC$60,$CC$60:$CC$62=$CC$60,$CE$57:$CE$58=$CE$58,$CE$60:$CE$62=$CE$60,$CF$57&lt;&gt;$CF$58,$CF$60:$CF$62=$CF$60,$CG$60:$CG$62=$CG$60),1,0)</f>
        <v>0</v>
      </c>
      <c r="AGA60" s="1">
        <f t="array" ref="AGA60">IF(AND($CC$57:$CC$58=$CC$58,$CC$58&lt;&gt;$CC$59,$CC$59&lt;&gt;$CC$60,$CC$60:$CC$62=$CC$60,$CE$57:$CE$58=$CE$58,$CE$60:$CE$62=$CE$60,$CF$57&lt;&gt;$CF$58,$CF$60:$CF$62=$CF$60,$CG$60:$CG$62=$CG$60),1,0)</f>
        <v>0</v>
      </c>
      <c r="AGD60" s="1">
        <f t="array" ref="AGD60">IF(AND($CC$57:$CC$58=$CC$58,$CC$58&lt;&gt;$CC$59,$CC$59&lt;&gt;$CC$60,$CC$60&lt;&gt;$CC$61,$CC$61:$CC$62=$CC$61,$CE$57:$CE$58=$CE$58,$CE$61:$CE$62=$CE$61,$CF$57:$CF$58=$CF$58,$CF$61&lt;&gt;$CF$62,$CG$57:$CG$58=$CG$58),1,0)</f>
        <v>0</v>
      </c>
      <c r="AGE60" s="1">
        <f t="array" ref="AGE60">IF(AND($CC$57:$CC$58=$CC$58,$CC$58&lt;&gt;$CC$59,$CC$59&lt;&gt;$CC$60,$CC$60&lt;&gt;$CC$61,$CC$61:$CC$62=$CC$61,$CE$57:$CE$58=$CE$58,$CE$61:$CE$62=$CE$61,$CF$57&lt;&gt;$CF$58,$CF$61:$CF$62=$CF$61,$CG$61:$CG$62=$CG$61),1,0)</f>
        <v>0</v>
      </c>
      <c r="AGF60" s="1">
        <f t="array" ref="AGF60">IF(AND($CC$57:$CC$58=$CC$58,$CC$58&lt;&gt;$CC$59,$CC$59&lt;&gt;$CC$60,$CC$60&lt;&gt;$CC$61,$CC$61:$CC$62=$CC$61,$CE$57:$CE$58=$CE$58,$CE$61:$CE$62=$CE$61,$CF$57&lt;&gt;$CF$58,$CF$61&lt;&gt;$CF$62),1,0)</f>
        <v>0</v>
      </c>
    </row>
    <row r="61" spans="84:883" hidden="1">
      <c r="JZ61" s="1">
        <f t="array" ref="JZ61">IF(AND($CC$57:$CC$62=$CC$61,$CE$57:$CE$62=$CE$61,$CF$57:$CF$58=$CF$58,$CF$58&lt;&gt;$CF$59,$CF$59:$CF$62=$CF$60,$CG$57:$CG$58=$CG$58,$CG$59&lt;&gt;$CG$60,$CG$60:$CG$62=$CG$61),1,0)</f>
        <v>0</v>
      </c>
      <c r="AFZ61" s="1">
        <f t="array" ref="AFZ61">IF(AND($CC$57:$CC$58=$CC$58,$CC$58&lt;&gt;$CC$59,$CC$59&lt;&gt;$CC$60,$CC$60:$CC$62=$CC$61,$CE$57:$CE$58=$CE$58,$CE$60:$CE$62=$CE$61,$CF$57&lt;&gt;$CF$58,$CF$60:$CF$62=$CF$61,$CG$60:$CG$62=$CG$61),1,0)</f>
        <v>0</v>
      </c>
      <c r="AGA61" s="1">
        <f t="array" ref="AGA61">IF(AND($CC$57:$CC$58=$CC$58,$CC$58&lt;&gt;$CC$59,$CC$59&lt;&gt;$CC$60,$CC$60:$CC$62=$CC$61,$CE$57:$CE$58=$CE$58,$CE$60:$CE$62=$CE$61,$CF$57&lt;&gt;$CF$58,$CF$60:$CF$62=$CF$61,$CG$60:$CG$62=$CG$61),1,0)</f>
        <v>0</v>
      </c>
      <c r="AGD61" s="1">
        <f t="array" ref="AGD61">IF(AND($CC$57:$CC$58=$CC$58,$CC$58&lt;&gt;$CC$59,$CC$59&lt;&gt;$CC$60,$CC$60&lt;&gt;$CC$61,$CC$61:$CC$62=$CC$61,$CE$57:$CE$58=$CE$58,$CE$61:$CE$62=$CE$61,$CF$57:$CF$58=$CF$58,$CF$61&lt;&gt;$CF$62,$CG$57:$CG$58=$CG$58),1,0)</f>
        <v>0</v>
      </c>
      <c r="AGE61" s="1">
        <f t="array" ref="AGE61">IF(AND($CC$57:$CC$58=$CC$58,$CC$58&lt;&gt;$CC$59,$CC$59&lt;&gt;$CC$60,$CC$60&lt;&gt;$CC$61,$CC$61:$CC$62=$CC$61,$CE$57:$CE$58=$CE$58,$CE$61:$CE$62=$CE$61,$CF$57&lt;&gt;$CF$58,$CF$61:$CF$62=$CF$61,$CG$61:$CG$62=$CG$61),1,0)</f>
        <v>0</v>
      </c>
      <c r="AGF61" s="1">
        <f t="array" ref="AGF61">IF(AND($CC$57:$CC$58=$CC$58,$CC$58&lt;&gt;$CC$59,$CC$59&lt;&gt;$CC$60,$CC$60&lt;&gt;$CC$61,$CC$61:$CC$62=$CC$61,$CE$57:$CE$58=$CE$58,$CE$61:$CE$62=$CE$61,$CF$57&lt;&gt;$CF$58,$CF$61&lt;&gt;$CF$62),1,0)</f>
        <v>0</v>
      </c>
    </row>
    <row r="62" spans="84:883" hidden="1">
      <c r="CF62" s="1">
        <v>1</v>
      </c>
      <c r="JZ62" s="1">
        <f t="array" ref="JZ62">IF(AND($CC$57:$CC$62=$CC$62,$CE$57:$CE$62=$CE$62,$CF$57:$CF$58=$CF$58,$CF$58&lt;&gt;$CF$59,$CF$59:$CF$62=$CF$60,$CG$57:$CG$58=$CG$58,$CG$59&lt;&gt;$CG$60,$CG$60:$CG$62=$CG$62),1,0)</f>
        <v>0</v>
      </c>
      <c r="AFZ62" s="1">
        <f t="array" ref="AFZ62">IF(AND($CC$57:$CC$58=$CC$58,$CC$58&lt;&gt;$CC$59,$CC$59&lt;&gt;$CC$60,$CC$60:$CC$62=$CC$62,$CE$57:$CE$58=$CE$58,$CE$60:$CE$62=$CE$62,$CF$57&lt;&gt;$CF$58,$CF$60:$CF$62=$CF$62,$CG$60:$CG$62=$CG$62),1,0)</f>
        <v>0</v>
      </c>
      <c r="AGA62" s="1">
        <f t="array" ref="AGA62">IF(AND($CC$57:$CC$58=$CC$58,$CC$58&lt;&gt;$CC$59,$CC$59&lt;&gt;$CC$60,$CC$60:$CC$62=$CC$62,$CE$57:$CE$58=$CE$58,$CE$60:$CE$62=$CE$62,$CF$57&lt;&gt;$CF$58,$CF$60:$CF$62=$CF$62,$CG$60:$CG$62=$CG$62),1,0)</f>
        <v>0</v>
      </c>
      <c r="AGD62" s="1">
        <f t="array" ref="AGD62">IF(AND($CC$57:$CC$58=$CC$58,$CC$58&lt;&gt;$CC$59,$CC$59&lt;&gt;$CC$60,$CC$60&lt;&gt;$CC$61,$CC$61:$CC$62=$CC$62,$CE$57:$CE$58=$CE$58,$CE$61:$CE$62=$CE$62,$CF$57:$CF$58=$CF$58,$CF$61&lt;&gt;$CF$62,$CG$57:$CG$58=$CG$58),1,0)</f>
        <v>0</v>
      </c>
      <c r="AGE62" s="1">
        <f t="array" ref="AGE62">IF(AND($CC$57:$CC$58=$CC$58,$CC$58&lt;&gt;$CC$59,$CC$59&lt;&gt;$CC$60,$CC$60&lt;&gt;$CC$61,$CC$61:$CC$62=$CC$62,$CE$57:$CE$58=$CE$58,$CE$61:$CE$62=$CE$62,$CF$57&lt;&gt;$CF$58,$CF$61:$CF$62=$CF$62,$CG$61:$CG$62=$CG$62),1,0)</f>
        <v>0</v>
      </c>
      <c r="AGF62" s="1">
        <f t="array" ref="AGF62">IF(AND($CC$57:$CC$58=$CC$58,$CC$58&lt;&gt;$CC$59,$CC$59&lt;&gt;$CC$60,$CC$60&lt;&gt;$CC$61,$CC$61:$CC$62=$CC$62,$CE$57:$CE$58=$CE$58,$CE$61:$CE$62=$CE$62,$CF$57&lt;&gt;$CF$58,$CF$61&lt;&gt;$CF$62),1,0)</f>
        <v>0</v>
      </c>
      <c r="AGX62" s="1">
        <f t="array" ref="AGX62">IF(AND($CC$57&lt;&gt;$CC$58,$CC$58:$CC$62=$CC$62,$CE$58:$CE$62=$CE$62,$CF$58&lt;&gt;$CF$59,$CF$59&lt;&gt;$CF$60,$CF$60&lt;&gt;$CF$61,$CF$61:$CF$62=$CF$62,$CG$61:$CG$62=$CG$62),1,0)</f>
        <v>0</v>
      </c>
      <c r="AGY62" s="1">
        <f t="array" ref="AGY62">IF(AND($CC$57&lt;&gt;$CC$58,$CC$58:$CC$62=$CC$62,$CE$58:$CE$62=$CE$62,$CF$58&lt;&gt;$CF$59,$CF$59&lt;&gt;$CF$60,$CF$60&lt;&gt;$CF$61,$CF$61&lt;&gt;$CF$62),1,0)</f>
        <v>0</v>
      </c>
    </row>
  </sheetData>
  <sheetProtection algorithmName="SHA-512" hashValue="+mZ2aKCPkkyG1VfZopQCIeaj1Ah2ObLgP1s42om90me/LAA3BiLIwh2gerbqBfLMXVh+IE0cv7ZT1eiRa6Ykvw==" saltValue="Q+oe4pP6viMTPqrJZHDEvA==" spinCount="100000" sheet="1" objects="1" scenarios="1" selectLockedCells="1" selectUnlockedCells="1"/>
  <pageMargins left="0.7" right="0.7" top="0.75" bottom="0.75" header="0.3" footer="0.3"/>
  <pageSetup paperSize="9" orientation="portrait"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SWE217"/>
  <sheetViews>
    <sheetView showGridLines="0" showRowColHeaders="0" tabSelected="1" topLeftCell="D45" zoomScaleNormal="100" workbookViewId="0">
      <selection activeCell="K69" sqref="K69"/>
    </sheetView>
  </sheetViews>
  <sheetFormatPr baseColWidth="10" defaultColWidth="0" defaultRowHeight="15" zeroHeight="1"/>
  <cols>
    <col min="1" max="2" width="10.83203125" style="2" hidden="1" customWidth="1"/>
    <col min="3" max="3" width="2.1640625" style="1" hidden="1" customWidth="1"/>
    <col min="4" max="4" width="2.1640625" style="1" customWidth="1"/>
    <col min="5" max="5" width="6.6640625" style="1" customWidth="1"/>
    <col min="6" max="6" width="11.5" style="1" customWidth="1"/>
    <col min="7" max="7" width="6.83203125" style="1" customWidth="1"/>
    <col min="8" max="8" width="4" style="1" bestFit="1" customWidth="1"/>
    <col min="9" max="9" width="19" style="1" bestFit="1" customWidth="1"/>
    <col min="10" max="10" width="3.83203125" style="1" customWidth="1"/>
    <col min="11" max="12" width="5.33203125" style="1" customWidth="1"/>
    <col min="13" max="13" width="3.83203125" style="1" customWidth="1"/>
    <col min="14" max="14" width="19" style="1" bestFit="1" customWidth="1"/>
    <col min="15" max="15" width="2.6640625" style="1" customWidth="1"/>
    <col min="16" max="16" width="2.5" style="1" customWidth="1"/>
    <col min="17" max="17" width="4.33203125" style="1" bestFit="1" customWidth="1"/>
    <col min="18" max="18" width="19.33203125" style="1" bestFit="1" customWidth="1"/>
    <col min="19" max="19" width="7.33203125" style="1" customWidth="1"/>
    <col min="20" max="20" width="4.5" style="1" customWidth="1"/>
    <col min="21" max="21" width="6.5" style="1" customWidth="1"/>
    <col min="22" max="23" width="3.33203125" style="1" customWidth="1"/>
    <col min="24" max="24" width="3.5" style="1" customWidth="1"/>
    <col min="25" max="25" width="3.6640625" style="1" customWidth="1"/>
    <col min="26" max="26" width="4.1640625" style="1" customWidth="1"/>
    <col min="27" max="27" width="3.5" style="3" customWidth="1"/>
    <col min="28" max="28" width="17" style="6" customWidth="1"/>
    <col min="29" max="29" width="3.5" style="3" customWidth="1"/>
    <col min="30" max="30" width="5.5" style="3" customWidth="1"/>
    <col min="31" max="31" width="3" style="3" customWidth="1"/>
    <col min="32" max="48" width="10.83203125" style="911" hidden="1" customWidth="1"/>
    <col min="49" max="49" width="14.6640625" style="911" hidden="1" customWidth="1"/>
    <col min="50" max="81" width="10.83203125" style="911" hidden="1" customWidth="1"/>
    <col min="82" max="82" width="13.6640625" style="911" hidden="1" customWidth="1"/>
    <col min="83" max="86" width="10.83203125" style="911" hidden="1" customWidth="1"/>
    <col min="87" max="16384" width="10.83203125" style="909" hidden="1"/>
  </cols>
  <sheetData>
    <row r="1" spans="1:169 5689:5689 8944:8944 13447:13447" ht="24" customHeight="1">
      <c r="A1" s="79"/>
      <c r="B1" s="79"/>
      <c r="C1" s="79"/>
      <c r="D1" s="79"/>
      <c r="E1" s="89" t="s">
        <v>102</v>
      </c>
      <c r="F1" s="66"/>
      <c r="G1" s="966" t="s">
        <v>176</v>
      </c>
      <c r="H1" s="966"/>
      <c r="I1" s="361" t="s">
        <v>19</v>
      </c>
      <c r="J1" s="90"/>
      <c r="K1" s="91"/>
      <c r="L1" s="91"/>
      <c r="M1" s="91"/>
      <c r="N1" s="91"/>
      <c r="O1" s="66"/>
      <c r="P1" s="66"/>
      <c r="Q1" s="66"/>
      <c r="R1" s="66"/>
      <c r="S1" s="66"/>
      <c r="T1" s="66"/>
      <c r="U1" s="66"/>
      <c r="V1" s="66"/>
      <c r="W1" s="66"/>
      <c r="X1" s="66"/>
      <c r="Y1" s="66"/>
      <c r="Z1" s="66"/>
      <c r="AA1" s="66"/>
      <c r="AB1" s="66"/>
      <c r="AC1" s="66"/>
      <c r="AD1" s="66"/>
      <c r="AE1" s="66"/>
      <c r="AF1" s="908"/>
      <c r="AG1" s="908"/>
      <c r="AH1" s="908"/>
      <c r="AI1" s="908"/>
      <c r="AJ1" s="908"/>
      <c r="AK1" s="908"/>
      <c r="AL1" s="908"/>
      <c r="AM1" s="908"/>
      <c r="AN1" s="908"/>
      <c r="AO1" s="908"/>
      <c r="AP1" s="908"/>
      <c r="AQ1" s="908"/>
      <c r="AR1" s="908"/>
      <c r="AS1" s="908"/>
      <c r="AT1" s="908"/>
      <c r="AU1" s="908"/>
      <c r="AV1" s="908"/>
      <c r="AW1" s="908"/>
      <c r="AX1" s="908"/>
      <c r="AY1" s="908"/>
      <c r="AZ1" s="908"/>
      <c r="BA1" s="908"/>
      <c r="BB1" s="908"/>
      <c r="BC1" s="908"/>
      <c r="BD1" s="908"/>
      <c r="BE1" s="908"/>
      <c r="BF1" s="908"/>
      <c r="BG1" s="908"/>
      <c r="BH1" s="908"/>
      <c r="BI1" s="908"/>
      <c r="BJ1" s="908"/>
      <c r="BK1" s="908"/>
      <c r="BL1" s="908"/>
      <c r="BM1" s="908"/>
      <c r="BN1" s="908"/>
      <c r="BO1" s="908"/>
      <c r="BP1" s="908"/>
      <c r="BQ1" s="908"/>
      <c r="BR1" s="908"/>
      <c r="BS1" s="908"/>
      <c r="BT1" s="908"/>
      <c r="BU1" s="908"/>
      <c r="BV1" s="908"/>
      <c r="BW1" s="908"/>
      <c r="BX1" s="908"/>
      <c r="BY1" s="908"/>
      <c r="BZ1" s="908"/>
      <c r="CA1" s="908"/>
      <c r="CB1" s="908"/>
      <c r="CC1" s="908"/>
      <c r="CD1" s="908"/>
      <c r="CE1" s="908"/>
      <c r="CF1" s="908"/>
      <c r="CG1" s="908"/>
      <c r="CH1" s="908"/>
    </row>
    <row r="2" spans="1:169 5689:5689 8944:8944 13447:13447" ht="20" customHeight="1">
      <c r="A2" s="66"/>
      <c r="B2" s="66"/>
      <c r="C2" s="66"/>
      <c r="D2" s="66"/>
      <c r="E2" s="68"/>
      <c r="F2" s="68"/>
      <c r="G2" s="167">
        <f>IFERROR(VLOOKUP(G1,Horarios!L4:M60,2,0),10)</f>
        <v>9</v>
      </c>
      <c r="H2" s="68"/>
      <c r="I2" s="67"/>
      <c r="J2" s="68"/>
      <c r="K2" s="67"/>
      <c r="L2" s="67"/>
      <c r="M2" s="67"/>
      <c r="N2" s="67"/>
      <c r="O2" s="69"/>
      <c r="P2" s="69"/>
      <c r="Q2" s="69"/>
      <c r="R2" s="69"/>
      <c r="S2" s="69"/>
      <c r="T2" s="69"/>
      <c r="U2" s="69"/>
      <c r="V2" s="69"/>
      <c r="W2" s="69"/>
      <c r="X2" s="69"/>
      <c r="Y2" s="69"/>
      <c r="Z2" s="69"/>
      <c r="AA2" s="70"/>
      <c r="AB2" s="70"/>
      <c r="AC2" s="70"/>
      <c r="AD2" s="70"/>
      <c r="AE2" s="327"/>
      <c r="AF2" s="910"/>
      <c r="AG2" s="909"/>
      <c r="AH2" s="909" t="s">
        <v>23</v>
      </c>
      <c r="AI2" s="909"/>
      <c r="AJ2" s="909"/>
      <c r="AK2" s="909"/>
      <c r="AL2" s="909"/>
      <c r="AM2" s="909"/>
      <c r="AN2" s="909"/>
      <c r="AO2" s="909"/>
      <c r="AP2" s="909"/>
      <c r="AQ2" s="909"/>
      <c r="AR2" s="909"/>
      <c r="AS2" s="909"/>
      <c r="AT2" s="909"/>
      <c r="AU2" s="909"/>
      <c r="AV2" s="909" t="s">
        <v>24</v>
      </c>
      <c r="AW2" s="909" t="s">
        <v>25</v>
      </c>
      <c r="AX2" s="909"/>
      <c r="AY2" s="909"/>
      <c r="AZ2" s="909"/>
      <c r="BA2" s="909"/>
      <c r="BB2" s="909"/>
      <c r="BC2" s="909"/>
      <c r="BD2" s="909"/>
      <c r="BE2" s="909"/>
      <c r="BF2" s="909"/>
      <c r="BG2" s="909"/>
      <c r="BH2" s="909"/>
      <c r="BI2" s="909"/>
      <c r="BJ2" s="909"/>
      <c r="BK2" s="909"/>
      <c r="BL2" s="909"/>
      <c r="BM2" s="909"/>
      <c r="BN2" s="909"/>
      <c r="BO2" s="909"/>
      <c r="BP2" s="909"/>
      <c r="BQ2" s="909"/>
      <c r="BR2" s="909"/>
      <c r="BS2" s="909"/>
      <c r="BT2" s="909"/>
      <c r="BU2" s="909"/>
      <c r="BV2" s="909"/>
      <c r="BW2" s="909"/>
      <c r="BX2" s="909"/>
      <c r="BY2" s="909"/>
      <c r="BZ2" s="909"/>
      <c r="CA2" s="909"/>
      <c r="CB2" s="909"/>
      <c r="CC2" s="909"/>
      <c r="CD2" s="909"/>
      <c r="CE2" s="909"/>
      <c r="CF2" s="909"/>
      <c r="CG2" s="909"/>
      <c r="CT2" s="909" t="s">
        <v>61</v>
      </c>
    </row>
    <row r="3" spans="1:169 5689:5689 8944:8944 13447:13447" ht="16" thickBot="1">
      <c r="A3" s="66"/>
      <c r="B3" s="66"/>
      <c r="C3" s="66"/>
      <c r="D3" s="66"/>
      <c r="E3" s="84"/>
      <c r="F3" s="83" t="s">
        <v>12</v>
      </c>
      <c r="G3" s="83" t="s">
        <v>72</v>
      </c>
      <c r="H3" s="85" t="s">
        <v>75</v>
      </c>
      <c r="I3" s="86" t="s">
        <v>20</v>
      </c>
      <c r="J3" s="83"/>
      <c r="K3" s="87" t="s">
        <v>22</v>
      </c>
      <c r="L3" s="87" t="s">
        <v>22</v>
      </c>
      <c r="M3" s="87"/>
      <c r="N3" s="88" t="s">
        <v>21</v>
      </c>
      <c r="O3" s="69"/>
      <c r="P3" s="69"/>
      <c r="Q3" s="69"/>
      <c r="R3" s="69"/>
      <c r="S3" s="69"/>
      <c r="T3" s="69"/>
      <c r="U3" s="69"/>
      <c r="V3" s="69"/>
      <c r="W3" s="69"/>
      <c r="X3" s="69"/>
      <c r="Y3" s="69"/>
      <c r="Z3" s="69"/>
      <c r="AA3" s="70"/>
      <c r="AB3" s="70"/>
      <c r="AC3" s="70"/>
      <c r="AD3" s="70"/>
      <c r="AE3" s="327"/>
      <c r="AF3" s="910"/>
      <c r="AG3" s="909"/>
      <c r="AH3" s="909"/>
      <c r="AI3" s="909"/>
      <c r="AJ3" s="909"/>
      <c r="AK3" s="909"/>
      <c r="AL3" s="909"/>
      <c r="AM3" s="909"/>
      <c r="AN3" s="909"/>
      <c r="AO3" s="909"/>
      <c r="AP3" s="909"/>
      <c r="AQ3" s="909"/>
      <c r="AR3" s="909"/>
      <c r="AS3" s="909"/>
      <c r="AT3" s="909"/>
      <c r="AU3" s="909"/>
      <c r="AV3" s="909" t="s">
        <v>30</v>
      </c>
      <c r="AW3" s="912">
        <f>AW4*2</f>
        <v>2222000000</v>
      </c>
      <c r="AX3" s="909"/>
      <c r="AY3" s="909"/>
      <c r="AZ3" s="909"/>
      <c r="BA3" s="909"/>
      <c r="BB3" s="909"/>
      <c r="BC3" s="909"/>
      <c r="BD3" s="909"/>
      <c r="BE3" s="909"/>
      <c r="BF3" s="909"/>
      <c r="BG3" s="909"/>
      <c r="BH3" s="909"/>
      <c r="BI3" s="909"/>
      <c r="BJ3" s="909"/>
      <c r="BK3" s="909"/>
      <c r="BL3" s="909"/>
      <c r="BM3" s="909"/>
      <c r="BN3" s="909"/>
      <c r="BO3" s="909"/>
      <c r="BP3" s="909"/>
      <c r="BQ3" s="909"/>
      <c r="BR3" s="909"/>
      <c r="BS3" s="909"/>
      <c r="BT3" s="909"/>
      <c r="BU3" s="909"/>
      <c r="BV3" s="909"/>
      <c r="BW3" s="909"/>
      <c r="BX3" s="909"/>
      <c r="BY3" s="909"/>
      <c r="BZ3" s="909"/>
      <c r="CA3" s="909"/>
      <c r="CB3" s="909"/>
      <c r="CC3" s="909"/>
      <c r="CD3" s="909"/>
      <c r="CE3" s="909"/>
      <c r="CF3" s="909"/>
      <c r="CG3" s="909"/>
      <c r="CL3" s="910">
        <v>1</v>
      </c>
      <c r="CM3" s="910">
        <v>12</v>
      </c>
      <c r="CN3" s="910">
        <v>18</v>
      </c>
      <c r="CO3" s="910">
        <v>19</v>
      </c>
      <c r="CP3" s="910">
        <v>13</v>
      </c>
      <c r="CQ3" s="910">
        <v>20</v>
      </c>
      <c r="CR3" s="910">
        <v>21</v>
      </c>
      <c r="CS3" s="910">
        <v>22</v>
      </c>
      <c r="CT3" s="910">
        <v>3</v>
      </c>
      <c r="CU3" s="910">
        <v>2</v>
      </c>
      <c r="CV3" s="910">
        <v>14</v>
      </c>
      <c r="CW3" s="910">
        <v>17</v>
      </c>
      <c r="CX3" s="910">
        <v>16</v>
      </c>
      <c r="CY3" s="910">
        <v>15</v>
      </c>
      <c r="CZ3" s="910">
        <v>4</v>
      </c>
      <c r="DA3" s="910">
        <v>5</v>
      </c>
      <c r="DB3" s="910">
        <v>10</v>
      </c>
      <c r="DC3" s="910">
        <v>8</v>
      </c>
      <c r="DD3" s="910">
        <v>6</v>
      </c>
      <c r="DE3" s="910">
        <v>11</v>
      </c>
      <c r="DF3" s="910">
        <v>7</v>
      </c>
      <c r="DG3" s="910">
        <v>9</v>
      </c>
      <c r="DH3" s="910"/>
      <c r="DI3" s="910"/>
      <c r="EC3" s="911" t="s">
        <v>41</v>
      </c>
      <c r="ED3" s="911" t="s">
        <v>42</v>
      </c>
      <c r="EE3" s="911" t="s">
        <v>44</v>
      </c>
      <c r="EF3" s="911" t="s">
        <v>45</v>
      </c>
      <c r="EG3" s="911" t="s">
        <v>46</v>
      </c>
      <c r="EH3" s="911" t="s">
        <v>47</v>
      </c>
      <c r="EI3" s="911" t="s">
        <v>48</v>
      </c>
      <c r="EJ3" s="911" t="s">
        <v>49</v>
      </c>
      <c r="EK3" s="911" t="s">
        <v>50</v>
      </c>
      <c r="EL3" s="911" t="s">
        <v>51</v>
      </c>
      <c r="MEZ3" s="909" t="s">
        <v>18</v>
      </c>
    </row>
    <row r="4" spans="1:169 5689:5689 8944:8944 13447:13447" ht="15" customHeight="1">
      <c r="A4" s="871" t="s">
        <v>74</v>
      </c>
      <c r="B4" s="872" t="s">
        <v>0</v>
      </c>
      <c r="C4" s="873">
        <f>COUNTIF(Equipos!$C$2:$C$33,MUNDIAL!B4)</f>
        <v>4</v>
      </c>
      <c r="D4" s="152"/>
      <c r="E4" s="1019" t="s">
        <v>0</v>
      </c>
      <c r="F4" s="27">
        <f>Horarios!C4</f>
        <v>44886.791666666664</v>
      </c>
      <c r="G4" s="28">
        <f>Horarios!C4</f>
        <v>44886.791666666664</v>
      </c>
      <c r="H4" s="27" t="s">
        <v>69</v>
      </c>
      <c r="I4" s="29" t="str">
        <f ca="1">A7</f>
        <v>Senegal</v>
      </c>
      <c r="J4" s="396" t="str">
        <f ca="1">VLOOKUP(I4,Equipos!$H$2:$I$33,2,0)</f>
        <v>🇸🇳</v>
      </c>
      <c r="K4" s="30">
        <v>0</v>
      </c>
      <c r="L4" s="30">
        <v>2</v>
      </c>
      <c r="M4" s="399" t="str">
        <f ca="1">VLOOKUP(N4,Equipos!$H$2:$I$33,2,0)</f>
        <v>🇳🇱</v>
      </c>
      <c r="N4" s="31" t="str">
        <f ca="1">A8</f>
        <v>Paises Bajos</v>
      </c>
      <c r="O4" s="347">
        <f>IF(NOT(OR(ISBLANK(K4),ISBLANK(L4))),1,0)</f>
        <v>1</v>
      </c>
      <c r="P4" s="82"/>
      <c r="Q4" s="108" t="str">
        <f>CONCATENATE("Grupo"," ",B4)</f>
        <v>Grupo A</v>
      </c>
      <c r="R4" s="109"/>
      <c r="S4" s="109"/>
      <c r="T4" s="109"/>
      <c r="U4" s="109"/>
      <c r="V4" s="109"/>
      <c r="W4" s="109"/>
      <c r="X4" s="109"/>
      <c r="Y4" s="109"/>
      <c r="Z4" s="110"/>
      <c r="AA4" s="93"/>
      <c r="AB4" s="1015" t="s">
        <v>65</v>
      </c>
      <c r="AC4" s="1015"/>
      <c r="AD4" s="1015"/>
      <c r="AE4" s="327"/>
      <c r="AF4" s="910"/>
      <c r="AG4" s="909"/>
      <c r="AH4" s="909" t="str">
        <f>CONCATENATE("Auxiliar - ",Q4)</f>
        <v>Auxiliar - Grupo A</v>
      </c>
      <c r="AI4" s="909"/>
      <c r="AJ4" s="909"/>
      <c r="AK4" s="909"/>
      <c r="AL4" s="909"/>
      <c r="AM4" s="909"/>
      <c r="AN4" s="909"/>
      <c r="AO4" s="909"/>
      <c r="AP4" s="909"/>
      <c r="AQ4" s="909"/>
      <c r="AR4" s="909"/>
      <c r="AS4" s="909"/>
      <c r="AT4" s="909"/>
      <c r="AU4" s="909" t="s">
        <v>38</v>
      </c>
      <c r="AV4" s="909" t="s">
        <v>170</v>
      </c>
      <c r="AW4" s="912">
        <f>AW6*1111</f>
        <v>1111000000</v>
      </c>
      <c r="AX4" s="909"/>
      <c r="AY4" s="910" t="str">
        <f>CONCATENATE(Q4," - GOLAVERAGE")</f>
        <v>Grupo A - GOLAVERAGE</v>
      </c>
      <c r="AZ4" s="909"/>
      <c r="BA4" s="909"/>
      <c r="BB4" s="909" t="s">
        <v>28</v>
      </c>
      <c r="BC4" s="909"/>
      <c r="BD4" s="909"/>
      <c r="BE4" s="909"/>
      <c r="BF4" s="909"/>
      <c r="BG4" s="909"/>
      <c r="BH4" s="909" t="s">
        <v>27</v>
      </c>
      <c r="BI4" s="909"/>
      <c r="BJ4" s="909"/>
      <c r="BK4" s="909"/>
      <c r="BL4" s="909"/>
      <c r="BM4" s="909"/>
      <c r="BN4" s="909" t="s">
        <v>123</v>
      </c>
      <c r="BO4" s="909"/>
      <c r="BP4" s="909"/>
      <c r="BQ4" s="909"/>
      <c r="BR4" s="909"/>
      <c r="BS4" s="909"/>
      <c r="CI4" s="909" t="s">
        <v>62</v>
      </c>
      <c r="CK4" s="909" t="s">
        <v>63</v>
      </c>
      <c r="CL4" s="909">
        <f t="shared" ref="CL4:DG4" ca="1" si="0">SUM(CL6:CL9)</f>
        <v>0</v>
      </c>
      <c r="CM4" s="909">
        <f t="shared" ca="1" si="0"/>
        <v>0</v>
      </c>
      <c r="CN4" s="909">
        <f t="shared" ca="1" si="0"/>
        <v>0</v>
      </c>
      <c r="CO4" s="909">
        <f t="shared" ca="1" si="0"/>
        <v>2</v>
      </c>
      <c r="CP4" s="909">
        <f t="shared" ca="1" si="0"/>
        <v>0</v>
      </c>
      <c r="CQ4" s="909">
        <f t="shared" ca="1" si="0"/>
        <v>2</v>
      </c>
      <c r="CR4" s="909">
        <f t="shared" ca="1" si="0"/>
        <v>2</v>
      </c>
      <c r="CS4" s="909">
        <f t="shared" ca="1" si="0"/>
        <v>4</v>
      </c>
      <c r="CT4" s="909">
        <f t="shared" ca="1" si="0"/>
        <v>0</v>
      </c>
      <c r="CU4" s="909">
        <f t="shared" ca="1" si="0"/>
        <v>0</v>
      </c>
      <c r="CV4" s="909">
        <f t="shared" ca="1" si="0"/>
        <v>0</v>
      </c>
      <c r="CW4" s="909">
        <f t="shared" ca="1" si="0"/>
        <v>1</v>
      </c>
      <c r="CX4" s="909">
        <f t="shared" ca="1" si="0"/>
        <v>1</v>
      </c>
      <c r="CY4" s="909">
        <f t="shared" ca="1" si="0"/>
        <v>1</v>
      </c>
      <c r="CZ4" s="909">
        <f t="shared" ca="1" si="0"/>
        <v>0</v>
      </c>
      <c r="DA4" s="909">
        <f t="shared" ca="1" si="0"/>
        <v>0</v>
      </c>
      <c r="DB4" s="909">
        <f t="shared" ca="1" si="0"/>
        <v>0</v>
      </c>
      <c r="DC4" s="909">
        <f t="shared" ca="1" si="0"/>
        <v>0</v>
      </c>
      <c r="DD4" s="909">
        <f t="shared" ca="1" si="0"/>
        <v>0</v>
      </c>
      <c r="DE4" s="909">
        <f t="shared" ca="1" si="0"/>
        <v>0</v>
      </c>
      <c r="DF4" s="909">
        <f t="shared" ca="1" si="0"/>
        <v>0</v>
      </c>
      <c r="DG4" s="909">
        <f t="shared" ca="1" si="0"/>
        <v>0</v>
      </c>
      <c r="EC4" s="911">
        <v>1234</v>
      </c>
      <c r="ED4" s="911">
        <v>123</v>
      </c>
      <c r="EE4" s="911">
        <v>12</v>
      </c>
      <c r="EF4" s="911">
        <v>234</v>
      </c>
      <c r="EG4" s="911">
        <v>34</v>
      </c>
      <c r="EH4" s="911">
        <v>23</v>
      </c>
      <c r="EI4" s="911">
        <v>1</v>
      </c>
      <c r="EJ4" s="911">
        <v>2</v>
      </c>
      <c r="EK4" s="911">
        <v>3</v>
      </c>
      <c r="EL4" s="911">
        <v>4</v>
      </c>
    </row>
    <row r="5" spans="1:169 5689:5689 8944:8944 13447:13447" ht="16" thickBot="1">
      <c r="A5" s="871" t="str">
        <f t="array" aca="1" ref="A5" ca="1">IF(ROWS(A$5:A5)&lt;=$C$4,INDEX(INDIRECT(A$4),SMALL(IF(Nivell=$B$4,ROW(Nivell)-ROW(Equipos!$C$2)+1),ROWS(B$4:B4))),"")</f>
        <v>Catar</v>
      </c>
      <c r="B5" s="872"/>
      <c r="C5" s="872"/>
      <c r="D5" s="152"/>
      <c r="E5" s="1020"/>
      <c r="F5" s="12">
        <f>Horarios!C5</f>
        <v>44885.791666666664</v>
      </c>
      <c r="G5" s="13">
        <f>Horarios!C5</f>
        <v>44885.791666666664</v>
      </c>
      <c r="H5" s="12" t="s">
        <v>69</v>
      </c>
      <c r="I5" s="14" t="str">
        <f ca="1">A5</f>
        <v>Catar</v>
      </c>
      <c r="J5" s="397" t="str">
        <f ca="1">VLOOKUP(I5,Equipos!$H$2:$I$33,2,0)</f>
        <v>🇶🇦</v>
      </c>
      <c r="K5" s="15">
        <v>0</v>
      </c>
      <c r="L5" s="15">
        <v>2</v>
      </c>
      <c r="M5" s="400" t="str">
        <f ca="1">VLOOKUP(N5,Equipos!$H$2:$I$33,2,0)</f>
        <v>🇪🇨</v>
      </c>
      <c r="N5" s="32" t="str">
        <f ca="1">A6</f>
        <v>Ecuador</v>
      </c>
      <c r="O5" s="347">
        <f t="shared" ref="O5:O9" si="1">IF(NOT(OR(ISBLANK(K5),ISBLANK(L5))),1,0)</f>
        <v>1</v>
      </c>
      <c r="P5" s="82"/>
      <c r="Q5" s="111" t="s">
        <v>17</v>
      </c>
      <c r="R5" s="112" t="s">
        <v>100</v>
      </c>
      <c r="S5" s="113" t="s">
        <v>76</v>
      </c>
      <c r="T5" s="113" t="s">
        <v>6</v>
      </c>
      <c r="U5" s="113" t="s">
        <v>7</v>
      </c>
      <c r="V5" s="113" t="s">
        <v>3</v>
      </c>
      <c r="W5" s="113" t="s">
        <v>8</v>
      </c>
      <c r="X5" s="113" t="s">
        <v>9</v>
      </c>
      <c r="Y5" s="113" t="s">
        <v>10</v>
      </c>
      <c r="Z5" s="114" t="s">
        <v>99</v>
      </c>
      <c r="AA5" s="93">
        <f ca="1">COUNTIF(AA6:AA9,"&lt;100")</f>
        <v>0</v>
      </c>
      <c r="AB5" s="1015"/>
      <c r="AC5" s="1015"/>
      <c r="AD5" s="1015"/>
      <c r="AE5" s="327"/>
      <c r="AF5" s="910"/>
      <c r="AG5" s="913" t="s">
        <v>38</v>
      </c>
      <c r="AH5" s="913" t="s">
        <v>13</v>
      </c>
      <c r="AI5" s="913" t="s">
        <v>5</v>
      </c>
      <c r="AJ5" s="913" t="s">
        <v>14</v>
      </c>
      <c r="AK5" s="913" t="s">
        <v>6</v>
      </c>
      <c r="AL5" s="913" t="s">
        <v>7</v>
      </c>
      <c r="AM5" s="913" t="s">
        <v>3</v>
      </c>
      <c r="AN5" s="913" t="s">
        <v>8</v>
      </c>
      <c r="AO5" s="913" t="s">
        <v>9</v>
      </c>
      <c r="AP5" s="913" t="s">
        <v>10</v>
      </c>
      <c r="AQ5" s="913" t="s">
        <v>11</v>
      </c>
      <c r="AR5" s="913" t="s">
        <v>15</v>
      </c>
      <c r="AS5" s="913" t="s">
        <v>13</v>
      </c>
      <c r="AT5" s="909"/>
      <c r="AU5" s="909"/>
      <c r="AV5" s="909" t="s">
        <v>164</v>
      </c>
      <c r="AW5" s="912">
        <f>AW6*5</f>
        <v>5000000</v>
      </c>
      <c r="AX5" s="909"/>
      <c r="AY5" s="913" t="s">
        <v>5</v>
      </c>
      <c r="AZ5" s="913" t="s">
        <v>29</v>
      </c>
      <c r="BA5" s="913" t="s">
        <v>32</v>
      </c>
      <c r="BB5" s="913" t="s">
        <v>31</v>
      </c>
      <c r="BC5" s="913" t="s">
        <v>26</v>
      </c>
      <c r="BD5" s="913" t="str">
        <f ca="1">AY6</f>
        <v>Catar</v>
      </c>
      <c r="BE5" s="913" t="str">
        <f ca="1">AY7</f>
        <v>Ecuador</v>
      </c>
      <c r="BF5" s="913" t="str">
        <f ca="1">AY8</f>
        <v>Senegal</v>
      </c>
      <c r="BG5" s="913" t="str">
        <f ca="1">AY9</f>
        <v>Paises Bajos</v>
      </c>
      <c r="BH5" s="913" t="s">
        <v>31</v>
      </c>
      <c r="BI5" s="913" t="s">
        <v>26</v>
      </c>
      <c r="BJ5" s="913" t="str">
        <f ca="1">BD5</f>
        <v>Catar</v>
      </c>
      <c r="BK5" s="913" t="str">
        <f ca="1">BE5</f>
        <v>Ecuador</v>
      </c>
      <c r="BL5" s="913" t="str">
        <f ca="1">BF5</f>
        <v>Senegal</v>
      </c>
      <c r="BM5" s="913" t="str">
        <f ca="1">BG5</f>
        <v>Paises Bajos</v>
      </c>
      <c r="BN5" s="913" t="s">
        <v>31</v>
      </c>
      <c r="BO5" s="913" t="s">
        <v>26</v>
      </c>
      <c r="BP5" s="913" t="str">
        <f ca="1">BD5</f>
        <v>Catar</v>
      </c>
      <c r="BQ5" s="913" t="str">
        <f ca="1">BE5</f>
        <v>Ecuador</v>
      </c>
      <c r="BR5" s="913" t="str">
        <f ca="1">BF5</f>
        <v>Senegal</v>
      </c>
      <c r="BS5" s="913" t="str">
        <f ca="1">BG5</f>
        <v>Paises Bajos</v>
      </c>
      <c r="BU5" s="914"/>
      <c r="BV5" s="914" t="s">
        <v>39</v>
      </c>
      <c r="BW5" s="915" t="s">
        <v>144</v>
      </c>
      <c r="BX5" s="914" t="s">
        <v>40</v>
      </c>
      <c r="BY5" s="914"/>
      <c r="CA5" s="914"/>
      <c r="CB5" s="914" t="s">
        <v>5</v>
      </c>
      <c r="CC5" s="914" t="s">
        <v>14</v>
      </c>
      <c r="CD5" s="914" t="s">
        <v>59</v>
      </c>
      <c r="CE5" s="914" t="s">
        <v>11</v>
      </c>
      <c r="CF5" s="914" t="s">
        <v>60</v>
      </c>
      <c r="CG5" s="914"/>
      <c r="CK5" s="909" t="s">
        <v>64</v>
      </c>
      <c r="CL5" s="909" t="s">
        <v>43</v>
      </c>
      <c r="CM5" s="909" t="s">
        <v>52</v>
      </c>
      <c r="CN5" s="909" t="s">
        <v>53</v>
      </c>
      <c r="CO5" s="909" t="s">
        <v>54</v>
      </c>
      <c r="CP5" s="909" t="s">
        <v>55</v>
      </c>
      <c r="CQ5" s="909" t="s">
        <v>56</v>
      </c>
      <c r="CR5" s="909" t="s">
        <v>57</v>
      </c>
      <c r="CS5" s="909" t="s">
        <v>58</v>
      </c>
      <c r="CT5" s="909" t="s">
        <v>53</v>
      </c>
      <c r="CU5" s="909" t="s">
        <v>53</v>
      </c>
      <c r="CV5" s="909" t="s">
        <v>54</v>
      </c>
      <c r="CW5" s="909" t="s">
        <v>57</v>
      </c>
      <c r="CX5" s="909" t="s">
        <v>56</v>
      </c>
      <c r="CY5" s="909" t="s">
        <v>56</v>
      </c>
      <c r="CZ5" s="909" t="s">
        <v>55</v>
      </c>
      <c r="DA5" s="909" t="s">
        <v>52</v>
      </c>
      <c r="DB5" s="909" t="s">
        <v>57</v>
      </c>
      <c r="DC5" s="909" t="s">
        <v>56</v>
      </c>
      <c r="DD5" s="909" t="s">
        <v>54</v>
      </c>
      <c r="DE5" s="909" t="s">
        <v>57</v>
      </c>
      <c r="DF5" s="909" t="s">
        <v>54</v>
      </c>
      <c r="DG5" s="909" t="s">
        <v>56</v>
      </c>
      <c r="EC5" s="911">
        <v>1</v>
      </c>
      <c r="ED5" s="911">
        <v>1</v>
      </c>
      <c r="EE5" s="911">
        <v>1</v>
      </c>
      <c r="EF5" s="911">
        <v>2</v>
      </c>
      <c r="EG5" s="911">
        <v>3</v>
      </c>
      <c r="EH5" s="911">
        <v>2</v>
      </c>
      <c r="EI5" s="911">
        <v>1</v>
      </c>
      <c r="EJ5" s="911">
        <v>2</v>
      </c>
      <c r="EK5" s="911">
        <v>3</v>
      </c>
      <c r="EL5" s="911">
        <v>4</v>
      </c>
      <c r="FI5" s="913"/>
      <c r="FK5" s="913"/>
      <c r="FM5" s="913"/>
    </row>
    <row r="6" spans="1:169 5689:5689 8944:8944 13447:13447">
      <c r="A6" s="871" t="str">
        <f t="array" aca="1" ref="A6" ca="1">IF(ROWS(A$5:A6)&lt;=$C$4,INDEX(INDIRECT(A$4),SMALL(IF(Nivell=$B$4,ROW(Nivell)-ROW(Equipos!$C$2)+1),ROWS(B$4:B5))),"")</f>
        <v>Ecuador</v>
      </c>
      <c r="B6" s="872"/>
      <c r="C6" s="874"/>
      <c r="D6" s="152"/>
      <c r="E6" s="1020"/>
      <c r="F6" s="12">
        <f>Horarios!C6</f>
        <v>44890.666666666664</v>
      </c>
      <c r="G6" s="13">
        <f>Horarios!C6</f>
        <v>44890.666666666664</v>
      </c>
      <c r="H6" s="12" t="s">
        <v>70</v>
      </c>
      <c r="I6" s="14" t="str">
        <f ca="1">A5</f>
        <v>Catar</v>
      </c>
      <c r="J6" s="397" t="str">
        <f ca="1">VLOOKUP(I6,Equipos!$H$2:$I$33,2,0)</f>
        <v>🇶🇦</v>
      </c>
      <c r="K6" s="15">
        <v>1</v>
      </c>
      <c r="L6" s="15">
        <v>2</v>
      </c>
      <c r="M6" s="400" t="str">
        <f ca="1">VLOOKUP(N6,Equipos!$H$2:$I$33,2,0)</f>
        <v>🇸🇳</v>
      </c>
      <c r="N6" s="32" t="str">
        <f ca="1">A7</f>
        <v>Senegal</v>
      </c>
      <c r="O6" s="347">
        <f t="shared" si="1"/>
        <v>1</v>
      </c>
      <c r="P6" s="82"/>
      <c r="Q6" s="98">
        <v>1</v>
      </c>
      <c r="R6" s="99" t="str">
        <f ca="1">VLOOKUP(Q6,$AG$6:$AI$9,3,0)</f>
        <v>Paises Bajos</v>
      </c>
      <c r="S6" s="100">
        <f ca="1">VLOOKUP(R6,$AI$6:$AR$9,2,FALSE)</f>
        <v>7</v>
      </c>
      <c r="T6" s="100">
        <f ca="1">VLOOKUP($R6,$AI$6:$AR$9,3,FALSE)</f>
        <v>3</v>
      </c>
      <c r="U6" s="100">
        <f ca="1">VLOOKUP($R6,$AI$6:$AR$9,4,FALSE)</f>
        <v>2</v>
      </c>
      <c r="V6" s="100">
        <f ca="1">VLOOKUP($R6,$AI$6:$AR$9,5,FALSE)</f>
        <v>1</v>
      </c>
      <c r="W6" s="100">
        <f ca="1">VLOOKUP($R6,$AI$6:$AR$9,6,FALSE)</f>
        <v>0</v>
      </c>
      <c r="X6" s="100">
        <f ca="1">VLOOKUP($R6,$AI$6:$AR$9,7,FALSE)</f>
        <v>5</v>
      </c>
      <c r="Y6" s="100">
        <f ca="1">VLOOKUP($R6,$AI$6:$AR$9,8,FALSE)</f>
        <v>1</v>
      </c>
      <c r="Z6" s="101">
        <f ca="1">VLOOKUP($R6,$AI$6:$AR$9,9,FALSE)</f>
        <v>4</v>
      </c>
      <c r="AA6" s="357">
        <f ca="1">IF(SUM($AK$6:$AK$9)=12,MIN(ABS(BY5-BY6),ABS(BY6-BY7)),100)</f>
        <v>1131999999.9899998</v>
      </c>
      <c r="AB6" s="94" t="str">
        <f ca="1">IF(AND(AA6&gt;=0,AA6&lt;90),VLOOKUP(Q6,$BU$6:$BV$9,2,0),"")</f>
        <v/>
      </c>
      <c r="AC6" s="73"/>
      <c r="AD6" s="74"/>
      <c r="AE6" s="328"/>
      <c r="AF6" s="910">
        <f ca="1">VLOOKUP($R6,$AI$6:$AR$9,10,FALSE)</f>
        <v>7802210499.96</v>
      </c>
      <c r="AG6" s="909">
        <f ca="1">RANK(AU6,$AU$6:$AU$9)</f>
        <v>4</v>
      </c>
      <c r="AH6" s="909">
        <f ca="1">RANK(AR6,$AR$6:$AR$9)</f>
        <v>4</v>
      </c>
      <c r="AI6" s="911" t="str">
        <f ca="1">A5</f>
        <v>Catar</v>
      </c>
      <c r="AJ6" s="909">
        <f ca="1">AL6*3+AM6*1+AN6*0</f>
        <v>0</v>
      </c>
      <c r="AK6" s="909">
        <f ca="1">COUNTIFS($I$4:$I$65,AI6,$K$4:$K$65,"&lt;&gt;",$L$4:$L$65,"&lt;&gt;")+COUNTIFS($N$4:$N$65,AI6,$L$4:$L$65,"&lt;&gt;",$K$4:$K$65,"&lt;&gt;")</f>
        <v>3</v>
      </c>
      <c r="AL6" s="909">
        <f t="array" aca="1" ref="AL6" ca="1">SUM(($I$4:$I$65=AI6)*($K$4:$K$65&lt;&gt;"")*($L$4:$L$65&lt;&gt;"")*($K$4:$K$65&gt;$L$4:$L$65),($N$4:$N$65=AI6)*($K$4:$K$65&lt;&gt;"")*($L$4:$L$65&lt;&gt;"")*($K$4:$K$65&lt;$L$4:$L$65))</f>
        <v>0</v>
      </c>
      <c r="AM6" s="909">
        <f t="array" aca="1" ref="AM6" ca="1">SUM(($I$4:$I$65=AI6)*($K$4:$K$65&lt;&gt;"")*($L$4:$L$65&lt;&gt;"")*($K$4:$K$65=$L$4:$L$65),($N$4:$N$65=AI6)*($K$4:$K$65&lt;&gt;"")*($L$4:$L$65&lt;&gt;"")*($K$4:$K$65=$L$4:$L$65))</f>
        <v>0</v>
      </c>
      <c r="AN6" s="909">
        <f t="array" aca="1" ref="AN6" ca="1">SUM(($I$4:$I$65=AI6)*($L$4:$L$65&lt;&gt;"")*($K$4:$K$65&lt;&gt;"")*($K$4:$K$65&lt;$L$4:$L$65),($K$4:$K$65&lt;&gt;"")*($N$4:$N$65=AI6)*($L$4:$L$65&lt;&gt;"")*($K$4:$K$65&gt;$L$4:$L$65))</f>
        <v>3</v>
      </c>
      <c r="AO6" s="909">
        <f t="array" aca="1" ref="AO6" ca="1">SUMIFS($K$4:$K$65,$I$4:$I$65,AI6,$K$4:$K$65,"&lt;&gt;",$L$4:$L$65,"&lt;&gt;")+SUMIFS($L$4:$L$65,$N$4:$N$65,AI6,$K$4:$K$65,"&lt;&gt;",$L$4:$L$65,"&lt;&gt;")</f>
        <v>1</v>
      </c>
      <c r="AP6" s="909">
        <f t="array" aca="1" ref="AP6" ca="1">SUMIFS($K$4:$K$65,$N$4:$N$65,AI6,$K$4:$K$65,"&lt;&gt;",$L$4:$L$65,"&lt;&gt;")+SUMIFS($L$4:$L$65,$I$4:$I$65,AI6,$K$4:$K$65,"&lt;&gt;",$L$4:$L$65,"&lt;&gt;")</f>
        <v>6</v>
      </c>
      <c r="AQ6" s="909">
        <f ca="1">AO6-AP6</f>
        <v>-5</v>
      </c>
      <c r="AR6" s="909">
        <f ca="1">IF(AK6=0,-($AW$11*VLOOKUP(AI6,Tabla3[[NombreEquipo]:[Rank]],3,FALSE)),AJ6*$AW$4+AQ6*$AW$5+AO6*$AW$6+BA6-($AW$11*VLOOKUP(AI6,Tabla3[[NombreEquipo]:[Rank]],3,FALSE)/100))</f>
        <v>-23789500.010000002</v>
      </c>
      <c r="AS6" s="909">
        <f ca="1">AH6</f>
        <v>4</v>
      </c>
      <c r="AT6" s="909"/>
      <c r="AU6" s="909">
        <f ca="1">IFERROR(AR6-VLOOKUP(AI6,$AB$6:$AC$9,2,0),AR6)</f>
        <v>-23789500.010000002</v>
      </c>
      <c r="AV6" s="909" t="s">
        <v>165</v>
      </c>
      <c r="AW6" s="912">
        <f>AW7*5</f>
        <v>1000000</v>
      </c>
      <c r="AX6" s="909"/>
      <c r="AY6" s="916" t="str">
        <f ca="1">AI6</f>
        <v>Catar</v>
      </c>
      <c r="AZ6" s="909">
        <f ca="1">COUNTIF(AJ6:AJ9,AJ6)</f>
        <v>1</v>
      </c>
      <c r="BA6" s="909">
        <f ca="1">(BB6*$AW$9)+(BH6*$AW$8)+(BN6*$AW$7)</f>
        <v>210500</v>
      </c>
      <c r="BB6" s="917">
        <f ca="1">RANK(BC6,BC6:BC9,1)</f>
        <v>1</v>
      </c>
      <c r="BC6" s="917">
        <f ca="1">SUM(IF(AND(AJ6=AJ7,AQ6=AQ7,AO6=AO7),BE6,0),IF(AND(AJ6=AJ8,AQ6=AQ8,AO6=AO8),BF6,0),IF(AND(AJ6=AJ9,AQ6=AQ9,AO6=AO9),BG6,0))</f>
        <v>0</v>
      </c>
      <c r="BD6" s="917">
        <v>0</v>
      </c>
      <c r="BE6" s="917">
        <f t="array" aca="1" ref="BE6" ca="1">SUMIFS($K$4:$K$9,$I$4:$I$9,$AY6,$K$4:$K$9,"&lt;&gt;",$L$4:$L$9,"&lt;&gt;",$N$4:$N$9,BE5)+SUMIFS($L$4:$L$9,$I$4:$I$9,BE5,$K$4:$K$9,"&lt;&gt;",$L$4:$L$9,"&lt;&gt;",$N$4:$N$9,$AY6)</f>
        <v>0</v>
      </c>
      <c r="BF6" s="917">
        <f t="array" aca="1" ref="BF6" ca="1">SUMIFS($K$4:$K$9,$I$4:$I$9,$AY6,$K$4:$K$9,"&lt;&gt;",$L$4:$L$9,"&lt;&gt;",$N$4:$N$9,BF5)+SUMIFS($L$4:$L$9,$I$4:$I$9,BF5,$K$4:$K$9,"&lt;&gt;",$L$4:$L$9,"&lt;&gt;",$N$4:$N$9,$AY6)</f>
        <v>1</v>
      </c>
      <c r="BG6" s="917">
        <f t="array" aca="1" ref="BG6" ca="1">SUMIFS($K$4:$K$9,$I$4:$I$9,$AY6,$K$4:$K$9,"&lt;&gt;",$L$4:$L$9,"&lt;&gt;",$N$4:$N$9,BG5)+SUMIFS($L$4:$L$9,$I$4:$I$9,BG5,$K$4:$K$9,"&lt;&gt;",$L$4:$L$9,"&lt;&gt;",$N$4:$N$9,$AY6)</f>
        <v>0</v>
      </c>
      <c r="BH6" s="917">
        <f ca="1">RANK(BI6,BI6:BI9,1)</f>
        <v>1</v>
      </c>
      <c r="BI6" s="917">
        <f ca="1">SUM(IF(AND(AJ6=AJ7,AQ6=AQ7,AO6=AO7),BK6,0),IF(AND(AJ6=AJ8,AQ6=AQ8,AO6=AO8),BL6,0),IF(AND(AJ6=AJ9,AQ6=AQ9,AO6=AO9),BM6,0))</f>
        <v>0</v>
      </c>
      <c r="BJ6" s="917">
        <v>0</v>
      </c>
      <c r="BK6" s="917">
        <f ca="1">BE6-BD7</f>
        <v>-2</v>
      </c>
      <c r="BL6" s="917">
        <f ca="1">BF6-BD8</f>
        <v>-1</v>
      </c>
      <c r="BM6" s="917">
        <f ca="1">BG6-BD9</f>
        <v>-2</v>
      </c>
      <c r="BN6" s="917">
        <f ca="1">RANK(BO6,BO6:BO9,1)</f>
        <v>1</v>
      </c>
      <c r="BO6" s="917">
        <f ca="1">SUM(IF(AND(AJ6=AJ7,AQ6=AQ7,AO6=AO7),BQ6,0),IF(AND(AJ6=AJ8,AQ6=AQ8,AO6=AO8),BR6,0),IF(AND(AJ6=AJ9,AQ6=AQ9,AO6=AO9),BS6,0))</f>
        <v>0</v>
      </c>
      <c r="BP6" s="917">
        <v>0</v>
      </c>
      <c r="BQ6" s="917">
        <f t="array" aca="1" ref="BQ6" ca="1">SUM((I$4:I$49=AY6)*(N$4:N$49=BQ5)*(K$4:K$49&lt;&gt;"")*(L$4:L$49&lt;&gt;"")*(K$4:K$49&gt;L$4:L$49)*3,(N$4:N$49=AY6)*(I$4:I$49=BQ5)*(K$4:K$49&lt;&gt;"")*(L$4:L$49&lt;&gt;"")*(K$4:K$49=L$4:L$49)*1,(N$4:N$49=AY6)*(I$4:I$49=BQ5)*(K$4:K$49&lt;&gt;"")*(L$4:L$49&lt;&gt;"")*(K$4:K$49&lt;L$4:L$49)*3,(I$4:I$49=AY6)*(N$4:N$49=BQ5)*(K$4:K$49&lt;&gt;"")*(L$4:L$49&lt;&gt;"")*(K$4:K$49=L$4:L$49)*1)</f>
        <v>0</v>
      </c>
      <c r="BR6" s="917">
        <f t="array" aca="1" ref="BR6" ca="1">SUM((I$4:I$49=AY6)*(N$4:N$49=BR5)*(K$4:K$49&lt;&gt;"")*(L$4:L$49&lt;&gt;"")*(K$4:K$49&gt;L$4:L$49)*3,(N$4:N$49=AY6)*(I$4:I$49=BR5)*(K$4:K$49&lt;&gt;"")*(L$4:L$49&lt;&gt;"")*(K$4:K$49=L$4:L$49)*1,(N$4:N$49=AY6)*(I$4:I$49=BR5)*(K$4:K$49&lt;&gt;"")*(L$4:L$49&lt;&gt;"")*(K$4:K$49&lt;L$4:L$49)*3,(I$4:I$49=AY6)*(N$4:N$49=BR5)*(K$4:K$49&lt;&gt;"")*(L$4:L$49&lt;&gt;"")*(K$4:K$49=L$4:L$49)*1)</f>
        <v>0</v>
      </c>
      <c r="BS6" s="917">
        <f t="array" aca="1" ref="BS6" ca="1">SUM((I$4:I$49=AY6)*(N$4:N$49=BS5)*(K$4:K$49&lt;&gt;"")*(L$4:L$49&lt;&gt;"")*(K$4:K$49&gt;L$4:L$49)*3,(N$4:N$49=AY6)*(I$4:I$49=BS5)*(K$4:K$49&lt;&gt;"")*(L$4:L$49&lt;&gt;"")*(K$4:K$49=L$4:L$49)*1,(N$4:N$49=AY6)*(I$4:I$49=BS5)*(K$4:K$49&lt;&gt;"")*(L$4:L$49&lt;&gt;"")*(K$4:K$49&lt;L$4:L$49)*3,(I$4:I$49=AY6)*(N$4:N$49=BS5)*(K$4:K$49&lt;&gt;"")*(L$4:L$49&lt;&gt;"")*(K$4:K$49=L$4:L$49)*1)</f>
        <v>0</v>
      </c>
      <c r="BT6" s="911">
        <v>1</v>
      </c>
      <c r="BU6" s="911">
        <f ca="1">RANK(BW6,$BW$6:$BW$9)</f>
        <v>4</v>
      </c>
      <c r="BV6" s="911" t="str">
        <f ca="1">A5</f>
        <v>Catar</v>
      </c>
      <c r="BW6" s="911">
        <f ca="1">AR6</f>
        <v>-23789500.010000002</v>
      </c>
      <c r="BX6" s="911" t="str">
        <f ca="1">VLOOKUP(Q6,$AH$6:$AI$9,2,0)</f>
        <v>Paises Bajos</v>
      </c>
      <c r="BY6" s="911">
        <f ca="1">VLOOKUP($BX6,$AI$6:$AR$9,10,FALSE)</f>
        <v>7802210499.96</v>
      </c>
      <c r="CA6" s="911">
        <v>1</v>
      </c>
      <c r="CB6" s="911" t="str">
        <f ca="1">VLOOKUP(CA6,$AH$6:$AI$9,2,0)</f>
        <v>Paises Bajos</v>
      </c>
      <c r="CC6" s="911">
        <f ca="1">VLOOKUP(CB6,$AI$6:$AR$9,2,FALSE)</f>
        <v>7</v>
      </c>
      <c r="CD6" s="918">
        <f ca="1">IF(SUM($AK$6:$AK$9)=12,MIN(ABS(BY5-BY6),ABS(BY6-BY7)),100)</f>
        <v>1131999999.9899998</v>
      </c>
      <c r="CE6" s="911">
        <f ca="1">VLOOKUP($CB6,$AI$6:$AR$9,9,FALSE)</f>
        <v>4</v>
      </c>
      <c r="CF6" s="911">
        <f ca="1">VLOOKUP($CB6,$AI$6:$AR$9,7,FALSE)</f>
        <v>5</v>
      </c>
      <c r="CH6" s="911">
        <f t="array" aca="1" ref="CH6" ca="1">IF($CI$6=$CL$5,$EC$5:$EC$8,IF($CI$6=$CM$5,$ED$5:$ED$7,IF(OR($CI$6=$CN$5,$CI$6=$CO$5),$EE$5:$EE$6,$EI$5)))</f>
        <v>1</v>
      </c>
      <c r="CI6" s="909" t="str">
        <f ca="1">IFERROR(HLOOKUP(4,CL4:DI5,2,0),CS5)</f>
        <v>COM_8</v>
      </c>
      <c r="CK6" s="909">
        <v>1</v>
      </c>
      <c r="CL6" s="909">
        <f t="array" aca="1" ref="CL6" ca="1">IF(AND($CC$6:$CC$9=$CC$6,$CD$6:$CD$9&lt;90,$AQ$6:$AQ$9=$AQ$6,$CF$6:$CF$9=$CF$6),1,0)</f>
        <v>0</v>
      </c>
      <c r="CM6" s="909">
        <f t="array" aca="1" ref="CM6" ca="1">IF(AND($CC$6:$CC$8=$CC$6,$CD$6:$CD$8&lt;90,$CC$6&lt;&gt;$CC$9),1,0)</f>
        <v>0</v>
      </c>
      <c r="CN6" s="909">
        <f t="array" aca="1" ref="CN6" ca="1">IF(AND($CC$6:$CC$7=$CC$6,$CD$6:$CD$7&lt;90,$CC$6&lt;&gt;$CC$8),1,0)</f>
        <v>0</v>
      </c>
      <c r="CO6" s="909">
        <f t="array" aca="1" ref="CO6" ca="1">IF(AND($CC$6:$CC$7=$CC$6,$CD$6:$CD$7&lt;90,$CC$6&lt;&gt;$CC$8),1,0)</f>
        <v>0</v>
      </c>
      <c r="CP6" s="909">
        <f t="array" aca="1" ref="CP6" ca="1">IF(AND($CC$7:$CC$9=$CC$7,$CD$7:$CD$9&lt;90,$CC$6&lt;&gt;$CC$7),1,0)</f>
        <v>0</v>
      </c>
      <c r="CQ6" s="909">
        <f t="array" aca="1" ref="CQ6" ca="1">IF(AND($CC$6&lt;&gt;$CC$7,$CC$6&lt;&gt;$CC$9),1,0)</f>
        <v>1</v>
      </c>
      <c r="CR6" s="909">
        <f t="array" aca="1" ref="CR6" ca="1">IF(AND($CC$6&lt;&gt;$CC$7,$CC$6&lt;&gt;$CC$9),1,0)</f>
        <v>1</v>
      </c>
      <c r="CS6" s="909">
        <f t="array" aca="1" ref="CS6" ca="1">IF(AND($CC$6&lt;&gt;$CC$7,$CC$6&lt;&gt;$CC$9),1,0)</f>
        <v>1</v>
      </c>
      <c r="CT6" s="909">
        <f t="array" aca="1" ref="CT6" ca="1">IF(AND($CC$6:$CC$9=$CC$6,$CD$6:$CD$9&lt;90,$CE$6:$CE$7=$CE$6,$CE$6&lt;&gt;$CE$8),1,0)</f>
        <v>0</v>
      </c>
      <c r="CU6" s="909">
        <f t="array" aca="1" ref="CU6" ca="1">IF(AND($CC$6:$CC$9=$CC$6,$CD$6:$CD$9&lt;90,$CE$6:$CE$9=$CE$6,$CF$6=$CF$7,$CF$6&lt;&gt;$CF$8),1,0)</f>
        <v>0</v>
      </c>
      <c r="CV6" s="909">
        <f t="array" aca="1" ref="CV6" ca="1">IF(AND($CC$6:$CC$8=$CC$6,$CD$6:$CD$7&lt;90,$CD$8&gt;90),1,0)</f>
        <v>0</v>
      </c>
      <c r="CW6" s="909">
        <f t="array" aca="1" ref="CW6" ca="1">IF(AND($CC$6&lt;&gt;$CC$7,$CC$6&lt;&gt;$CC$8),1,0)</f>
        <v>1</v>
      </c>
      <c r="CX6" s="909">
        <f t="array" aca="1" ref="CX6" ca="1">IF(AND($CC$6&lt;&gt;$CC$7,$CC$6&lt;&gt;$CC$8),1,0)</f>
        <v>1</v>
      </c>
      <c r="CY6" s="909">
        <f t="array" aca="1" ref="CY6" ca="1">IF(AND($CC$6&lt;&gt;$CC$9,$CC$6:$CC$8=$CC$6,$CD$6&gt;90,$CD$7:$CD$8&lt;90),1,0)</f>
        <v>0</v>
      </c>
      <c r="CZ6" s="909">
        <f t="array" aca="1" ref="CZ6" ca="1">IF(AND($CC$6:$CC$9=$CC$6,$CD$7:$CD$9&lt;90,$CD$6&lt;&gt;$CD$7),1,0)</f>
        <v>0</v>
      </c>
      <c r="DA6" s="909">
        <f t="array" aca="1" ref="DA6" ca="1">IF(AND($CC$6:$CC$9=$CC$6,$CD$6:$CD$8&lt;90,$CD$6&lt;&gt;$CD$9),1,0)</f>
        <v>0</v>
      </c>
      <c r="DB6" s="909">
        <f t="array" aca="1" ref="DB6" ca="1">IF(AND($CC$6:$CC$9=$CC$6,$CD$6:$CD$7&gt;90,$CD$8:$CD$9&lt;90,$CE$6:$CE$9=$CE$6,$CF$6&gt;$CF$7,$CF$6&gt;$CF$8,$CF$6&gt;$CF$9),1,0)</f>
        <v>0</v>
      </c>
      <c r="DC6" s="909">
        <f t="array" aca="1" ref="DC6" ca="1">IF(AND($CC$6:$CC$9=$CC$6,$CD$6&gt;90,$CD$7:$CD$8&lt;90,$CD$9&gt;90,$CE$6:$CE$9=$CE$6,$CF$6&gt;$CF$7,$CF$6&gt;$CF$8,$CF$6&gt;$CF$9),1,0)</f>
        <v>0</v>
      </c>
      <c r="DD6" s="909">
        <f t="array" aca="1" ref="DD6" ca="1">IF(AND($CC$6:$CC$9=$CC$6,$CD$6:$CD$7&lt;90,$CD$8:$CD$9&gt;90,$CE$6:$CE$9=$CE$6,$CF$6=$CF$7,$CF$6&gt;$CF$8,$CF$6&gt;$CF$9),1,0)</f>
        <v>0</v>
      </c>
      <c r="DE6" s="909">
        <f t="array" aca="1" ref="DE6" ca="1">IF(AND($CC$6:$CC$9=$CC$6,$CD$6:$CD$7&gt;90,$CD$8:$CD$9&lt;90,$CE$6:$CE$9=$CE$6,$CF$6&gt;$CF$7,$CF$7:$CF$9=$CF$7),1,0)</f>
        <v>0</v>
      </c>
      <c r="DF6" s="909">
        <f t="array" aca="1" ref="DF6" ca="1">IF(AND($CC$6:$CC$9=$CC$6,$CD$6:$CD$7&lt;90,$CD$8:$CD$9&gt;90,$CE$6:$CE$9=$CE$6,$CF$6:$CF$8=$CF$6,$CF$6&gt;$CF$9),1,0)</f>
        <v>0</v>
      </c>
      <c r="DG6" s="909">
        <f t="array" aca="1" ref="DG6" ca="1">IF(AND($CC$6:$CC$9=$CC$6,$CD$6&gt;90,$CD$9&gt;90,$CD$7:$CD$8&lt;90,$CE$6:$CE$9=$CE$6,$CF$6&gt;$CF$7:$CF$9),1,0)</f>
        <v>0</v>
      </c>
      <c r="EC6" s="911">
        <v>2</v>
      </c>
      <c r="ED6" s="911">
        <v>2</v>
      </c>
      <c r="EE6" s="911">
        <v>2</v>
      </c>
      <c r="EF6" s="911">
        <v>3</v>
      </c>
      <c r="EG6" s="911">
        <v>4</v>
      </c>
      <c r="EH6" s="911">
        <v>3</v>
      </c>
      <c r="EI6" s="911"/>
      <c r="EJ6" s="911"/>
      <c r="EK6" s="911"/>
      <c r="EL6" s="911"/>
      <c r="FI6" s="917"/>
      <c r="FK6" s="917"/>
      <c r="FM6" s="917"/>
    </row>
    <row r="7" spans="1:169 5689:5689 8944:8944 13447:13447">
      <c r="A7" s="871" t="str">
        <f t="array" aca="1" ref="A7" ca="1">IF(ROWS(A$5:A7)&lt;=$C$4,INDEX(INDIRECT(A$4),SMALL(IF(Nivell=$B$4,ROW(Nivell)-ROW(Equipos!$C$2)+1),ROWS(B$4:B6))),"")</f>
        <v>Senegal</v>
      </c>
      <c r="B7" s="872"/>
      <c r="C7" s="857"/>
      <c r="D7" s="152"/>
      <c r="E7" s="1020"/>
      <c r="F7" s="12">
        <f>Horarios!C7</f>
        <v>44890.791666666664</v>
      </c>
      <c r="G7" s="13">
        <f>Horarios!C7</f>
        <v>44890.791666666664</v>
      </c>
      <c r="H7" s="12" t="s">
        <v>70</v>
      </c>
      <c r="I7" s="14" t="str">
        <f ca="1">A8</f>
        <v>Paises Bajos</v>
      </c>
      <c r="J7" s="397" t="str">
        <f ca="1">VLOOKUP(I7,Equipos!$H$2:$I$33,2,0)</f>
        <v>🇳🇱</v>
      </c>
      <c r="K7" s="15">
        <v>1</v>
      </c>
      <c r="L7" s="15">
        <v>1</v>
      </c>
      <c r="M7" s="400" t="str">
        <f ca="1">VLOOKUP(N7,Equipos!$H$2:$I$33,2,0)</f>
        <v>🇪🇨</v>
      </c>
      <c r="N7" s="32" t="str">
        <f ca="1">A6</f>
        <v>Ecuador</v>
      </c>
      <c r="O7" s="347">
        <f t="shared" si="1"/>
        <v>1</v>
      </c>
      <c r="P7" s="82"/>
      <c r="Q7" s="102">
        <v>2</v>
      </c>
      <c r="R7" s="5" t="str">
        <f ca="1">VLOOKUP(Q7,$AG$6:$AI$9,3,0)</f>
        <v>Senegal</v>
      </c>
      <c r="S7" s="4">
        <f ca="1">VLOOKUP(R7,$AI$6:$AR$9,2,FALSE)</f>
        <v>6</v>
      </c>
      <c r="T7" s="4">
        <f ca="1">VLOOKUP($R7,$AI$6:$AR$9,3,FALSE)</f>
        <v>3</v>
      </c>
      <c r="U7" s="4">
        <f ca="1">VLOOKUP($R7,$AI$6:$AR$9,4,FALSE)</f>
        <v>2</v>
      </c>
      <c r="V7" s="4">
        <f ca="1">VLOOKUP($R7,$AI$6:$AR$9,5,FALSE)</f>
        <v>0</v>
      </c>
      <c r="W7" s="4">
        <f ca="1">VLOOKUP($R7,$AI$6:$AR$9,6,FALSE)</f>
        <v>1</v>
      </c>
      <c r="X7" s="4">
        <f ca="1">VLOOKUP($R7,$AI$6:$AR$9,7,FALSE)</f>
        <v>4</v>
      </c>
      <c r="Y7" s="4">
        <f ca="1">VLOOKUP($R7,$AI$6:$AR$9,8,FALSE)</f>
        <v>4</v>
      </c>
      <c r="Z7" s="103">
        <f ca="1">VLOOKUP($R7,$AI$6:$AR$9,9,FALSE)</f>
        <v>0</v>
      </c>
      <c r="AA7" s="357">
        <f ca="1">IF(SUM($AK$6:$AK$9)=12,MIN(ABS(BY6-BY7),ABS(BY7-BY8)),100)</f>
        <v>1131999999.9899998</v>
      </c>
      <c r="AB7" s="94" t="str">
        <f ca="1">IF(AND(AA7&gt;=0,AA7&lt;90),VLOOKUP(Q7,$BU$6:$BV$9,2,0),"")</f>
        <v/>
      </c>
      <c r="AC7" s="73"/>
      <c r="AD7" s="74"/>
      <c r="AE7" s="328"/>
      <c r="AF7" s="910">
        <f ca="1">VLOOKUP($R7,$AI$6:$AR$9,10,FALSE)</f>
        <v>6670210499.9700003</v>
      </c>
      <c r="AG7" s="909">
        <f ca="1">RANK(AU7,$AU$6:$AU$9)</f>
        <v>3</v>
      </c>
      <c r="AH7" s="909">
        <f ca="1">RANK(AR7,$AR$6:$AR$9)</f>
        <v>3</v>
      </c>
      <c r="AI7" s="911" t="str">
        <f ca="1">A6</f>
        <v>Ecuador</v>
      </c>
      <c r="AJ7" s="909">
        <f ca="1">AL7*3+AM7*1+AN7*0</f>
        <v>4</v>
      </c>
      <c r="AK7" s="909">
        <f ca="1">COUNTIFS($I$4:$I$65,AI7,$K$4:$K$65,"&lt;&gt;",$L$4:$L$65,"&lt;&gt;")+COUNTIFS($N$4:$N$65,AI7,$L$4:$L$65,"&lt;&gt;",$K$4:$K$65,"&lt;&gt;")</f>
        <v>3</v>
      </c>
      <c r="AL7" s="909">
        <f t="array" aca="1" ref="AL7" ca="1">SUM(($I$4:$I$65=AI7)*($K$4:$K$65&lt;&gt;"")*($L$4:$L$65&lt;&gt;"")*($K$4:$K$65&gt;$L$4:$L$65),($N$4:$N$65=AI7)*($K$4:$K$65&lt;&gt;"")*($L$4:$L$65&lt;&gt;"")*($K$4:$K$65&lt;$L$4:$L$65))</f>
        <v>1</v>
      </c>
      <c r="AM7" s="909">
        <f t="array" aca="1" ref="AM7" ca="1">SUM(($I$4:$I$65=AI7)*($K$4:$K$65&lt;&gt;"")*($L$4:$L$65&lt;&gt;"")*($K$4:$K$65=$L$4:$L$65),($N$4:$N$65=AI7)*($K$4:$K$65&lt;&gt;"")*($L$4:$L$65&lt;&gt;"")*($K$4:$K$65=$L$4:$L$65))</f>
        <v>1</v>
      </c>
      <c r="AN7" s="909">
        <f t="array" aca="1" ref="AN7" ca="1">SUM(($I$4:$I$65=AI7)*($L$4:$L$65&lt;&gt;"")*($K$4:$K$65&lt;&gt;"")*($K$4:$K$65&lt;$L$4:$L$65),($K$4:$K$65&lt;&gt;"")*($N$4:$N$65=AI7)*($L$4:$L$65&lt;&gt;"")*($K$4:$K$65&gt;$L$4:$L$65))</f>
        <v>1</v>
      </c>
      <c r="AO7" s="909">
        <f t="array" aca="1" ref="AO7" ca="1">SUMIFS($K$4:$K$65,$I$4:$I$65,AI7,$K$4:$K$65,"&lt;&gt;",$L$4:$L$65,"&lt;&gt;")+SUMIFS($L$4:$L$65,$N$4:$N$65,AI7,$K$4:$K$65,"&lt;&gt;",$L$4:$L$65,"&lt;&gt;")</f>
        <v>4</v>
      </c>
      <c r="AP7" s="909">
        <f t="array" aca="1" ref="AP7" ca="1">SUMIFS($K$4:$K$65,$N$4:$N$65,AI7,$K$4:$K$65,"&lt;&gt;",$L$4:$L$65,"&lt;&gt;")+SUMIFS($L$4:$L$65,$I$4:$I$65,AI7,$K$4:$K$65,"&lt;&gt;",$L$4:$L$65,"&lt;&gt;")</f>
        <v>3</v>
      </c>
      <c r="AQ7" s="909">
        <f ca="1">AO7-AP7</f>
        <v>1</v>
      </c>
      <c r="AR7" s="909">
        <f ca="1">IF(AK7=0,-($AW$11*VLOOKUP(AI7,Tabla3[[NombreEquipo]:[Rank]],3,FALSE)),AJ7*$AW$4+AQ7*$AW$5+AO7*$AW$6+BA7-($AW$11*VLOOKUP(AI7,Tabla3[[NombreEquipo]:[Rank]],3,FALSE)/100))</f>
        <v>4453210499.9799995</v>
      </c>
      <c r="AS7" s="909">
        <f ca="1">AH7</f>
        <v>3</v>
      </c>
      <c r="AT7" s="909"/>
      <c r="AU7" s="909">
        <f ca="1">IFERROR(AR7-VLOOKUP(AI7,$AB$6:$AC$9,2,0),AR7)</f>
        <v>4453210499.9799995</v>
      </c>
      <c r="AV7" s="909" t="s">
        <v>171</v>
      </c>
      <c r="AW7" s="912">
        <f>AW8*20</f>
        <v>200000</v>
      </c>
      <c r="AX7" s="909"/>
      <c r="AY7" s="916" t="str">
        <f ca="1">AI7</f>
        <v>Ecuador</v>
      </c>
      <c r="AZ7" s="909">
        <f ca="1">COUNTIF(AJ6:AJ9,AJ7)</f>
        <v>1</v>
      </c>
      <c r="BA7" s="909">
        <f ca="1">(BB7*$AW$9)+(BH7*$AW$8)+(BN7*$AW$7)</f>
        <v>210500</v>
      </c>
      <c r="BB7" s="917">
        <f ca="1">RANK(BC7,BC6:BC9,1)</f>
        <v>1</v>
      </c>
      <c r="BC7" s="917">
        <f ca="1">SUM(IF(AND(AJ7=AJ8,AQ7=AQ8,AO7=AO8),BF7,0),IF(AND(AJ7=AJ9,AQ7=AQ9,AO7=AO9),BG7,0),IF(AND(AJ7=AJ6,AQ7=AQ6,AO7=AO6),BD7,0))</f>
        <v>0</v>
      </c>
      <c r="BD7" s="917">
        <f t="array" aca="1" ref="BD7" ca="1">SUMIFS($K$4:$K$9,$I$4:$I$9,$AY7,$K$4:$K$9,"&lt;&gt;",$L$4:$L$9,"&lt;&gt;",$N$4:$N$9,BD5)+SUMIFS($L$4:$L$9,$I$4:$I$9,BD5,$K$4:$K$9,"&lt;&gt;",$L$4:$L$9,"&lt;&gt;",$N$4:$N$9,$AY7)</f>
        <v>2</v>
      </c>
      <c r="BE7" s="917">
        <v>0</v>
      </c>
      <c r="BF7" s="917">
        <f t="array" aca="1" ref="BF7" ca="1">SUMIFS($K$4:$K$9,$I$4:$I$9,$AY7,$K$4:$K$9,"&lt;&gt;",$L$4:$L$9,"&lt;&gt;",$N$4:$N$9,BF5)+SUMIFS($L$4:$L$9,$I$4:$I$9,BF5,$K$4:$K$9,"&lt;&gt;",$L$4:$L$9,"&lt;&gt;",$N$4:$N$9,$AY7)</f>
        <v>1</v>
      </c>
      <c r="BG7" s="917">
        <f t="array" aca="1" ref="BG7" ca="1">SUMIFS($K$4:$K$9,$I$4:$I$9,$AY7,$K$4:$K$9,"&lt;&gt;",$L$4:$L$9,"&lt;&gt;",$N$4:$N$9,BG5)+SUMIFS($L$4:$L$9,$I$4:$I$9,BG5,$K$4:$K$9,"&lt;&gt;",$L$4:$L$9,"&lt;&gt;",$N$4:$N$9,$AY7)</f>
        <v>1</v>
      </c>
      <c r="BH7" s="917">
        <f ca="1">RANK(BI7,BI6:BI9,1)</f>
        <v>1</v>
      </c>
      <c r="BI7" s="917">
        <f ca="1">SUM(IF(AND(AJ7=AJ8,AQ7=AQ8,AO7=AO8),BL7,0),IF(AND(AJ7=AJ9,AQ7=AQ9,AO7=AO9),BM7,0),IF(AND(AJ7=AJ6,AQ7=AQ6,AO7=AO6),BJ7,0))</f>
        <v>0</v>
      </c>
      <c r="BJ7" s="917">
        <f ca="1">BD7-BE6</f>
        <v>2</v>
      </c>
      <c r="BK7" s="917">
        <v>0</v>
      </c>
      <c r="BL7" s="917">
        <f ca="1">BF7-BE8</f>
        <v>-1</v>
      </c>
      <c r="BM7" s="917">
        <f ca="1">BG7-BE9</f>
        <v>0</v>
      </c>
      <c r="BN7" s="917">
        <f ca="1">RANK(BO7,BO6:BO9,1)</f>
        <v>1</v>
      </c>
      <c r="BO7" s="917">
        <f ca="1">SUM(IF(AND(AJ7=AJ8,AQ7=AQ8,AO7=AO8),BR7,0),IF(AND(AJ7=AJ9,AQ7=AQ9,AO7=AO9),BS7,0),IF(AND(AJ7=AJ6,AQ7=AQ6,AO7=AO6),BP7,0))</f>
        <v>0</v>
      </c>
      <c r="BP7" s="917">
        <f t="array" aca="1" ref="BP7" ca="1">SUM((I$4:I$49=AY7)*(N$4:N$49=BP5)*(K$4:K$49&lt;&gt;"")*(L$4:L$49&lt;&gt;"")*(K$4:K$49&gt;L$4:L$49)*3,(N$4:N$49=AY7)*(I$4:I$49=BP5)*(K$4:K$49&lt;&gt;"")*(L$4:L$49&lt;&gt;"")*(K$4:K$49=L$4:L$49)*1,(N$4:N$49=AY7)*(I$4:I$49=BP5)*(K$4:K$49&lt;&gt;"")*(L$4:L$49&lt;&gt;"")*(K$4:K$49&lt;L$4:L$49)*3,(I$4:I$49=AY7)*(N$4:N$49=BP5)*(K$4:K$49&lt;&gt;"")*(L$4:L$49&lt;&gt;"")*(K$4:K$49=L$4:L$49)*1)</f>
        <v>3</v>
      </c>
      <c r="BQ7" s="917">
        <v>0</v>
      </c>
      <c r="BR7" s="917">
        <f t="array" aca="1" ref="BR7" ca="1">SUM((I$4:I$49=AY7)*(N$4:N$49=BR5)*(K$4:K$49&lt;&gt;"")*(L$4:L$49&lt;&gt;"")*(K$4:K$49&gt;L$4:L$49)*3,(N$4:N$49=AY7)*(I$4:I$49=BR5)*(K$4:K$49&lt;&gt;"")*(L$4:L$49&lt;&gt;"")*(K$4:K$49=L$4:L$49)*1,(N$4:N$49=AY7)*(I$4:I$49=BR5)*(K$4:K$49&lt;&gt;"")*(L$4:L$49&lt;&gt;"")*(K$4:K$49&lt;L$4:L$49)*3,(I$4:I$49=AY7)*(N$4:N$49=BR5)*(K$4:K$49&lt;&gt;"")*(L$4:L$49&lt;&gt;"")*(K$4:K$49=L$4:L$49)*1)</f>
        <v>0</v>
      </c>
      <c r="BS7" s="917">
        <f t="array" aca="1" ref="BS7" ca="1">SUM((I$4:I$49=AY7)*(N$4:N$49=BS5)*(K$4:K$49&lt;&gt;"")*(L$4:L$49&lt;&gt;"")*(K$4:K$49&gt;L$4:L$49)*3,(N$4:N$49=AY7)*(I$4:I$49=BS5)*(K$4:K$49&lt;&gt;"")*(L$4:L$49&lt;&gt;"")*(K$4:K$49=L$4:L$49)*1,(N$4:N$49=AY7)*(I$4:I$49=BS5)*(K$4:K$49&lt;&gt;"")*(L$4:L$49&lt;&gt;"")*(K$4:K$49&lt;L$4:L$49)*3,(I$4:I$49=AY7)*(N$4:N$49=BS5)*(K$4:K$49&lt;&gt;"")*(L$4:L$49&lt;&gt;"")*(K$4:K$49=L$4:L$49)*1)</f>
        <v>1</v>
      </c>
      <c r="BT7" s="911">
        <v>2</v>
      </c>
      <c r="BU7" s="911">
        <f ca="1">RANK(BW7,$BW$6:$BW$9)</f>
        <v>3</v>
      </c>
      <c r="BV7" s="911" t="str">
        <f ca="1">A6</f>
        <v>Ecuador</v>
      </c>
      <c r="BW7" s="911">
        <f t="shared" ref="BW7:BW9" ca="1" si="2">AR7</f>
        <v>4453210499.9799995</v>
      </c>
      <c r="BX7" s="911" t="str">
        <f ca="1">VLOOKUP(Q7,$AH$6:$AI$9,2,0)</f>
        <v>Senegal</v>
      </c>
      <c r="BY7" s="911">
        <f ca="1">VLOOKUP($BX7,$AI$6:$AR$9,10,FALSE)</f>
        <v>6670210499.9700003</v>
      </c>
      <c r="CA7" s="911">
        <v>2</v>
      </c>
      <c r="CB7" s="911" t="str">
        <f ca="1">VLOOKUP(CA7,$AH$6:$AI$9,2,0)</f>
        <v>Senegal</v>
      </c>
      <c r="CC7" s="911">
        <f ca="1">VLOOKUP(CB7,$AI$6:$AR$9,2,FALSE)</f>
        <v>6</v>
      </c>
      <c r="CD7" s="918">
        <f ca="1">IF(SUM($AK$6:$AK$9)=12,MIN(ABS(BY6-BY7),ABS(BY7-BY8)),100)</f>
        <v>1131999999.9899998</v>
      </c>
      <c r="CE7" s="911">
        <f ca="1">VLOOKUP($CB7,$AI$6:$AR$9,9,FALSE)</f>
        <v>0</v>
      </c>
      <c r="CF7" s="911">
        <f ca="1">VLOOKUP($CB7,$AI$6:$AR$9,7,FALSE)</f>
        <v>4</v>
      </c>
      <c r="CH7" s="911">
        <f t="array" aca="1" ref="CH7" ca="1">IF($CI$6=$CL$5,$EC$5:$EC$8,IF($CI$6=$CM$5,$ED$5:$ED$7,IF(OR($CI$6=$CN$5,$CI$6=$CO$5),$EE$5:$EE$6,IF($CI$6=$CP$5,$EF$5:$EF$7,(IF($CI$6=$CQ$5,$EH$5:$EH$6,$EJ$5))))))</f>
        <v>2</v>
      </c>
      <c r="CK7" s="909">
        <v>2</v>
      </c>
      <c r="CL7" s="909">
        <f t="array" aca="1" ref="CL7" ca="1">IF(AND($CC$6:$CC$9=$CC$7,$CD$6:$CD$9&lt;90,$AQ$6:$AQ$9=$AQ$7,$CF$6:$CF$9=$CF$7),1,0)</f>
        <v>0</v>
      </c>
      <c r="CM7" s="909">
        <f t="array" aca="1" ref="CM7" ca="1">IF(AND($CC$6:$CC$8=$CC$7,$CD$6:$CD$8&lt;90,$CC$7&lt;&gt;$CC$9),1,0)</f>
        <v>0</v>
      </c>
      <c r="CN7" s="909">
        <f t="array" aca="1" ref="CN7" ca="1">IF(AND($CC$6:$CC$7=$CC$6,$CD$6:$CD$7&lt;90,$CC$6&lt;&gt;$CC$8),1,0)</f>
        <v>0</v>
      </c>
      <c r="CO7" s="909">
        <f t="array" aca="1" ref="CO7" ca="1">IF(AND($CC$6:$CC$7=$CC$6,$CD$6:$CD$7&lt;90,$CC$6&lt;&gt;$CC$8),1,0)</f>
        <v>0</v>
      </c>
      <c r="CP7" s="909">
        <f t="array" aca="1" ref="CP7" ca="1">IF(AND($CC$7:$CC$9=$CC$7,$CD$7:$CD$9&lt;90,$CC$6&lt;&gt;$CC$7),1,0)</f>
        <v>0</v>
      </c>
      <c r="CQ7" s="909">
        <f t="array" aca="1" ref="CQ7" ca="1">IF(AND($CC$7:$CC$8=$CC$7,$CD$7:$CD$8&lt;90,$CC$7&lt;&gt;$CC$6,$CC$7&lt;&gt;$CC$9),1,0)</f>
        <v>0</v>
      </c>
      <c r="CR7" s="909">
        <f t="array" aca="1" ref="CR7" ca="1">IF(AND($CC$7&lt;&gt;$CC$6,$CC$7&lt;&gt;$CC$8),1,0)</f>
        <v>1</v>
      </c>
      <c r="CS7" s="909">
        <f t="array" aca="1" ref="CS7" ca="1">IF(AND($CC$7&lt;&gt;$CC$6,$CC$7&lt;&gt;$CC$8),1,0)</f>
        <v>1</v>
      </c>
      <c r="CT7" s="909">
        <f t="array" aca="1" ref="CT7" ca="1">IF(AND($CC$6:$CC$9=$CC$6,$CD$6:$CD$9&lt;90,$CE$6:$CE$7=$CE$6,$CE$7&lt;&gt;$CE$8),1,0)</f>
        <v>0</v>
      </c>
      <c r="CU7" s="909">
        <f t="array" aca="1" ref="CU7" ca="1">IF(AND($CC$6:$CC$9=$CC$6,$CD$6:$CD$9&lt;90,$CE$6:$CE$9=$CE$6,$CF$6=$CF$7,$CF$7&lt;&gt;$CF$8),1,0)</f>
        <v>0</v>
      </c>
      <c r="CV7" s="909">
        <f t="array" aca="1" ref="CV7" ca="1">IF(AND($CC$6:$CC$8=$CC$7,$CD$6:$CD$7&lt;90,$CD$8&gt;90),1,0)</f>
        <v>0</v>
      </c>
      <c r="CW7" s="909">
        <f t="array" aca="1" ref="CW7" ca="1">IF(AND($CC$7&lt;&gt;$CC$6,$CC$7:$CC$9=$CC$7,$CD$7&gt;90,$CD$8:$CD$9&lt;90),1,0)</f>
        <v>0</v>
      </c>
      <c r="CX7" s="909">
        <f t="array" aca="1" ref="CX7" ca="1">IF(AND($CC$7&lt;&gt;$CC$6,$CC$7:$CC$9=$CC$7,$CD$9&gt;90,$CD$7:$CD$8&lt;90),1,0)</f>
        <v>0</v>
      </c>
      <c r="CY7" s="909">
        <f t="array" aca="1" ref="CY7" ca="1">IF(AND($CC$7&lt;&gt;$CC$9,$CC$6:$CC$8=$CC$7,$CD$6&gt;90,$CD$7:$CD$8&lt;90),1,0)</f>
        <v>0</v>
      </c>
      <c r="CZ7" s="909">
        <f t="array" aca="1" ref="CZ7" ca="1">IF(AND($CC$6:$CC$9=$CC$7,$CD$7:$CD$9&lt;90,$CD$6&lt;&gt;$CD$7),1,0)</f>
        <v>0</v>
      </c>
      <c r="DA7" s="909">
        <f t="array" aca="1" ref="DA7" ca="1">IF(AND($CC$6:$CC$9=$CC$7,$CD$6:$CD$8&lt;90,$CD$7&lt;&gt;$CD$9),1,0)</f>
        <v>0</v>
      </c>
      <c r="DB7" s="909">
        <f t="array" aca="1" ref="DB7" ca="1">IF(AND($CC$6:$CC$9=$CC$7,$CD$6:$CD$7&gt;90,$CD$8:$CD$9&lt;90,$CE$6:$CE$9=$CE$7,$CF$6&gt;$CF$7,$CF$7&gt;$CF$8,$CF$7&gt;$CF$9),1,0)</f>
        <v>0</v>
      </c>
      <c r="DC7" s="909">
        <f t="array" aca="1" ref="DC7" ca="1">IF(AND($CC$6:$CC$9=$CC$7,$CD$6&gt;90,$CD$7:$CD$8&lt;90,$CD$9&gt;90,$CE$6:$CE$9=$CE$7,$CF$6&gt;$CF$7,$CF$7=$CF$8,$CF$7&gt;$CF$9),1,0)</f>
        <v>0</v>
      </c>
      <c r="DD7" s="909">
        <f t="array" aca="1" ref="DD7" ca="1">IF(AND($CC$6:$CC$9=$CC$7,$CD$6:$CD$7&lt;90,$CD$8:$CD$9&gt;90,$CE$6:$CE$9=$CE$7,$CF$6=$CF$7,$CF$7&gt;$CF$8,$CF$7&gt;$CF$9),1,0)</f>
        <v>0</v>
      </c>
      <c r="DE7" s="909">
        <f t="array" aca="1" ref="DE7" ca="1">IF(AND($CC$6:$CC$9=$CC$7,$CD$6:$CD$7&gt;90,$CD$8:$CD$9&lt;90,$CE$6:$CE$9=$CE$7,$CF$6&gt;$CF$7,$CF$7:$CF$9=$CF$7),1,0)</f>
        <v>0</v>
      </c>
      <c r="DF7" s="909">
        <f t="array" aca="1" ref="DF7" ca="1">IF(AND($CC$6:$CC$9=$CC$7,$CD$6:$CD$7&lt;90,$CD$8:$CD$9&gt;90,$CE$6:$CE$9=$CE$7,$CF$6:$CF$8=$CF$7,$CF$7&gt;$CF$9),1,0)</f>
        <v>0</v>
      </c>
      <c r="DG7" s="909">
        <f t="array" aca="1" ref="DG7" ca="1">IF(AND($CC$6:$CC$9=$CC$7,$CD$6&gt;90,$CD$9&gt;90,$CD$7:$CD$8&lt;90,$CE$6:$CE$9=$CE$7,$CF$6&gt;$CF$7:$CF$9,$CF$7:$CF$9=$CF$7),1,0)</f>
        <v>0</v>
      </c>
      <c r="EC7" s="911">
        <v>3</v>
      </c>
      <c r="ED7" s="911">
        <v>3</v>
      </c>
      <c r="EE7" s="911"/>
      <c r="EF7" s="911">
        <v>4</v>
      </c>
      <c r="EG7" s="911"/>
      <c r="EH7" s="911"/>
      <c r="EI7" s="911"/>
      <c r="EJ7" s="911"/>
      <c r="EK7" s="911"/>
      <c r="EL7" s="911"/>
      <c r="FI7" s="917"/>
      <c r="FK7" s="917"/>
      <c r="FM7" s="917"/>
    </row>
    <row r="8" spans="1:169 5689:5689 8944:8944 13447:13447">
      <c r="A8" s="871" t="str">
        <f t="array" aca="1" ref="A8" ca="1">IF(ROWS(A$5:A8)&lt;=$C$4,INDEX(INDIRECT(A$4),SMALL(IF(Nivell=$B$4,ROW(Nivell)-ROW(Equipos!$C$2)+1),ROWS(B$4:B7))),"")</f>
        <v>Paises Bajos</v>
      </c>
      <c r="B8" s="872"/>
      <c r="C8" s="857"/>
      <c r="D8" s="152"/>
      <c r="E8" s="1020"/>
      <c r="F8" s="12">
        <f>Horarios!C8</f>
        <v>44894.75</v>
      </c>
      <c r="G8" s="13">
        <f>Horarios!C8</f>
        <v>44894.75</v>
      </c>
      <c r="H8" s="12" t="s">
        <v>71</v>
      </c>
      <c r="I8" s="14" t="str">
        <f ca="1">A6</f>
        <v>Ecuador</v>
      </c>
      <c r="J8" s="397" t="str">
        <f ca="1">VLOOKUP(I8,Equipos!$H$2:$I$33,2,0)</f>
        <v>🇪🇨</v>
      </c>
      <c r="K8" s="15">
        <v>1</v>
      </c>
      <c r="L8" s="15">
        <v>2</v>
      </c>
      <c r="M8" s="400" t="str">
        <f ca="1">VLOOKUP(N8,Equipos!$H$2:$I$33,2,0)</f>
        <v>🇸🇳</v>
      </c>
      <c r="N8" s="32" t="str">
        <f ca="1">A7</f>
        <v>Senegal</v>
      </c>
      <c r="O8" s="347">
        <f t="shared" si="1"/>
        <v>1</v>
      </c>
      <c r="P8" s="82"/>
      <c r="Q8" s="102">
        <v>3</v>
      </c>
      <c r="R8" s="5" t="str">
        <f ca="1">VLOOKUP(Q8,$AG$6:$AI$9,3,0)</f>
        <v>Ecuador</v>
      </c>
      <c r="S8" s="4">
        <f ca="1">VLOOKUP(R8,$AI$6:$AR$9,2,FALSE)</f>
        <v>4</v>
      </c>
      <c r="T8" s="4">
        <f ca="1">VLOOKUP($R8,$AI$6:$AR$9,3,FALSE)</f>
        <v>3</v>
      </c>
      <c r="U8" s="4">
        <f ca="1">VLOOKUP($R8,$AI$6:$AR$9,4,FALSE)</f>
        <v>1</v>
      </c>
      <c r="V8" s="4">
        <f ca="1">VLOOKUP($R8,$AI$6:$AR$9,5,FALSE)</f>
        <v>1</v>
      </c>
      <c r="W8" s="4">
        <f ca="1">VLOOKUP($R8,$AI$6:$AR$9,6,FALSE)</f>
        <v>1</v>
      </c>
      <c r="X8" s="4">
        <f ca="1">VLOOKUP($R8,$AI$6:$AR$9,7,FALSE)</f>
        <v>4</v>
      </c>
      <c r="Y8" s="4">
        <f ca="1">VLOOKUP($R8,$AI$6:$AR$9,8,FALSE)</f>
        <v>3</v>
      </c>
      <c r="Z8" s="103">
        <f ca="1">VLOOKUP($R8,$AI$6:$AR$9,9,FALSE)</f>
        <v>1</v>
      </c>
      <c r="AA8" s="357">
        <f ca="1">IF(SUM($AK$6:$AK$9)=12,MIN(ABS(BY7-BY8),ABS(BY8-BY9)),100)</f>
        <v>2216999999.9900007</v>
      </c>
      <c r="AB8" s="94" t="str">
        <f ca="1">IF(AND(AA8&gt;=0,AA8&lt;90),VLOOKUP(Q8,$BU$6:$BV$9,2,0),"")</f>
        <v/>
      </c>
      <c r="AC8" s="73"/>
      <c r="AD8" s="74"/>
      <c r="AE8" s="328"/>
      <c r="AF8" s="910">
        <f ca="1">VLOOKUP($R8,$AI$6:$AR$9,10,FALSE)</f>
        <v>4453210499.9799995</v>
      </c>
      <c r="AG8" s="909">
        <f ca="1">RANK(AU8,$AU$6:$AU$9)</f>
        <v>2</v>
      </c>
      <c r="AH8" s="909">
        <f ca="1">RANK(AR8,$AR$6:$AR$9)</f>
        <v>2</v>
      </c>
      <c r="AI8" s="911" t="str">
        <f ca="1">A7</f>
        <v>Senegal</v>
      </c>
      <c r="AJ8" s="909">
        <f ca="1">AL8*3+AM8*1+AN8*0</f>
        <v>6</v>
      </c>
      <c r="AK8" s="909">
        <f ca="1">COUNTIFS($I$4:$I$65,AI8,$K$4:$K$65,"&lt;&gt;",$L$4:$L$65,"&lt;&gt;")+COUNTIFS($N$4:$N$65,AI8,$L$4:$L$65,"&lt;&gt;",$K$4:$K$65,"&lt;&gt;")</f>
        <v>3</v>
      </c>
      <c r="AL8" s="909">
        <f t="array" aca="1" ref="AL8" ca="1">SUM(($I$4:$I$65=AI8)*($K$4:$K$65&lt;&gt;"")*($L$4:$L$65&lt;&gt;"")*($K$4:$K$65&gt;$L$4:$L$65),($N$4:$N$65=AI8)*($K$4:$K$65&lt;&gt;"")*($L$4:$L$65&lt;&gt;"")*($K$4:$K$65&lt;$L$4:$L$65))</f>
        <v>2</v>
      </c>
      <c r="AM8" s="909">
        <f t="array" aca="1" ref="AM8" ca="1">SUM(($I$4:$I$65=AI8)*($K$4:$K$65&lt;&gt;"")*($L$4:$L$65&lt;&gt;"")*($K$4:$K$65=$L$4:$L$65),($N$4:$N$65=AI8)*($K$4:$K$65&lt;&gt;"")*($L$4:$L$65&lt;&gt;"")*($K$4:$K$65=$L$4:$L$65))</f>
        <v>0</v>
      </c>
      <c r="AN8" s="909">
        <f t="array" aca="1" ref="AN8" ca="1">SUM(($I$4:$I$65=AI8)*($L$4:$L$65&lt;&gt;"")*($K$4:$K$65&lt;&gt;"")*($K$4:$K$65&lt;$L$4:$L$65),($K$4:$K$65&lt;&gt;"")*($N$4:$N$65=AI8)*($L$4:$L$65&lt;&gt;"")*($K$4:$K$65&gt;$L$4:$L$65))</f>
        <v>1</v>
      </c>
      <c r="AO8" s="909">
        <f t="array" aca="1" ref="AO8" ca="1">SUMIFS($K$4:$K$65,$I$4:$I$65,AI8,$K$4:$K$65,"&lt;&gt;",$L$4:$L$65,"&lt;&gt;")+SUMIFS($L$4:$L$65,$N$4:$N$65,AI8,$K$4:$K$65,"&lt;&gt;",$L$4:$L$65,"&lt;&gt;")</f>
        <v>4</v>
      </c>
      <c r="AP8" s="909">
        <f t="array" aca="1" ref="AP8" ca="1">SUMIFS($K$4:$K$65,$N$4:$N$65,AI8,$K$4:$K$65,"&lt;&gt;",$L$4:$L$65,"&lt;&gt;")+SUMIFS($L$4:$L$65,$I$4:$I$65,AI8,$K$4:$K$65,"&lt;&gt;",$L$4:$L$65,"&lt;&gt;")</f>
        <v>4</v>
      </c>
      <c r="AQ8" s="909">
        <f ca="1">AO8-AP8</f>
        <v>0</v>
      </c>
      <c r="AR8" s="909">
        <f ca="1">IF(AK8=0,-($AW$11*VLOOKUP(AI8,Tabla3[[NombreEquipo]:[Rank]],3,FALSE)),AJ8*$AW$4+AQ8*$AW$5+AO8*$AW$6+BA8-($AW$11*VLOOKUP(AI8,Tabla3[[NombreEquipo]:[Rank]],3,FALSE)/100))</f>
        <v>6670210499.9700003</v>
      </c>
      <c r="AS8" s="909">
        <f ca="1">AH8</f>
        <v>2</v>
      </c>
      <c r="AT8" s="909"/>
      <c r="AU8" s="909">
        <f ca="1">IFERROR(AR8-VLOOKUP(AI8,$AB$6:$AC$9,2,0),AR8)</f>
        <v>6670210499.9700003</v>
      </c>
      <c r="AV8" s="909" t="s">
        <v>172</v>
      </c>
      <c r="AW8" s="912">
        <f>AW9*20</f>
        <v>10000</v>
      </c>
      <c r="AX8" s="909"/>
      <c r="AY8" s="916" t="str">
        <f ca="1">AI8</f>
        <v>Senegal</v>
      </c>
      <c r="AZ8" s="909">
        <f ca="1">COUNTIF(AJ6:AJ9,AJ8)</f>
        <v>1</v>
      </c>
      <c r="BA8" s="909">
        <f t="shared" ref="BA8:BA9" ca="1" si="3">(BB8*$AW$9)+(BH8*$AW$8)+(BN8*$AW$7)</f>
        <v>210500</v>
      </c>
      <c r="BB8" s="917">
        <f ca="1">RANK(BC8,BC6:BC9,1)</f>
        <v>1</v>
      </c>
      <c r="BC8" s="917">
        <f ca="1">SUM(IF(AND(AJ8=AJ9,AQ8=AQ9,AO8=AO9),BG8,0),IF(AND(AJ8=AJ6,AQ8=AQ6,AO8=AO6),BD8,0),IF(AND(AJ8=AJ7,AQ8=AQ7,AO8=AO7),BE8,0))</f>
        <v>0</v>
      </c>
      <c r="BD8" s="917">
        <f t="array" aca="1" ref="BD8" ca="1">SUMIFS($K$4:$K$9,$I$4:$I$9,$AY8,$K$4:$K$9,"&lt;&gt;",$L$4:$L$9,"&lt;&gt;",$N$4:$N$9,BD5)+SUMIFS($L$4:$L$9,$I$4:$I$9,BD5,$K$4:$K$9,"&lt;&gt;",$L$4:$L$9,"&lt;&gt;",$N$4:$N$9,$AY8)</f>
        <v>2</v>
      </c>
      <c r="BE8" s="917">
        <f t="array" aca="1" ref="BE8" ca="1">SUMIFS($K$4:$K$9,$I$4:$I$9,$AY8,$K$4:$K$9,"&lt;&gt;",$L$4:$L$9,"&lt;&gt;",$N$4:$N$9,BE5)+SUMIFS($L$4:$L$9,$I$4:$I$9,BE5,$K$4:$K$9,"&lt;&gt;",$L$4:$L$9,"&lt;&gt;",$N$4:$N$9,$AY8)</f>
        <v>2</v>
      </c>
      <c r="BF8" s="917">
        <v>0</v>
      </c>
      <c r="BG8" s="917">
        <f t="array" aca="1" ref="BG8" ca="1">SUMIFS($K$4:$K$9,$I$4:$I$9,$AY8,$K$4:$K$9,"&lt;&gt;",$L$4:$L$9,"&lt;&gt;",$N$4:$N$9,BG5)+SUMIFS($L$4:$L$9,$I$4:$I$9,BG5,$K$4:$K$9,"&lt;&gt;",$L$4:$L$9,"&lt;&gt;",$N$4:$N$9,$AY8)</f>
        <v>0</v>
      </c>
      <c r="BH8" s="917">
        <f ca="1">RANK(BI8,BI6:BI9,1)</f>
        <v>1</v>
      </c>
      <c r="BI8" s="917">
        <f ca="1">SUM(IF(AND(AJ8=AJ9,AQ8=AQ9,AO8=AO9),BM8,0),IF(AND(AJ8=AJ6,AQ8=AQ6,AO8=AO6),BJ8,0),IF(AND(AJ8=AJ7,AQ8=AQ7,AO8=AO7),BK8,0))</f>
        <v>0</v>
      </c>
      <c r="BJ8" s="917">
        <f ca="1">BD8-BF6</f>
        <v>1</v>
      </c>
      <c r="BK8" s="917">
        <f ca="1">BE8-BF7</f>
        <v>1</v>
      </c>
      <c r="BL8" s="917">
        <v>0</v>
      </c>
      <c r="BM8" s="917">
        <f ca="1">BG8-BF9</f>
        <v>-2</v>
      </c>
      <c r="BN8" s="917">
        <f ca="1">RANK(BO8,BO6:BO9,1)</f>
        <v>1</v>
      </c>
      <c r="BO8" s="917">
        <f ca="1">SUM(IF(AND(AJ8=AJ9,AQ8=AQ9,AO8=AO9),BS8,0),IF(AND(AJ8=AJ6,AQ8=AQ6,AO8=AO6),BP8,0),IF(AND(AJ8=AJ7,AQ8=AQ7,AO8=AO7),BQ8,0))</f>
        <v>0</v>
      </c>
      <c r="BP8" s="917">
        <f t="array" aca="1" ref="BP8" ca="1">SUM((I$4:I$49=AY8)*(N$4:N$49=BP5)*(K$4:K$49&lt;&gt;"")*(L$4:L$49&lt;&gt;"")*(K$4:K$49&gt;L$4:L$49)*3,(N$4:N$49=AY8)*(I$4:I$49=BP5)*(K$4:K$49&lt;&gt;"")*(L$4:L$49&lt;&gt;"")*(K$4:K$49=L$4:L$49)*1,(N$4:N$49=AY8)*(I$4:I$49=BP5)*(K$4:K$49&lt;&gt;"")*(L$4:L$49&lt;&gt;"")*(K$4:K$49&lt;L$4:L$49)*3,(I$4:I$49=AY8)*(N$4:N$49=BP5)*(K$4:K$49&lt;&gt;"")*(L$4:L$49&lt;&gt;"")*(K$4:K$49=L$4:L$49)*1)</f>
        <v>3</v>
      </c>
      <c r="BQ8" s="917">
        <f t="array" aca="1" ref="BQ8" ca="1">SUM((I$4:I$49=AY8)*(N$4:N$49=BQ5)*(K$4:K$49&lt;&gt;"")*(L$4:L$49&lt;&gt;"")*(K$4:K$49&gt;L$4:L$49)*3,(N$4:N$49=AY8)*(I$4:I$49=BQ5)*(K$4:K$49&lt;&gt;"")*(L$4:L$49&lt;&gt;"")*(K$4:K$49=L$4:L$49)*1,(N$4:N$49=AY8)*(I$4:I$49=BQ5)*(K$4:K$49&lt;&gt;"")*(L$4:L$49&lt;&gt;"")*(K$4:K$49&lt;L$4:L$49)*3,(I$4:I$49=AY8)*(N$4:N$49=BQ5)*(K$4:K$49&lt;&gt;"")*(L$4:L$49&lt;&gt;"")*(K$4:K$49=L$4:L$49)*1)</f>
        <v>3</v>
      </c>
      <c r="BR8" s="917">
        <v>0</v>
      </c>
      <c r="BS8" s="917">
        <f t="array" aca="1" ref="BS8" ca="1">SUM((I$4:I$49=AY8)*(N$4:N$49=BS5)*(K$4:K$49&lt;&gt;"")*(L$4:L$49&lt;&gt;"")*(K$4:K$49&gt;L$4:L$49)*3,(N$4:N$49=AY8)*(I$4:I$49=BS5)*(K$4:K$49&lt;&gt;"")*(L$4:L$49&lt;&gt;"")*(K$4:K$49=L$4:L$49)*1,(N$4:N$49=AY8)*(I$4:I$49=BS5)*(K$4:K$49&lt;&gt;"")*(L$4:L$49&lt;&gt;"")*(K$4:K$49&lt;L$4:L$49)*3,(I$4:I$49=AY8)*(N$4:N$49=BS5)*(K$4:K$49&lt;&gt;"")*(L$4:L$49&lt;&gt;"")*(K$4:K$49=L$4:L$49)*1)</f>
        <v>0</v>
      </c>
      <c r="BT8" s="911">
        <v>3</v>
      </c>
      <c r="BU8" s="911">
        <f ca="1">RANK(BW8,$BW$6:$BW$9)</f>
        <v>2</v>
      </c>
      <c r="BV8" s="911" t="str">
        <f ca="1">A7</f>
        <v>Senegal</v>
      </c>
      <c r="BW8" s="911">
        <f t="shared" ca="1" si="2"/>
        <v>6670210499.9700003</v>
      </c>
      <c r="BX8" s="911" t="str">
        <f ca="1">VLOOKUP(Q8,$AH$6:$AI$9,2,0)</f>
        <v>Ecuador</v>
      </c>
      <c r="BY8" s="911">
        <f ca="1">VLOOKUP($BX8,$AI$6:$AR$9,10,FALSE)</f>
        <v>4453210499.9799995</v>
      </c>
      <c r="CA8" s="911">
        <v>3</v>
      </c>
      <c r="CB8" s="911" t="str">
        <f ca="1">VLOOKUP(CA8,$AH$6:$AI$9,2,0)</f>
        <v>Ecuador</v>
      </c>
      <c r="CC8" s="911">
        <f ca="1">VLOOKUP(CB8,$AI$6:$AR$9,2,FALSE)</f>
        <v>4</v>
      </c>
      <c r="CD8" s="918">
        <f ca="1">IF(SUM($AK$6:$AK$9)=12,MIN(ABS(BY7-BY8),ABS(BY8-BY9)),100)</f>
        <v>2216999999.9900007</v>
      </c>
      <c r="CE8" s="911">
        <f ca="1">VLOOKUP($CB8,$AI$6:$AR$9,9,FALSE)</f>
        <v>1</v>
      </c>
      <c r="CF8" s="911">
        <f ca="1">VLOOKUP($CB8,$AI$6:$AR$9,7,FALSE)</f>
        <v>4</v>
      </c>
      <c r="CH8" s="911">
        <f t="array" aca="1" ref="CH8" ca="1">IF($CI$6=$CL$5,$EC$5:$EC$8,IF($CI$6=$CM$5,$ED$5:$ED$7,IF(OR($CI$6=$CN$5,$CI$6=$CR$5),$EG$5:$EG$6,IF($CI$6=$CP$5,$EF$5:$EF$7,(IF($CI$6=$CQ$5,$EH$5:$EH$6,$EK$5))))))</f>
        <v>3</v>
      </c>
      <c r="CK8" s="909">
        <v>3</v>
      </c>
      <c r="CL8" s="909">
        <f t="array" aca="1" ref="CL8" ca="1">IF(AND($CC$6:$CC$9=$CC$8,$CD$6:$CD$9&lt;90,$AQ$6:$AQ$9=$AQ$8,$CF$6:$CF$9=$CF$8),1,0)</f>
        <v>0</v>
      </c>
      <c r="CM8" s="909">
        <f t="array" aca="1" ref="CM8" ca="1">IF(AND($CC$6:$CC$8=$CC$8,$CD$6:$CD$8&lt;90,$CC$8&lt;&gt;$CC$9),1,0)</f>
        <v>0</v>
      </c>
      <c r="CN8" s="909">
        <f t="array" aca="1" ref="CN8" ca="1">IF(AND($CC$8:$CC$9=$CC$8,$CD$8:$CD$9&lt;90,$CC$8&lt;&gt;$CC$7),1,0)</f>
        <v>0</v>
      </c>
      <c r="CO8" s="909">
        <f t="array" aca="1" ref="CO8" ca="1">IF(OR(AND($CC$8&lt;&gt;$CC$7,$CC$8&lt;&gt;$CC$9),AND($CC$8&lt;&gt;$CC$7,$CC$8=$CC$9,$CD$8&gt;90,$CD$9&gt;90)),1,0)</f>
        <v>1</v>
      </c>
      <c r="CP8" s="909">
        <f t="array" aca="1" ref="CP8" ca="1">IF(AND($CC$7:$CC$9=$CC$7,$CD$7:$CD$9&lt;90,$CC$6&lt;&gt;$CC$8),1,0)</f>
        <v>0</v>
      </c>
      <c r="CQ8" s="909">
        <f t="array" aca="1" ref="CQ8" ca="1">IF(AND($CC$7:$CC$8=$CC$8,$CD$7:$CD$8&lt;90,$CC$8&lt;&gt;$CC$6,$CC$8&lt;&gt;$CC$9),1,0)</f>
        <v>0</v>
      </c>
      <c r="CR8" s="909">
        <f t="array" aca="1" ref="CR8" ca="1">IF(AND($CC$8:$CC$9=$CC$8,$CD$8:$CD$9&lt;90,$CC$8&lt;&gt;$CC$7),1,0)</f>
        <v>0</v>
      </c>
      <c r="CS8" s="909">
        <f t="array" aca="1" ref="CS8" ca="1">IF(AND($CC$8&lt;&gt;$CC$7,$CC$8&lt;&gt;$CC$9),1,0)</f>
        <v>1</v>
      </c>
      <c r="CT8" s="909">
        <f t="array" aca="1" ref="CT8" ca="1">IF(AND($CC$6:$CC$9=$CC$6,$CD$6:$CD$9&lt;90,$CE$8:$CE$9=$CE$8,$CE$7&lt;&gt;$CE$8),1,0)</f>
        <v>0</v>
      </c>
      <c r="CU8" s="909">
        <f t="array" aca="1" ref="CU8" ca="1">IF(AND($CC$6:$CC$9=$CC$6,$CD$6:$CD$9&lt;90,$CE$6:$CE$9=$CE$6,$CF$8=$CF$9,$CF$7&lt;&gt;$CF$8),1,0)</f>
        <v>0</v>
      </c>
      <c r="CV8" s="909">
        <f t="array" aca="1" ref="CV8" ca="1">IF(AND($CC$6:$CC$8=$CC$8,$CD$6:$CD$7&lt;90,$CD$8&gt;90),1,0)</f>
        <v>0</v>
      </c>
      <c r="CW8" s="909">
        <f t="array" aca="1" ref="CW8" ca="1">IF(AND($CC$7&lt;&gt;$CC$6,$CC$7:$CC$9=$CC$8,$CD$7&gt;90,$CD$8:$CD$9&lt;90),1,0)</f>
        <v>0</v>
      </c>
      <c r="CX8" s="909">
        <f t="array" aca="1" ref="CX8" ca="1">IF(AND($CC$7&lt;&gt;$CC$6,$CC$7:$CC$9=$CC$7,$CD$9&gt;90,$CD$7:$CD$8&lt;90),1,0)</f>
        <v>0</v>
      </c>
      <c r="CY8" s="909">
        <f t="array" aca="1" ref="CY8" ca="1">IF(AND($CC$8&lt;&gt;$CC$9,$CC$6:$CC$8=$CC$8,$CD$6&gt;90,$CD$7:$CD$8&lt;90),1,0)</f>
        <v>0</v>
      </c>
      <c r="CZ8" s="909">
        <f t="array" aca="1" ref="CZ8" ca="1">IF(AND($CC$6:$CC$9=$CC$7,$CD$7:$CD$9&lt;90,$CD$6&lt;&gt;$CD$8),1,0)</f>
        <v>0</v>
      </c>
      <c r="DA8" s="909">
        <f t="array" aca="1" ref="DA8" ca="1">IF(AND($CC$6:$CC$9=$CC$8,$CD$6:$CD$8&lt;90,$CD$8&lt;&gt;$CD$9),1,0)</f>
        <v>0</v>
      </c>
      <c r="DB8" s="909">
        <f t="array" aca="1" ref="DB8" ca="1">IF(AND($CC$6:$CC$9=$CC$8,$CD$6:$CD$7&gt;90,$CD$8:$CD$9&lt;90,$CE$6:$CE$9=$CE$8,$CF$6&gt;$CF$7,$CF$7&gt;$CF$8,$CF$8=$CF$9),1,0)</f>
        <v>0</v>
      </c>
      <c r="DC8" s="909">
        <f t="array" aca="1" ref="DC8" ca="1">IF(AND($CC$6:$CC$9=$CC$8,$CD$6&gt;90,$CD$7:$CD$8&lt;90,$CD$9&gt;90,$CE$6:$CE$9=$CE$8,$CF$6&gt;$CF$7,$CF$7=$CF$8,$CF$8&gt;$CF$9),1,0)</f>
        <v>0</v>
      </c>
      <c r="DD8" s="909">
        <f t="array" aca="1" ref="DD8" ca="1">IF(AND($CC$6:$CC$9=$CC$8,$CD$6:$CD$7&lt;90,$CD$8:$CD$9&gt;90,$CE$6:$CE$9=$CE$8,$CF$6=$CF$7,$CF$7&gt;$CF$8,$CF$8&gt;$CF$9),1,0)</f>
        <v>0</v>
      </c>
      <c r="DE8" s="909">
        <f t="array" aca="1" ref="DE8" ca="1">IF(AND($CC$6:$CC$9=$CC$8,$CD$6:$CD$7&gt;90,$CD$8:$CD$9&lt;90,$CE$6:$CE$9=$CE$7,$CF$6&gt;$CF$8,$CF$7:$CF$9=$CF$8),1,0)</f>
        <v>0</v>
      </c>
      <c r="DF8" s="909">
        <f t="array" aca="1" ref="DF8" ca="1">IF(AND($CC$6:$CC$9=$CC$8,$CD$6:$CD$7&lt;90,$CD$8:$CD$9&gt;90,$CE$6:$CE$9=$CE$8,$CF$6:$CF$8=$CF$8,$CF$8&gt;$CF$9),1,0)</f>
        <v>0</v>
      </c>
      <c r="DG8" s="909">
        <f t="array" aca="1" ref="DG8" ca="1">IF(AND($CC$6:$CC$9=$CC$8,$CD$6&gt;90,$CD$9&gt;90,$CD$7:$CD$8&lt;90,$CE$6:$CE$9=$CE$8,$CF$6&gt;$CF$7:$CF$9,$CF$7:$CF$9=$CF$8),1,0)</f>
        <v>0</v>
      </c>
      <c r="EC8" s="911">
        <v>4</v>
      </c>
      <c r="ED8" s="911"/>
      <c r="EE8" s="911"/>
      <c r="EF8" s="911"/>
      <c r="EG8" s="911"/>
      <c r="EH8" s="911"/>
      <c r="EI8" s="911"/>
      <c r="EJ8" s="911"/>
      <c r="EK8" s="911"/>
      <c r="EL8" s="911"/>
      <c r="FI8" s="917"/>
      <c r="FK8" s="917"/>
      <c r="FM8" s="917"/>
    </row>
    <row r="9" spans="1:169 5689:5689 8944:8944 13447:13447" ht="16" thickBot="1">
      <c r="A9" s="875"/>
      <c r="B9" s="872"/>
      <c r="C9" s="875"/>
      <c r="D9" s="152"/>
      <c r="E9" s="1021"/>
      <c r="F9" s="33">
        <f>Horarios!C9</f>
        <v>44894.75</v>
      </c>
      <c r="G9" s="34">
        <f>Horarios!C9</f>
        <v>44894.75</v>
      </c>
      <c r="H9" s="33" t="s">
        <v>71</v>
      </c>
      <c r="I9" s="35" t="str">
        <f ca="1">A8</f>
        <v>Paises Bajos</v>
      </c>
      <c r="J9" s="398" t="str">
        <f ca="1">VLOOKUP(I9,Equipos!$H$2:$I$33,2,0)</f>
        <v>🇳🇱</v>
      </c>
      <c r="K9" s="36">
        <v>2</v>
      </c>
      <c r="L9" s="36">
        <v>0</v>
      </c>
      <c r="M9" s="401" t="str">
        <f ca="1">VLOOKUP(N9,Equipos!$H$2:$I$33,2,0)</f>
        <v>🇶🇦</v>
      </c>
      <c r="N9" s="37" t="str">
        <f ca="1">A5</f>
        <v>Catar</v>
      </c>
      <c r="O9" s="347">
        <f t="shared" si="1"/>
        <v>1</v>
      </c>
      <c r="P9" s="82"/>
      <c r="Q9" s="104">
        <v>4</v>
      </c>
      <c r="R9" s="105" t="str">
        <f ca="1">VLOOKUP(Q9,$AG$6:$AI$9,3,0)</f>
        <v>Catar</v>
      </c>
      <c r="S9" s="106">
        <f ca="1">VLOOKUP(R9,$AI$6:$AR$9,2,FALSE)</f>
        <v>0</v>
      </c>
      <c r="T9" s="106">
        <f ca="1">VLOOKUP($R9,$AI$6:$AR$9,3,FALSE)</f>
        <v>3</v>
      </c>
      <c r="U9" s="106">
        <f ca="1">VLOOKUP($R9,$AI$6:$AR$9,4,FALSE)</f>
        <v>0</v>
      </c>
      <c r="V9" s="106">
        <f ca="1">VLOOKUP($R9,$AI$6:$AR$9,5,FALSE)</f>
        <v>0</v>
      </c>
      <c r="W9" s="106">
        <f ca="1">VLOOKUP($R9,$AI$6:$AR$9,6,FALSE)</f>
        <v>3</v>
      </c>
      <c r="X9" s="106">
        <f ca="1">VLOOKUP($R9,$AI$6:$AR$9,7,FALSE)</f>
        <v>1</v>
      </c>
      <c r="Y9" s="106">
        <f ca="1">VLOOKUP($R9,$AI$6:$AR$9,8,FALSE)</f>
        <v>6</v>
      </c>
      <c r="Z9" s="107">
        <f ca="1">VLOOKUP($R9,$AI$6:$AR$9,9,FALSE)</f>
        <v>-5</v>
      </c>
      <c r="AA9" s="357">
        <f ca="1">IF(SUM($AK$6:$AK$9)=12,MIN(ABS(BY8-BY9),ABS(BY9-BY10)),100)</f>
        <v>23789500.010000002</v>
      </c>
      <c r="AB9" s="94" t="str">
        <f ca="1">IF(AND(AA9&gt;=0,AA9&lt;90),VLOOKUP(Q9,$BU$6:$BV$9,2,0),"")</f>
        <v/>
      </c>
      <c r="AC9" s="73"/>
      <c r="AD9" s="74"/>
      <c r="AE9" s="328"/>
      <c r="AF9" s="910">
        <f ca="1">VLOOKUP($R9,$AI$6:$AR$9,10,FALSE)</f>
        <v>-23789500.010000002</v>
      </c>
      <c r="AG9" s="909">
        <f ca="1">RANK(AU9,$AU$6:$AU$9)</f>
        <v>1</v>
      </c>
      <c r="AH9" s="909">
        <f ca="1">RANK(AR9,$AR$6:$AR$9)</f>
        <v>1</v>
      </c>
      <c r="AI9" s="911" t="str">
        <f ca="1">A8</f>
        <v>Paises Bajos</v>
      </c>
      <c r="AJ9" s="909">
        <f ca="1">AL9*3+AM9*1+AN9*0</f>
        <v>7</v>
      </c>
      <c r="AK9" s="909">
        <f ca="1">COUNTIFS($I$4:$I$65,AI9,$K$4:$K$65,"&lt;&gt;",$L$4:$L$65,"&lt;&gt;")+COUNTIFS($N$4:$N$65,AI9,$L$4:$L$65,"&lt;&gt;",$K$4:$K$65,"&lt;&gt;")</f>
        <v>3</v>
      </c>
      <c r="AL9" s="909">
        <f t="array" aca="1" ref="AL9" ca="1">SUM(($I$4:$I$65=AI9)*($K$4:$K$65&lt;&gt;"")*($L$4:$L$65&lt;&gt;"")*($K$4:$K$65&gt;$L$4:$L$65),($N$4:$N$65=AI9)*($K$4:$K$65&lt;&gt;"")*($L$4:$L$65&lt;&gt;"")*($K$4:$K$65&lt;$L$4:$L$65))</f>
        <v>2</v>
      </c>
      <c r="AM9" s="909">
        <f t="array" aca="1" ref="AM9" ca="1">SUM(($I$4:$I$65=AI9)*($K$4:$K$65&lt;&gt;"")*($L$4:$L$65&lt;&gt;"")*($K$4:$K$65=$L$4:$L$65),($N$4:$N$65=AI9)*($K$4:$K$65&lt;&gt;"")*($L$4:$L$65&lt;&gt;"")*($K$4:$K$65=$L$4:$L$65))</f>
        <v>1</v>
      </c>
      <c r="AN9" s="909">
        <f t="array" aca="1" ref="AN9" ca="1">SUM(($I$4:$I$65=AI9)*($L$4:$L$65&lt;&gt;"")*($K$4:$K$65&lt;&gt;"")*($K$4:$K$65&lt;$L$4:$L$65),($K$4:$K$65&lt;&gt;"")*($N$4:$N$65=AI9)*($L$4:$L$65&lt;&gt;"")*($K$4:$K$65&gt;$L$4:$L$65))</f>
        <v>0</v>
      </c>
      <c r="AO9" s="909">
        <f t="array" aca="1" ref="AO9" ca="1">SUMIFS($K$4:$K$65,$I$4:$I$65,AI9,$K$4:$K$65,"&lt;&gt;",$L$4:$L$65,"&lt;&gt;")+SUMIFS($L$4:$L$65,$N$4:$N$65,AI9,$K$4:$K$65,"&lt;&gt;",$L$4:$L$65,"&lt;&gt;")</f>
        <v>5</v>
      </c>
      <c r="AP9" s="909">
        <f t="array" aca="1" ref="AP9" ca="1">SUMIFS($K$4:$K$65,$N$4:$N$65,AI9,$K$4:$K$65,"&lt;&gt;",$L$4:$L$65,"&lt;&gt;")+SUMIFS($L$4:$L$65,$I$4:$I$65,AI9,$K$4:$K$65,"&lt;&gt;",$L$4:$L$65,"&lt;&gt;")</f>
        <v>1</v>
      </c>
      <c r="AQ9" s="909">
        <f ca="1">AO9-AP9</f>
        <v>4</v>
      </c>
      <c r="AR9" s="909">
        <f ca="1">IF(AK9=0,-($AW$11*VLOOKUP(AI9,Tabla3[[NombreEquipo]:[Rank]],3,FALSE)),AJ9*$AW$4+AQ9*$AW$5+AO9*$AW$6+BA9-($AW$11*VLOOKUP(AI9,Tabla3[[NombreEquipo]:[Rank]],3,FALSE)/100))</f>
        <v>7802210499.96</v>
      </c>
      <c r="AS9" s="909">
        <f ca="1">AH9</f>
        <v>1</v>
      </c>
      <c r="AT9" s="909"/>
      <c r="AU9" s="909">
        <f ca="1">IFERROR(AR9-VLOOKUP(AI9,$AB$6:$AC$9,2,0),AR9)</f>
        <v>7802210499.96</v>
      </c>
      <c r="AV9" s="909" t="s">
        <v>173</v>
      </c>
      <c r="AW9" s="912">
        <f>AW10*5</f>
        <v>500</v>
      </c>
      <c r="AX9" s="909"/>
      <c r="AY9" s="916" t="str">
        <f ca="1">AI9</f>
        <v>Paises Bajos</v>
      </c>
      <c r="AZ9" s="909">
        <f ca="1">COUNTIF(AJ6:AJ9,AJ9)</f>
        <v>1</v>
      </c>
      <c r="BA9" s="909">
        <f t="shared" ca="1" si="3"/>
        <v>210500</v>
      </c>
      <c r="BB9" s="917">
        <f ca="1">RANK(BC9,BC6:BC9,1)</f>
        <v>1</v>
      </c>
      <c r="BC9" s="917">
        <f ca="1">SUM(IF(AND(AJ9=AJ6,AQ9=AQ6,AO9=AO6),BD9,0),IF(AND(AJ9=AJ7,AQ9=AQ7,AO9=AO7),BE9,0),IF(AND(AJ9=AJ8,AQ9=AQ8,AO9=AO8),BF9,0))</f>
        <v>0</v>
      </c>
      <c r="BD9" s="917">
        <f t="array" aca="1" ref="BD9" ca="1">SUMIFS($K$4:$K$9,$I$4:$I$9,$AY9,$K$4:$K$9,"&lt;&gt;",$L$4:$L$9,"&lt;&gt;",$N$4:$N$9,BD5)+SUMIFS($L$4:$L$9,$I$4:$I$9,BD5,$K$4:$K$9,"&lt;&gt;",$L$4:$L$9,"&lt;&gt;",$N$4:$N$9,$AY9)</f>
        <v>2</v>
      </c>
      <c r="BE9" s="917">
        <f t="array" aca="1" ref="BE9" ca="1">SUMIFS($K$4:$K$9,$I$4:$I$9,$AY9,$K$4:$K$9,"&lt;&gt;",$L$4:$L$9,"&lt;&gt;",$N$4:$N$9,BE5)+SUMIFS($L$4:$L$9,$I$4:$I$9,BE5,$K$4:$K$9,"&lt;&gt;",$L$4:$L$9,"&lt;&gt;",$N$4:$N$9,$AY9)</f>
        <v>1</v>
      </c>
      <c r="BF9" s="917">
        <f t="array" aca="1" ref="BF9" ca="1">SUMIFS($K$4:$K$9,$I$4:$I$9,$AY9,$K$4:$K$9,"&lt;&gt;",$L$4:$L$9,"&lt;&gt;",$N$4:$N$9,BF5)+SUMIFS($L$4:$L$9,$I$4:$I$9,BF5,$K$4:$K$9,"&lt;&gt;",$L$4:$L$9,"&lt;&gt;",$N$4:$N$9,$AY9)</f>
        <v>2</v>
      </c>
      <c r="BG9" s="917">
        <v>0</v>
      </c>
      <c r="BH9" s="917">
        <f ca="1">RANK(BI9,BI6:BI9,1)</f>
        <v>1</v>
      </c>
      <c r="BI9" s="917">
        <f ca="1">SUM(IF(AND(AJ9=AJ6,AQ9=AQ6,AO9=AO6),BJ9,0),IF(AND(AJ9=AJ7,AQ9=AQ7,AO9=AO7),BK9,0),IF(AND(AJ9=AJ8,AQ9=AQ8,AO9=AO8),BL9,0))</f>
        <v>0</v>
      </c>
      <c r="BJ9" s="917">
        <f ca="1">BD9-BG6</f>
        <v>2</v>
      </c>
      <c r="BK9" s="917">
        <f ca="1">BE9-BG7</f>
        <v>0</v>
      </c>
      <c r="BL9" s="917">
        <f ca="1">BF9-BG8</f>
        <v>2</v>
      </c>
      <c r="BM9" s="917">
        <v>0</v>
      </c>
      <c r="BN9" s="917">
        <f ca="1">RANK(BO9,BO6:BO9,1)</f>
        <v>1</v>
      </c>
      <c r="BO9" s="917">
        <f ca="1">SUM(IF(AND(AJ9=AJ6,AQ9=AQ6,AO9=AO6),BP9,0),IF(AND(AJ9=AJ7,AQ9=AQ7,AO9=AO7),BQ9,0),IF(AND(AJ9=AJ8,AQ9=AQ8,AO9=AO8),BR9,0))</f>
        <v>0</v>
      </c>
      <c r="BP9" s="917">
        <f t="array" aca="1" ref="BP9" ca="1">SUM((I$4:I$49=AY9)*(N$4:N$49=BP5)*(K$4:K$49&lt;&gt;"")*(L$4:L$49&lt;&gt;"")*(K$4:K$49&gt;L$4:L$49)*3,(N$4:N$49=AY9)*(I$4:I$49=BP5)*(K$4:K$49&lt;&gt;"")*(L$4:L$49&lt;&gt;"")*(K$4:K$49=L$4:L$49)*1,(N$4:N$49=AY9)*(I$4:I$49=BP5)*(K$4:K$49&lt;&gt;"")*(L$4:L$49&lt;&gt;"")*(K$4:K$49&lt;L$4:L$49)*3,(I$4:I$49=AY9)*(N$4:N$49=BP5)*(K$4:K$49&lt;&gt;"")*(L$4:L$49&lt;&gt;"")*(K$4:K$49=L$4:L$49)*1)</f>
        <v>3</v>
      </c>
      <c r="BQ9" s="917">
        <f t="array" aca="1" ref="BQ9" ca="1">SUM((I$4:I$49=AY9)*(N$4:N$49=BQ5)*(K$4:K$49&lt;&gt;"")*(L$4:L$49&lt;&gt;"")*(K$4:K$49&gt;L$4:L$49)*3,(N$4:N$49=AY9)*(I$4:I$49=BQ5)*(K$4:K$49&lt;&gt;"")*(L$4:L$49&lt;&gt;"")*(K$4:K$49=L$4:L$49)*1,(N$4:N$49=AY9)*(I$4:I$49=BQ5)*(K$4:K$49&lt;&gt;"")*(L$4:L$49&lt;&gt;"")*(K$4:K$49&lt;L$4:L$49)*3,(I$4:I$49=AY9)*(N$4:N$49=BQ5)*(K$4:K$49&lt;&gt;"")*(L$4:L$49&lt;&gt;"")*(K$4:K$49=L$4:L$49)*1)</f>
        <v>1</v>
      </c>
      <c r="BR9" s="917">
        <f t="array" aca="1" ref="BR9" ca="1">SUM((I$4:I$49=AY9)*(N$4:N$49=BR5)*(K$4:K$49&lt;&gt;"")*(L$4:L$49&lt;&gt;"")*(K$4:K$49&gt;L$4:L$49)*3,(N$4:N$49=AY9)*(I$4:I$49=BR5)*(K$4:K$49&lt;&gt;"")*(L$4:L$49&lt;&gt;"")*(K$4:K$49=L$4:L$49)*1,(N$4:N$49=AY9)*(I$4:I$49=BR5)*(K$4:K$49&lt;&gt;"")*(L$4:L$49&lt;&gt;"")*(K$4:K$49&lt;L$4:L$49)*3,(I$4:I$49=AY9)*(N$4:N$49=BR5)*(K$4:K$49&lt;&gt;"")*(L$4:L$49&lt;&gt;"")*(K$4:K$49=L$4:L$49)*1)</f>
        <v>3</v>
      </c>
      <c r="BS9" s="917">
        <v>0</v>
      </c>
      <c r="BT9" s="911">
        <v>4</v>
      </c>
      <c r="BU9" s="911">
        <f ca="1">RANK(BW9,$BW$6:$BW$9)</f>
        <v>1</v>
      </c>
      <c r="BV9" s="911" t="str">
        <f ca="1">A8</f>
        <v>Paises Bajos</v>
      </c>
      <c r="BW9" s="911">
        <f t="shared" ca="1" si="2"/>
        <v>7802210499.96</v>
      </c>
      <c r="BX9" s="911" t="str">
        <f ca="1">VLOOKUP(Q9,$AH$6:$AI$9,2,0)</f>
        <v>Catar</v>
      </c>
      <c r="BY9" s="911">
        <f ca="1">VLOOKUP($BX9,$AI$6:$AR$9,10,FALSE)</f>
        <v>-23789500.010000002</v>
      </c>
      <c r="CA9" s="911">
        <v>4</v>
      </c>
      <c r="CB9" s="911" t="str">
        <f ca="1">VLOOKUP(CA9,$AH$6:$AI$9,2,0)</f>
        <v>Catar</v>
      </c>
      <c r="CC9" s="911">
        <f ca="1">VLOOKUP(CB9,$AI$6:$AR$9,2,FALSE)</f>
        <v>0</v>
      </c>
      <c r="CD9" s="918">
        <f ca="1">IF(SUM($AK$6:$AK$9)=12,MIN(ABS(BY8-BY9),ABS(BY9-BY10)),100)</f>
        <v>23789500.010000002</v>
      </c>
      <c r="CE9" s="911">
        <f ca="1">VLOOKUP($CB9,$AI$6:$AR$9,9,FALSE)</f>
        <v>-5</v>
      </c>
      <c r="CF9" s="911">
        <f ca="1">VLOOKUP($CB9,$AI$6:$AR$9,7,FALSE)</f>
        <v>1</v>
      </c>
      <c r="CH9" s="911">
        <f t="array" aca="1" ref="CH9" ca="1">IF($CI$6=$CL$5,$EC$5:$EC$8,IF(OR($CI$6=$CN$5,$CI$6=$CR$5),$EG$5:$EG$6,IF($CI$6=$CP$5,$EF$5:$EF$7,$EL$5)))</f>
        <v>4</v>
      </c>
      <c r="CK9" s="909">
        <v>4</v>
      </c>
      <c r="CL9" s="909">
        <f t="array" aca="1" ref="CL9" ca="1">IF(AND($CC$6:$CC$9=$CC$9,$CD$6:$CD$9&lt;90,$AQ$6:$AQ$9=$AQ$9,$CF$6:$CF$9=$CF$9),1,0)</f>
        <v>0</v>
      </c>
      <c r="CM9" s="909">
        <f t="array" aca="1" ref="CM9" ca="1">IF(AND($CC$6:$CC$8=$CC$6,$CD$6:$CD$8&lt;90,$CD$9&gt;90,$CC$6&lt;&gt;$CC$9),1,0)</f>
        <v>0</v>
      </c>
      <c r="CN9" s="909">
        <f t="array" aca="1" ref="CN9" ca="1">IF(AND($CC$8:$CC$9=$CC$8,$CD$8:$CD$9&lt;90,$CC$8&lt;&gt;$CC$7),1,0)</f>
        <v>0</v>
      </c>
      <c r="CO9" s="909">
        <f t="array" aca="1" ref="CO9" ca="1">IF(AND($CC$9&lt;&gt;$CC$7,$CC$9&lt;&gt;$CC$6),1,0)</f>
        <v>1</v>
      </c>
      <c r="CP9" s="909">
        <f t="array" aca="1" ref="CP9" ca="1">IF(AND($CC$7:$CC$9=$CC$7,$CD$7:$CD$9&lt;90,$CC$6&lt;&gt;$CC$9),1,0)</f>
        <v>0</v>
      </c>
      <c r="CQ9" s="909">
        <f t="array" aca="1" ref="CQ9" ca="1">IF(AND($CC$9&lt;&gt;$CC$7,$CC$9&lt;&gt;$CC$6),1,0)</f>
        <v>1</v>
      </c>
      <c r="CR9" s="909">
        <f t="array" aca="1" ref="CR9" ca="1">IF(AND($CC$8:$CC$9=$CC$8,$CD$8:$CD$9&lt;90,$CC$8&lt;&gt;$CC$7),1,0)</f>
        <v>0</v>
      </c>
      <c r="CS9" s="909">
        <f t="array" aca="1" ref="CS9" ca="1">IF(AND($CC$9&lt;&gt;$CC$7,$CC$9&lt;&gt;$CC$6),1,0)</f>
        <v>1</v>
      </c>
      <c r="CT9" s="909">
        <f t="array" aca="1" ref="CT9" ca="1">IF(AND($CC$6:$CC$9=$CC$6,$CD$6:$CD$9&lt;90,$CE$8:$CE$9=$CE$9,$CE$7&lt;&gt;$CE$9),1,0)</f>
        <v>0</v>
      </c>
      <c r="CU9" s="909">
        <f t="array" aca="1" ref="CU9" ca="1">IF(AND($CC$6:$CC$9=$CC$6,$CD$6:$CD$9&lt;90,$CE$6:$CE$9=$CE$6,$CF$8=$CF$9,$CF$7&lt;&gt;$CF$8),1,0)</f>
        <v>0</v>
      </c>
      <c r="CV9" s="909">
        <f t="array" aca="1" ref="CV9" ca="1">IF(AND($CC$6:$CC$8=$CC$6,$CD$6:$CD$7&lt;90,$CC$8&lt;&gt;$CC$9),1,0)</f>
        <v>0</v>
      </c>
      <c r="CW9" s="909">
        <f t="array" aca="1" ref="CW9" ca="1">IF(AND($CC$7&lt;&gt;$CC$6,$CC$7:$CC$9=$CC$8,$CD$7&gt;90,$CD$8:$CD$9&lt;90),1,0)</f>
        <v>0</v>
      </c>
      <c r="CX9" s="909">
        <f t="array" aca="1" ref="CX9" ca="1">IF(AND($CC$7&lt;&gt;$CC$6,$CC$7:$CC$9=$CC$7,$CD$9&gt;90,$CD$7:$CD$8&lt;90),1,0)</f>
        <v>0</v>
      </c>
      <c r="CY9" s="909">
        <f t="array" aca="1" ref="CY9" ca="1">IF(AND($CC$9&lt;&gt;$CC$7,$CC$9&lt;&gt;$CC$8),1,0)</f>
        <v>1</v>
      </c>
      <c r="CZ9" s="909">
        <f t="array" aca="1" ref="CZ9" ca="1">IF(AND($CC$6:$CC$9=$CC$7,$CD$7:$CD$9&lt;90,$CD$6&lt;&gt;$CD$9),1,0)</f>
        <v>0</v>
      </c>
      <c r="DA9" s="909">
        <f t="array" aca="1" ref="DA9" ca="1">IF(AND($CC$6:$CC$9=$CC$6,$CD$6:$CD$8&lt;90,$CD$8&lt;&gt;$CD$9),1,0)</f>
        <v>0</v>
      </c>
      <c r="DB9" s="909">
        <f t="array" aca="1" ref="DB9" ca="1">IF(AND($CC$6:$CC$9=$CC$9,$CD$6:$CD$7&gt;90,$CD$8:$CD$9&lt;90,$CE$6:$CE$9=$CE$9,$CF$6&gt;$CF$7,$CF$7&gt;$CF$9,$CF$8=$CF$9),1,0)</f>
        <v>0</v>
      </c>
      <c r="DC9" s="909">
        <f t="array" aca="1" ref="DC9" ca="1">IF(AND($CC$6:$CC$9=$CC$7,$CD$6&gt;90,$CD$7:$CD$8&lt;90,$CD$9&gt;90,$CE$6:$CE$9=$CE$9,$CF$6&gt;$CF$9,$CF$7=$CF$8,$CF$7&gt;$CF$9),1,0)</f>
        <v>0</v>
      </c>
      <c r="DD9" s="909">
        <f t="array" aca="1" ref="DD9" ca="1">IF(AND($CC$6:$CC$9=$CC$9,$CD$6:$CD$7&lt;90,$CD$8:$CD$9&gt;90,$CE$6:$CE$9=$CE$9,$CF$6=$CF$7,$CF$7&gt;$CF$8,$CF$8&gt;$CF$9),1,0)</f>
        <v>0</v>
      </c>
      <c r="DE9" s="909">
        <f t="array" aca="1" ref="DE9" ca="1">IF(AND($CC$6:$CC$9=$CC$9,$CD$6:$CD$7&gt;90,$CD$8:$CD$9&lt;90,$CE$6:$CE$9=$CE$9,$CF$6&gt;$CF$9,$CF$7:$CF$9=$CF$9),1,0)</f>
        <v>0</v>
      </c>
      <c r="DF9" s="909">
        <f t="array" aca="1" ref="DF9" ca="1">IF(AND($CC$6:$CC$9=$CC$9,$CD$6:$CD$7&lt;90,$CD$8:$CD$9&gt;90,$CE$6:$CE$9=$CE$9,$CF$6:$CF$8=$CF$8,$CF$6:$CF$8&gt;$CF$9),1,0)</f>
        <v>0</v>
      </c>
      <c r="DG9" s="909">
        <f t="array" aca="1" ref="DG9" ca="1">IF(AND($CC$6:$CC$9=$CC$9,$CD$6&gt;90,$CD$9&gt;90,$CD$7:$CD$8&lt;90,$CE$6:$CE$9=$CE$9,$CF$6&gt;$CF$7:$CF$9,$CF$7:$CF$9=$CF$9),1,0)</f>
        <v>0</v>
      </c>
      <c r="FI9" s="917"/>
      <c r="FK9" s="917"/>
      <c r="FM9" s="917"/>
    </row>
    <row r="10" spans="1:169 5689:5689 8944:8944 13447:13447" ht="15" customHeight="1">
      <c r="A10" s="875"/>
      <c r="B10" s="872"/>
      <c r="C10" s="875"/>
      <c r="D10" s="152"/>
      <c r="E10" s="78"/>
      <c r="F10" s="80"/>
      <c r="G10" s="78"/>
      <c r="H10" s="81"/>
      <c r="I10" s="860"/>
      <c r="J10" s="82"/>
      <c r="K10" s="82"/>
      <c r="L10" s="82"/>
      <c r="M10" s="82"/>
      <c r="N10" s="863"/>
      <c r="O10" s="346"/>
      <c r="P10" s="82"/>
      <c r="Q10" s="95"/>
      <c r="R10" s="96"/>
      <c r="S10" s="97"/>
      <c r="T10" s="95"/>
      <c r="U10" s="95"/>
      <c r="V10" s="95"/>
      <c r="W10" s="95"/>
      <c r="X10" s="95"/>
      <c r="Y10" s="95"/>
      <c r="Z10" s="95"/>
      <c r="AA10" s="357"/>
      <c r="AB10" s="74"/>
      <c r="AC10" s="74"/>
      <c r="AD10" s="74"/>
      <c r="AE10" s="328"/>
      <c r="AF10" s="910"/>
      <c r="AG10" s="909"/>
      <c r="AH10" s="909"/>
      <c r="AJ10" s="909"/>
      <c r="AK10" s="909"/>
      <c r="AL10" s="909"/>
      <c r="AM10" s="909"/>
      <c r="AN10" s="909"/>
      <c r="AO10" s="909"/>
      <c r="AP10" s="909"/>
      <c r="AQ10" s="909"/>
      <c r="AR10" s="909"/>
      <c r="AS10" s="909"/>
      <c r="AT10" s="909"/>
      <c r="AU10" s="909"/>
      <c r="AV10" s="909" t="s">
        <v>122</v>
      </c>
      <c r="AW10" s="912">
        <v>100</v>
      </c>
      <c r="AX10" s="909"/>
      <c r="AY10" s="916"/>
      <c r="AZ10" s="909"/>
      <c r="BA10" s="909"/>
      <c r="BB10" s="917"/>
      <c r="BC10" s="917"/>
      <c r="BD10" s="917"/>
      <c r="BE10" s="917"/>
      <c r="BF10" s="917"/>
      <c r="BG10" s="917"/>
      <c r="BH10" s="917"/>
      <c r="BI10" s="917"/>
      <c r="BJ10" s="917"/>
      <c r="BK10" s="917"/>
      <c r="BL10" s="917"/>
      <c r="BM10" s="917"/>
      <c r="BN10" s="917"/>
      <c r="BO10" s="917"/>
      <c r="BP10" s="917"/>
      <c r="BQ10" s="917"/>
      <c r="BR10" s="917"/>
      <c r="BS10" s="917"/>
      <c r="FK10" s="917"/>
      <c r="FM10" s="917"/>
      <c r="SWE10" s="909" t="s">
        <v>18</v>
      </c>
    </row>
    <row r="11" spans="1:169 5689:5689 8944:8944 13447:13447" ht="16" thickBot="1">
      <c r="A11" s="875"/>
      <c r="B11" s="872"/>
      <c r="C11" s="875"/>
      <c r="D11" s="66"/>
      <c r="E11" s="84"/>
      <c r="F11" s="83" t="str">
        <f>F3</f>
        <v>Fecha</v>
      </c>
      <c r="G11" s="83" t="str">
        <f t="shared" ref="G11:I11" si="4">G3</f>
        <v>Hora</v>
      </c>
      <c r="H11" s="85" t="str">
        <f t="shared" si="4"/>
        <v>Jor.</v>
      </c>
      <c r="I11" s="86" t="str">
        <f t="shared" si="4"/>
        <v>Casa</v>
      </c>
      <c r="J11" s="83"/>
      <c r="K11" s="87" t="s">
        <v>22</v>
      </c>
      <c r="L11" s="87" t="s">
        <v>22</v>
      </c>
      <c r="M11" s="87"/>
      <c r="N11" s="88" t="str">
        <f t="shared" ref="N11" si="5">N3</f>
        <v>Fuera</v>
      </c>
      <c r="O11" s="70"/>
      <c r="P11" s="69"/>
      <c r="Q11" s="69"/>
      <c r="R11" s="69"/>
      <c r="S11" s="69"/>
      <c r="T11" s="69"/>
      <c r="U11" s="69"/>
      <c r="V11" s="69"/>
      <c r="W11" s="69"/>
      <c r="X11" s="69"/>
      <c r="Y11" s="69"/>
      <c r="Z11" s="69"/>
      <c r="AA11" s="358"/>
      <c r="AB11" s="70"/>
      <c r="AC11" s="70"/>
      <c r="AD11" s="70"/>
      <c r="AE11" s="327"/>
      <c r="AF11" s="910"/>
      <c r="AG11" s="909"/>
      <c r="AH11" s="909"/>
      <c r="AI11" s="909"/>
      <c r="AJ11" s="909"/>
      <c r="AK11" s="909"/>
      <c r="AL11" s="909"/>
      <c r="AM11" s="909"/>
      <c r="AN11" s="909"/>
      <c r="AO11" s="909"/>
      <c r="AP11" s="909"/>
      <c r="AQ11" s="909"/>
      <c r="AR11" s="909"/>
      <c r="AS11" s="909"/>
      <c r="AT11" s="909"/>
      <c r="AU11" s="909"/>
      <c r="AV11" s="909" t="s">
        <v>36</v>
      </c>
      <c r="AW11" s="912">
        <v>1</v>
      </c>
      <c r="AX11" s="909"/>
      <c r="AY11" s="909"/>
      <c r="AZ11" s="909"/>
      <c r="BA11" s="909"/>
      <c r="BB11" s="909"/>
      <c r="BC11" s="909"/>
      <c r="BD11" s="909"/>
      <c r="BE11" s="909"/>
      <c r="BF11" s="909"/>
      <c r="BG11" s="909"/>
      <c r="BH11" s="909"/>
      <c r="BI11" s="909"/>
      <c r="BJ11" s="909"/>
      <c r="BK11" s="909"/>
      <c r="BL11" s="909"/>
      <c r="BM11" s="909"/>
      <c r="BN11" s="909"/>
      <c r="BO11" s="909"/>
      <c r="BP11" s="909"/>
      <c r="BQ11" s="909"/>
      <c r="BR11" s="909"/>
      <c r="BS11" s="909"/>
      <c r="BT11" s="909"/>
      <c r="BU11" s="909"/>
      <c r="BV11" s="909"/>
      <c r="BW11" s="909"/>
      <c r="BX11" s="909"/>
      <c r="BY11" s="909"/>
      <c r="BZ11" s="909"/>
      <c r="CA11" s="909"/>
      <c r="CB11" s="909"/>
      <c r="CC11" s="909"/>
      <c r="CD11" s="909"/>
      <c r="CE11" s="909"/>
      <c r="CF11" s="909"/>
      <c r="CG11" s="909"/>
      <c r="CL11" s="910">
        <v>1</v>
      </c>
      <c r="CM11" s="910">
        <v>12</v>
      </c>
      <c r="CN11" s="910">
        <v>18</v>
      </c>
      <c r="CO11" s="910">
        <v>19</v>
      </c>
      <c r="CP11" s="910">
        <v>13</v>
      </c>
      <c r="CQ11" s="910">
        <v>20</v>
      </c>
      <c r="CR11" s="910">
        <v>21</v>
      </c>
      <c r="CS11" s="910">
        <v>22</v>
      </c>
      <c r="CT11" s="910">
        <v>3</v>
      </c>
      <c r="CU11" s="910">
        <v>2</v>
      </c>
      <c r="CV11" s="910">
        <v>14</v>
      </c>
      <c r="CW11" s="910">
        <v>17</v>
      </c>
      <c r="CX11" s="910">
        <v>16</v>
      </c>
      <c r="CY11" s="910">
        <v>15</v>
      </c>
      <c r="CZ11" s="910">
        <v>4</v>
      </c>
      <c r="DA11" s="910">
        <v>5</v>
      </c>
      <c r="DB11" s="910">
        <v>10</v>
      </c>
      <c r="DC11" s="910">
        <v>8</v>
      </c>
      <c r="DD11" s="910">
        <v>6</v>
      </c>
      <c r="DE11" s="910">
        <v>11</v>
      </c>
      <c r="DF11" s="910">
        <v>7</v>
      </c>
      <c r="DG11" s="910">
        <v>9</v>
      </c>
      <c r="DH11" s="910"/>
      <c r="DI11" s="910"/>
      <c r="EC11" s="911" t="s">
        <v>41</v>
      </c>
      <c r="ED11" s="911" t="s">
        <v>42</v>
      </c>
      <c r="EE11" s="911" t="s">
        <v>44</v>
      </c>
      <c r="EF11" s="911" t="s">
        <v>45</v>
      </c>
      <c r="EG11" s="911" t="s">
        <v>46</v>
      </c>
      <c r="EH11" s="911" t="s">
        <v>47</v>
      </c>
      <c r="EI11" s="911" t="s">
        <v>48</v>
      </c>
      <c r="EJ11" s="911" t="s">
        <v>49</v>
      </c>
      <c r="EK11" s="911" t="s">
        <v>50</v>
      </c>
      <c r="EL11" s="911" t="s">
        <v>51</v>
      </c>
    </row>
    <row r="12" spans="1:169 5689:5689 8944:8944 13447:13447" ht="15" customHeight="1">
      <c r="A12" s="871" t="s">
        <v>74</v>
      </c>
      <c r="B12" s="872" t="s">
        <v>1</v>
      </c>
      <c r="C12" s="873">
        <f>COUNTIF(Equipos!$C$2:$C$33,MUNDIAL!B12)</f>
        <v>4</v>
      </c>
      <c r="D12" s="152"/>
      <c r="E12" s="1022" t="s">
        <v>1</v>
      </c>
      <c r="F12" s="38">
        <f>Horarios!C12</f>
        <v>44886.666666666664</v>
      </c>
      <c r="G12" s="39">
        <f>Horarios!C12</f>
        <v>44886.666666666664</v>
      </c>
      <c r="H12" s="38" t="s">
        <v>69</v>
      </c>
      <c r="I12" s="40" t="str">
        <f ca="1">A13</f>
        <v>Inglaterra</v>
      </c>
      <c r="J12" s="41" t="str">
        <f ca="1">VLOOKUP(I12,Equipos!$H$2:$I$33,2,0)</f>
        <v>🏴󠁧󠁢󠁥󠁮󠁧󠁿</v>
      </c>
      <c r="K12" s="42">
        <v>6</v>
      </c>
      <c r="L12" s="42">
        <v>2</v>
      </c>
      <c r="M12" s="43" t="str">
        <f ca="1">VLOOKUP(N12,Equipos!$H$2:$I$33,2,0)</f>
        <v>🇮🇷</v>
      </c>
      <c r="N12" s="44" t="str">
        <f ca="1">A14</f>
        <v>Irán</v>
      </c>
      <c r="O12" s="347">
        <f>IF(NOT(OR(ISBLANK(K12),ISBLANK(L12))),1,0)</f>
        <v>1</v>
      </c>
      <c r="P12" s="82"/>
      <c r="Q12" s="115" t="str">
        <f>CONCATENATE("Grupo"," ",B12)</f>
        <v>Grupo B</v>
      </c>
      <c r="R12" s="116"/>
      <c r="S12" s="116"/>
      <c r="T12" s="116"/>
      <c r="U12" s="116"/>
      <c r="V12" s="116"/>
      <c r="W12" s="116"/>
      <c r="X12" s="116"/>
      <c r="Y12" s="116"/>
      <c r="Z12" s="117"/>
      <c r="AA12" s="359"/>
      <c r="AB12" s="1015" t="s">
        <v>65</v>
      </c>
      <c r="AC12" s="1015"/>
      <c r="AD12" s="1015"/>
      <c r="AE12" s="327"/>
      <c r="AF12" s="910"/>
      <c r="AG12" s="909"/>
      <c r="AH12" s="909" t="str">
        <f>CONCATENATE("Auxiliar - ",Q12)</f>
        <v>Auxiliar - Grupo B</v>
      </c>
      <c r="AI12" s="909"/>
      <c r="AJ12" s="909"/>
      <c r="AK12" s="909"/>
      <c r="AL12" s="909"/>
      <c r="AM12" s="909"/>
      <c r="AN12" s="909"/>
      <c r="AO12" s="909"/>
      <c r="AP12" s="909"/>
      <c r="AQ12" s="909"/>
      <c r="AR12" s="909"/>
      <c r="AS12" s="909"/>
      <c r="AT12" s="909"/>
      <c r="AU12" s="909" t="s">
        <v>38</v>
      </c>
      <c r="AV12" s="909"/>
      <c r="AW12" s="912"/>
      <c r="AX12" s="909"/>
      <c r="AY12" s="910" t="str">
        <f>CONCATENATE(Q12," - GOLAVERAGE")</f>
        <v>Grupo B - GOLAVERAGE</v>
      </c>
      <c r="AZ12" s="909"/>
      <c r="BA12" s="909"/>
      <c r="BB12" s="909" t="s">
        <v>28</v>
      </c>
      <c r="BC12" s="909"/>
      <c r="BD12" s="909"/>
      <c r="BE12" s="909"/>
      <c r="BF12" s="909"/>
      <c r="BG12" s="909"/>
      <c r="BH12" s="909" t="s">
        <v>27</v>
      </c>
      <c r="BI12" s="909"/>
      <c r="BJ12" s="909"/>
      <c r="BK12" s="909"/>
      <c r="BL12" s="909"/>
      <c r="BM12" s="909"/>
      <c r="BN12" s="909" t="s">
        <v>123</v>
      </c>
      <c r="BO12" s="917"/>
      <c r="BP12" s="917"/>
      <c r="BQ12" s="917"/>
      <c r="BR12" s="917"/>
      <c r="BS12" s="917"/>
      <c r="CI12" s="909" t="s">
        <v>62</v>
      </c>
      <c r="CK12" s="909" t="s">
        <v>63</v>
      </c>
      <c r="CL12" s="909">
        <f t="shared" ref="CL12:DG12" ca="1" si="6">SUM(CL14:CL17)</f>
        <v>0</v>
      </c>
      <c r="CM12" s="909">
        <f t="shared" ca="1" si="6"/>
        <v>0</v>
      </c>
      <c r="CN12" s="909">
        <f t="shared" ca="1" si="6"/>
        <v>0</v>
      </c>
      <c r="CO12" s="909">
        <f t="shared" ca="1" si="6"/>
        <v>2</v>
      </c>
      <c r="CP12" s="909">
        <f t="shared" ca="1" si="6"/>
        <v>0</v>
      </c>
      <c r="CQ12" s="909">
        <f t="shared" ca="1" si="6"/>
        <v>2</v>
      </c>
      <c r="CR12" s="909">
        <f t="shared" ca="1" si="6"/>
        <v>2</v>
      </c>
      <c r="CS12" s="909">
        <f t="shared" ca="1" si="6"/>
        <v>4</v>
      </c>
      <c r="CT12" s="909">
        <f t="shared" ca="1" si="6"/>
        <v>0</v>
      </c>
      <c r="CU12" s="909">
        <f t="shared" ca="1" si="6"/>
        <v>0</v>
      </c>
      <c r="CV12" s="909">
        <f t="shared" ca="1" si="6"/>
        <v>0</v>
      </c>
      <c r="CW12" s="909">
        <f t="shared" ca="1" si="6"/>
        <v>1</v>
      </c>
      <c r="CX12" s="909">
        <f t="shared" ca="1" si="6"/>
        <v>1</v>
      </c>
      <c r="CY12" s="909">
        <f t="shared" ca="1" si="6"/>
        <v>1</v>
      </c>
      <c r="CZ12" s="909">
        <f t="shared" ca="1" si="6"/>
        <v>0</v>
      </c>
      <c r="DA12" s="909">
        <f t="shared" ca="1" si="6"/>
        <v>0</v>
      </c>
      <c r="DB12" s="909">
        <f t="shared" ca="1" si="6"/>
        <v>0</v>
      </c>
      <c r="DC12" s="909">
        <f t="shared" ca="1" si="6"/>
        <v>0</v>
      </c>
      <c r="DD12" s="909">
        <f t="shared" ca="1" si="6"/>
        <v>0</v>
      </c>
      <c r="DE12" s="909">
        <f t="shared" ca="1" si="6"/>
        <v>0</v>
      </c>
      <c r="DF12" s="909">
        <f t="shared" ca="1" si="6"/>
        <v>0</v>
      </c>
      <c r="DG12" s="909">
        <f t="shared" ca="1" si="6"/>
        <v>0</v>
      </c>
      <c r="EC12" s="911">
        <v>1234</v>
      </c>
      <c r="ED12" s="911">
        <v>123</v>
      </c>
      <c r="EE12" s="911">
        <v>12</v>
      </c>
      <c r="EF12" s="911">
        <v>234</v>
      </c>
      <c r="EG12" s="911">
        <v>34</v>
      </c>
      <c r="EH12" s="911">
        <v>23</v>
      </c>
      <c r="EI12" s="911">
        <v>1</v>
      </c>
      <c r="EJ12" s="911">
        <v>2</v>
      </c>
      <c r="EK12" s="911">
        <v>3</v>
      </c>
      <c r="EL12" s="911">
        <v>4</v>
      </c>
      <c r="FM12" s="917"/>
    </row>
    <row r="13" spans="1:169 5689:5689 8944:8944 13447:13447" ht="16" thickBot="1">
      <c r="A13" s="871" t="str">
        <f t="array" aca="1" ref="A13" ca="1">IF(ROWS(A$13:A13)&lt;=$C$12,INDEX(INDIRECT(A$12),SMALL(IF(Nivell=$B$12,ROW(Nivell)-ROW(Equipos!$C$2)+1),ROWS(B$12:B12))),"")</f>
        <v>Inglaterra</v>
      </c>
      <c r="B13" s="872"/>
      <c r="C13" s="872"/>
      <c r="D13" s="152"/>
      <c r="E13" s="1023"/>
      <c r="F13" s="16">
        <f>Horarios!C13</f>
        <v>44886.916666666664</v>
      </c>
      <c r="G13" s="17">
        <f>Horarios!C13</f>
        <v>44886.916666666664</v>
      </c>
      <c r="H13" s="16" t="s">
        <v>69</v>
      </c>
      <c r="I13" s="18" t="str">
        <f ca="1">A15</f>
        <v>Estados unidos</v>
      </c>
      <c r="J13" s="19" t="str">
        <f ca="1">VLOOKUP(I13,Equipos!$H$2:$I$33,2,0)</f>
        <v>🇺🇸</v>
      </c>
      <c r="K13" s="20">
        <v>1</v>
      </c>
      <c r="L13" s="20">
        <v>1</v>
      </c>
      <c r="M13" s="26" t="str">
        <f ca="1">VLOOKUP(N13,Equipos!$H$2:$I$33,2,0)</f>
        <v>🏴󠁧󠁢󠁷󠁬󠁳󠁿</v>
      </c>
      <c r="N13" s="45" t="str">
        <f ca="1">A16</f>
        <v>Gales</v>
      </c>
      <c r="O13" s="347">
        <f t="shared" ref="O13:O17" si="7">IF(NOT(OR(ISBLANK(K13),ISBLANK(L13))),1,0)</f>
        <v>1</v>
      </c>
      <c r="P13" s="82"/>
      <c r="Q13" s="118" t="s">
        <v>17</v>
      </c>
      <c r="R13" s="119" t="s">
        <v>100</v>
      </c>
      <c r="S13" s="120" t="s">
        <v>76</v>
      </c>
      <c r="T13" s="120" t="s">
        <v>6</v>
      </c>
      <c r="U13" s="120" t="s">
        <v>7</v>
      </c>
      <c r="V13" s="120" t="s">
        <v>3</v>
      </c>
      <c r="W13" s="120" t="s">
        <v>8</v>
      </c>
      <c r="X13" s="120" t="s">
        <v>9</v>
      </c>
      <c r="Y13" s="120" t="s">
        <v>10</v>
      </c>
      <c r="Z13" s="121" t="s">
        <v>99</v>
      </c>
      <c r="AA13" s="359">
        <f ca="1">COUNTIF(AA14:AA17,"&lt;100")</f>
        <v>0</v>
      </c>
      <c r="AB13" s="1015"/>
      <c r="AC13" s="1015"/>
      <c r="AD13" s="1015"/>
      <c r="AE13" s="327"/>
      <c r="AF13" s="910"/>
      <c r="AG13" s="913" t="s">
        <v>38</v>
      </c>
      <c r="AH13" s="913" t="s">
        <v>13</v>
      </c>
      <c r="AI13" s="913" t="s">
        <v>5</v>
      </c>
      <c r="AJ13" s="913" t="s">
        <v>14</v>
      </c>
      <c r="AK13" s="913" t="s">
        <v>6</v>
      </c>
      <c r="AL13" s="913" t="s">
        <v>7</v>
      </c>
      <c r="AM13" s="913" t="s">
        <v>3</v>
      </c>
      <c r="AN13" s="913" t="s">
        <v>8</v>
      </c>
      <c r="AO13" s="913" t="s">
        <v>9</v>
      </c>
      <c r="AP13" s="913" t="s">
        <v>10</v>
      </c>
      <c r="AQ13" s="913" t="s">
        <v>11</v>
      </c>
      <c r="AR13" s="913" t="s">
        <v>15</v>
      </c>
      <c r="AS13" s="913" t="s">
        <v>13</v>
      </c>
      <c r="AT13" s="909"/>
      <c r="AU13" s="909"/>
      <c r="AV13" s="909"/>
      <c r="AW13" s="912"/>
      <c r="AX13" s="909"/>
      <c r="AY13" s="913" t="s">
        <v>5</v>
      </c>
      <c r="AZ13" s="913" t="s">
        <v>29</v>
      </c>
      <c r="BA13" s="913" t="s">
        <v>32</v>
      </c>
      <c r="BB13" s="913" t="s">
        <v>31</v>
      </c>
      <c r="BC13" s="913" t="s">
        <v>26</v>
      </c>
      <c r="BD13" s="913" t="str">
        <f ca="1">AY14</f>
        <v>Inglaterra</v>
      </c>
      <c r="BE13" s="913" t="str">
        <f ca="1">AY15</f>
        <v>Irán</v>
      </c>
      <c r="BF13" s="913" t="str">
        <f ca="1">AY16</f>
        <v>Estados unidos</v>
      </c>
      <c r="BG13" s="913" t="str">
        <f ca="1">AY17</f>
        <v>Gales</v>
      </c>
      <c r="BH13" s="913" t="s">
        <v>31</v>
      </c>
      <c r="BI13" s="913" t="s">
        <v>26</v>
      </c>
      <c r="BJ13" s="913" t="str">
        <f ca="1">BD13</f>
        <v>Inglaterra</v>
      </c>
      <c r="BK13" s="913" t="str">
        <f ca="1">BE13</f>
        <v>Irán</v>
      </c>
      <c r="BL13" s="913" t="str">
        <f ca="1">BF13</f>
        <v>Estados unidos</v>
      </c>
      <c r="BM13" s="913" t="str">
        <f ca="1">BG13</f>
        <v>Gales</v>
      </c>
      <c r="BN13" s="913" t="s">
        <v>31</v>
      </c>
      <c r="BO13" s="913" t="s">
        <v>26</v>
      </c>
      <c r="BP13" s="913" t="str">
        <f ca="1">BD13</f>
        <v>Inglaterra</v>
      </c>
      <c r="BQ13" s="913" t="str">
        <f ca="1">BE13</f>
        <v>Irán</v>
      </c>
      <c r="BR13" s="913" t="str">
        <f ca="1">BF13</f>
        <v>Estados unidos</v>
      </c>
      <c r="BS13" s="913" t="str">
        <f ca="1">BG13</f>
        <v>Gales</v>
      </c>
      <c r="BU13" s="914"/>
      <c r="BV13" s="914" t="s">
        <v>39</v>
      </c>
      <c r="BW13" s="914"/>
      <c r="BX13" s="914" t="s">
        <v>40</v>
      </c>
      <c r="BY13" s="914"/>
      <c r="CA13" s="914"/>
      <c r="CB13" s="914" t="s">
        <v>5</v>
      </c>
      <c r="CC13" s="914" t="s">
        <v>14</v>
      </c>
      <c r="CD13" s="914" t="s">
        <v>59</v>
      </c>
      <c r="CE13" s="914" t="s">
        <v>11</v>
      </c>
      <c r="CF13" s="914" t="s">
        <v>60</v>
      </c>
      <c r="CG13" s="914"/>
      <c r="CK13" s="909" t="s">
        <v>64</v>
      </c>
      <c r="CL13" s="909" t="s">
        <v>43</v>
      </c>
      <c r="CM13" s="909" t="s">
        <v>52</v>
      </c>
      <c r="CN13" s="909" t="s">
        <v>53</v>
      </c>
      <c r="CO13" s="909" t="s">
        <v>54</v>
      </c>
      <c r="CP13" s="909" t="s">
        <v>55</v>
      </c>
      <c r="CQ13" s="909" t="s">
        <v>56</v>
      </c>
      <c r="CR13" s="909" t="s">
        <v>57</v>
      </c>
      <c r="CS13" s="909" t="s">
        <v>58</v>
      </c>
      <c r="CT13" s="909" t="s">
        <v>53</v>
      </c>
      <c r="CU13" s="909" t="s">
        <v>53</v>
      </c>
      <c r="CV13" s="909" t="s">
        <v>54</v>
      </c>
      <c r="CW13" s="909" t="s">
        <v>57</v>
      </c>
      <c r="CX13" s="909" t="s">
        <v>56</v>
      </c>
      <c r="CY13" s="909" t="s">
        <v>56</v>
      </c>
      <c r="CZ13" s="909" t="s">
        <v>55</v>
      </c>
      <c r="DA13" s="909" t="s">
        <v>52</v>
      </c>
      <c r="DB13" s="909" t="s">
        <v>57</v>
      </c>
      <c r="DC13" s="909" t="s">
        <v>56</v>
      </c>
      <c r="DD13" s="909" t="s">
        <v>54</v>
      </c>
      <c r="DE13" s="909" t="s">
        <v>57</v>
      </c>
      <c r="DF13" s="909" t="s">
        <v>54</v>
      </c>
      <c r="DG13" s="909" t="s">
        <v>56</v>
      </c>
      <c r="EC13" s="911">
        <v>1</v>
      </c>
      <c r="ED13" s="911">
        <v>1</v>
      </c>
      <c r="EE13" s="911">
        <v>1</v>
      </c>
      <c r="EF13" s="911">
        <v>2</v>
      </c>
      <c r="EG13" s="911">
        <v>3</v>
      </c>
      <c r="EH13" s="911">
        <v>2</v>
      </c>
      <c r="EI13" s="911">
        <v>1</v>
      </c>
      <c r="EJ13" s="911">
        <v>2</v>
      </c>
      <c r="EK13" s="911">
        <v>3</v>
      </c>
      <c r="EL13" s="911">
        <v>4</v>
      </c>
      <c r="FI13" s="913"/>
      <c r="FK13" s="913"/>
      <c r="FM13" s="913"/>
    </row>
    <row r="14" spans="1:169 5689:5689 8944:8944 13447:13447">
      <c r="A14" s="871" t="str">
        <f t="array" aca="1" ref="A14" ca="1">IF(ROWS(A$13:A14)&lt;=$C$12,INDEX(INDIRECT(A$12),SMALL(IF(Nivell=$B$12,ROW(Nivell)-ROW(Equipos!$C$2)+1),ROWS(B$12:B13))),"")</f>
        <v>Irán</v>
      </c>
      <c r="B14" s="872"/>
      <c r="C14" s="874"/>
      <c r="D14" s="152"/>
      <c r="E14" s="1023"/>
      <c r="F14" s="16">
        <f>Horarios!C14</f>
        <v>44890.541666666664</v>
      </c>
      <c r="G14" s="17">
        <f>Horarios!C14</f>
        <v>44890.541666666664</v>
      </c>
      <c r="H14" s="16" t="s">
        <v>70</v>
      </c>
      <c r="I14" s="18" t="str">
        <f ca="1">A16</f>
        <v>Gales</v>
      </c>
      <c r="J14" s="19" t="str">
        <f ca="1">VLOOKUP(I14,Equipos!$H$2:$I$33,2,0)</f>
        <v>🏴󠁧󠁢󠁷󠁬󠁳󠁿</v>
      </c>
      <c r="K14" s="20">
        <v>0</v>
      </c>
      <c r="L14" s="20">
        <v>2</v>
      </c>
      <c r="M14" s="26" t="str">
        <f ca="1">VLOOKUP(N14,Equipos!$H$2:$I$33,2,0)</f>
        <v>🇮🇷</v>
      </c>
      <c r="N14" s="45" t="str">
        <f ca="1">A14</f>
        <v>Irán</v>
      </c>
      <c r="O14" s="347">
        <f t="shared" si="7"/>
        <v>1</v>
      </c>
      <c r="P14" s="82"/>
      <c r="Q14" s="122">
        <v>1</v>
      </c>
      <c r="R14" s="123" t="str">
        <f ca="1">VLOOKUP(Q14,$AG$14:$AI$17,3,0)</f>
        <v>Inglaterra</v>
      </c>
      <c r="S14" s="124">
        <f ca="1">VLOOKUP(R14,$AI$14:$AR$17,2,FALSE)</f>
        <v>7</v>
      </c>
      <c r="T14" s="124">
        <f ca="1">VLOOKUP($R14,$AI$14:$AR$17,3,FALSE)</f>
        <v>3</v>
      </c>
      <c r="U14" s="124">
        <f ca="1">VLOOKUP($R14,$AI$14:$AR$17,4,FALSE)</f>
        <v>2</v>
      </c>
      <c r="V14" s="124">
        <f ca="1">VLOOKUP($R14,$AI$14:$AR$17,5,FALSE)</f>
        <v>1</v>
      </c>
      <c r="W14" s="124">
        <f ca="1">VLOOKUP($R14,$AI$14:$AR$17,6,FALSE)</f>
        <v>0</v>
      </c>
      <c r="X14" s="124">
        <f ca="1">VLOOKUP($R14,$AI$14:$AR$17,7,FALSE)</f>
        <v>9</v>
      </c>
      <c r="Y14" s="124">
        <f ca="1">VLOOKUP($R14,$AI$14:$AR$17,8,FALSE)</f>
        <v>2</v>
      </c>
      <c r="Z14" s="125">
        <f ca="1">VLOOKUP($R14,$AI$14:$AR$17,9,FALSE)</f>
        <v>7</v>
      </c>
      <c r="AA14" s="357">
        <f ca="1">IF(SUM($AK$14:$AK$17)=12,MIN(ABS(BY13-BY14),ABS(BY14-BY15)),100)</f>
        <v>2259000000.0199995</v>
      </c>
      <c r="AB14" s="94" t="str">
        <f ca="1">IF(AND(AA14&gt;=0,AA14&lt;90),VLOOKUP(Q14,$BU$14:$BV$17,2,0),"")</f>
        <v/>
      </c>
      <c r="AC14" s="73"/>
      <c r="AD14" s="74"/>
      <c r="AE14" s="328"/>
      <c r="AF14" s="910">
        <f ca="1">VLOOKUP($R14,$AI$14:$AR$17,10,FALSE)</f>
        <v>7821210499.9499998</v>
      </c>
      <c r="AG14" s="909">
        <f ca="1">RANK(AU14,$AU$14:$AU$17)</f>
        <v>1</v>
      </c>
      <c r="AH14" s="909">
        <f ca="1">RANK(AR14,$AR$14:$AR$17)</f>
        <v>1</v>
      </c>
      <c r="AI14" s="911" t="str">
        <f ca="1">A13</f>
        <v>Inglaterra</v>
      </c>
      <c r="AJ14" s="909">
        <f ca="1">AL14*3+AM14*1+AN14*0</f>
        <v>7</v>
      </c>
      <c r="AK14" s="909">
        <f ca="1">COUNTIFS($I$4:$I$65,AI14,$K$4:$K$65,"&lt;&gt;",$L$4:$L$65,"&lt;&gt;")+COUNTIFS($N$4:$N$65,AI14,$L$4:$L$65,"&lt;&gt;",$K$4:$K$65,"&lt;&gt;")</f>
        <v>3</v>
      </c>
      <c r="AL14" s="909">
        <f t="array" aca="1" ref="AL14" ca="1">SUM(($I$4:$I$65=AI14)*($K$4:$K$65&lt;&gt;"")*($L$4:$L$65&lt;&gt;"")*($K$4:$K$65&gt;$L$4:$L$65),($N$4:$N$65=AI14)*($K$4:$K$65&lt;&gt;"")*($L$4:$L$65&lt;&gt;"")*($K$4:$K$65&lt;$L$4:$L$65))</f>
        <v>2</v>
      </c>
      <c r="AM14" s="909">
        <f t="array" aca="1" ref="AM14" ca="1">SUM(($I$4:$I$65=AI14)*($K$4:$K$65&lt;&gt;"")*($L$4:$L$65&lt;&gt;"")*($K$4:$K$65=$L$4:$L$65),($N$4:$N$65=AI14)*($K$4:$K$65&lt;&gt;"")*($L$4:$L$65&lt;&gt;"")*($K$4:$K$65=$L$4:$L$65))</f>
        <v>1</v>
      </c>
      <c r="AN14" s="909">
        <f t="array" aca="1" ref="AN14" ca="1">SUM(($I$4:$I$65=AI14)*($L$4:$L$65&lt;&gt;"")*($K$4:$K$65&lt;&gt;"")*($K$4:$K$65&lt;$L$4:$L$65),($K$4:$K$65&lt;&gt;"")*($N$4:$N$65=AI14)*($L$4:$L$65&lt;&gt;"")*($K$4:$K$65&gt;$L$4:$L$65))</f>
        <v>0</v>
      </c>
      <c r="AO14" s="909">
        <f t="array" aca="1" ref="AO14" ca="1">SUMIFS($K$4:$K$65,$I$4:$I$65,AI14,$K$4:$K$65,"&lt;&gt;",$L$4:$L$65,"&lt;&gt;")+SUMIFS($L$4:$L$65,$N$4:$N$65,AI14,$K$4:$K$65,"&lt;&gt;",$L$4:$L$65,"&lt;&gt;")</f>
        <v>9</v>
      </c>
      <c r="AP14" s="909">
        <f t="array" aca="1" ref="AP14" ca="1">SUMIFS($K$4:$K$65,$N$4:$N$65,AI14,$K$4:$K$65,"&lt;&gt;",$L$4:$L$65,"&lt;&gt;")+SUMIFS($L$4:$L$65,$I$4:$I$65,AI14,$K$4:$K$65,"&lt;&gt;",$L$4:$L$65,"&lt;&gt;")</f>
        <v>2</v>
      </c>
      <c r="AQ14" s="909">
        <f ca="1">AO14-AP14</f>
        <v>7</v>
      </c>
      <c r="AR14" s="909">
        <f ca="1">IF(AK14=0,-($AW$11*VLOOKUP(AI14,Tabla3[[NombreEquipo]:[Rank]],3,FALSE)),AJ14*$AW$4+AQ14*$AW$5+AO14*$AW$6+BA14-($AW$11*VLOOKUP(AI14,Tabla3[[NombreEquipo]:[Rank]],3,FALSE)/100))</f>
        <v>7821210499.9499998</v>
      </c>
      <c r="AS14" s="909">
        <f ca="1">AH14</f>
        <v>1</v>
      </c>
      <c r="AT14" s="909"/>
      <c r="AU14" s="909">
        <f ca="1">IFERROR(AR14-VLOOKUP(AI14,$AB$14:$AC$17,2,0),AR14)</f>
        <v>7821210499.9499998</v>
      </c>
      <c r="AV14" s="909"/>
      <c r="AW14" s="912"/>
      <c r="AX14" s="909"/>
      <c r="AY14" s="916" t="str">
        <f ca="1">AI14</f>
        <v>Inglaterra</v>
      </c>
      <c r="AZ14" s="909">
        <f ca="1">COUNTIF(AJ14:AJ17,AJ14)</f>
        <v>1</v>
      </c>
      <c r="BA14" s="909">
        <f t="shared" ref="BA14:BA65" ca="1" si="8">(BB14*$AW$9)+(BH14*$AW$8)+(BN14*$AW$7)</f>
        <v>210500</v>
      </c>
      <c r="BB14" s="917">
        <f ca="1">RANK(BC14,BC14:BC17,1)</f>
        <v>1</v>
      </c>
      <c r="BC14" s="917">
        <f ca="1">SUM(IF(AND(AJ14=AJ15,AQ14=AQ15,AO14=AO15),BE14,0),IF(AND(AJ14=AJ16,AQ14=AQ16,AO14=AO16),BF14,0),IF(AND(AJ14=AJ17,AQ14=AQ17,AO14=AO17),BG14,0))</f>
        <v>0</v>
      </c>
      <c r="BD14" s="917">
        <v>0</v>
      </c>
      <c r="BE14" s="917">
        <f t="array" aca="1" ref="BE14" ca="1">SUMIFS($K$12:$K$17,$I$12:$I$17,$AY14,$K$12:$K$17,"&lt;&gt;",$L$12:$L$17,"&lt;&gt;",$N$12:$N$17,BE13)+SUMIFS($L$12:$L$17,$I$12:$I$17,BE13,$K$12:$K$17,"&lt;&gt;",$L$12:$L$17,"&lt;&gt;",$N$12:$N$17,$AY14)</f>
        <v>6</v>
      </c>
      <c r="BF14" s="917">
        <f t="array" aca="1" ref="BF14" ca="1">SUMIFS($K$12:$K$17,$I$12:$I$17,$AY14,$K$12:$K$17,"&lt;&gt;",$L$12:$L$17,"&lt;&gt;",$N$12:$N$17,BF13)+SUMIFS($L$12:$L$17,$I$12:$I$17,BF13,$K$12:$K$17,"&lt;&gt;",$L$12:$L$17,"&lt;&gt;",$N$12:$N$17,$AY14)</f>
        <v>0</v>
      </c>
      <c r="BG14" s="917">
        <f t="array" aca="1" ref="BG14" ca="1">SUMIFS($K$12:$K$17,$I$12:$I$17,$AY14,$K$12:$K$17,"&lt;&gt;",$L$12:$L$17,"&lt;&gt;",$N$12:$N$17,BG13)+SUMIFS($L$12:$L$17,$I$12:$I$17,BG13,$K$12:$K$17,"&lt;&gt;",$L$12:$L$17,"&lt;&gt;",$N$12:$N$17,$AY14)</f>
        <v>3</v>
      </c>
      <c r="BH14" s="917">
        <f ca="1">RANK(BI14,BI14:BI17,1)</f>
        <v>1</v>
      </c>
      <c r="BI14" s="917">
        <f ca="1">SUM(IF(AND(AJ14=AJ15,AQ14=AQ15,AO14=AO15),BK14,0),IF(AND(AJ14=AJ16,AQ14=AQ16,AO14=AO16),BL14,0),IF(AND(AJ14=AJ17,AQ14=AQ17,AO14=AO17),BM14,0))</f>
        <v>0</v>
      </c>
      <c r="BJ14" s="917">
        <v>0</v>
      </c>
      <c r="BK14" s="917">
        <f ca="1">BE14-BD15</f>
        <v>4</v>
      </c>
      <c r="BL14" s="917">
        <f ca="1">BF14-BD16</f>
        <v>0</v>
      </c>
      <c r="BM14" s="917">
        <f ca="1">BG14-BD17</f>
        <v>3</v>
      </c>
      <c r="BN14" s="917">
        <f ca="1">RANK(BO14,BO14:BO17,1)</f>
        <v>1</v>
      </c>
      <c r="BO14" s="917">
        <f ca="1">SUM(IF(AND(AJ14=AJ15,AQ14=AQ15,AO14=AO15),BQ14,0),IF(AND(AJ14=AJ16,AQ14=AQ16,AO14=AO16),BR14,0),IF(AND(AJ14=AJ17,AQ14=AQ17,AO14=AO17),BS14,0))</f>
        <v>0</v>
      </c>
      <c r="BP14" s="917">
        <v>0</v>
      </c>
      <c r="BQ14" s="917">
        <f t="array" aca="1" ref="BQ14" ca="1">SUM((I$4:I$49=AY14)*(N$4:N$49=BQ13)*(K$4:K$49&lt;&gt;"")*(L$4:L$49&lt;&gt;"")*(K$4:K$49&gt;L$4:L$49)*3,(N$4:N$49=AY14)*(I$4:I$49=BQ13)*(K$4:K$49&lt;&gt;"")*(L$4:L$49&lt;&gt;"")*(K$4:K$49=L$4:L$49)*1,(N$4:N$49=AY14)*(I$4:I$49=BQ13)*(K$4:K$49&lt;&gt;"")*(L$4:L$49&lt;&gt;"")*(K$4:K$49&lt;L$4:L$49)*3,(I$4:I$49=AY14)*(N$4:N$49=BQ13)*(K$4:K$49&lt;&gt;"")*(L$4:L$49&lt;&gt;"")*(K$4:K$49=L$4:L$49)*1)</f>
        <v>3</v>
      </c>
      <c r="BR14" s="917">
        <f t="array" aca="1" ref="BR14" ca="1">SUM((I$4:I$49=AY14)*(N$4:N$49=BR13)*(K$4:K$49&lt;&gt;"")*(L$4:L$49&lt;&gt;"")*(K$4:K$49&gt;L$4:L$49)*3,(N$4:N$49=AY14)*(I$4:I$49=BR13)*(K$4:K$49&lt;&gt;"")*(L$4:L$49&lt;&gt;"")*(K$4:K$49=L$4:L$49)*1,(N$4:N$49=AY14)*(I$4:I$49=BR13)*(K$4:K$49&lt;&gt;"")*(L$4:L$49&lt;&gt;"")*(K$4:K$49&lt;L$4:L$49)*3,(I$4:I$49=AY14)*(N$4:N$49=BR13)*(K$4:K$49&lt;&gt;"")*(L$4:L$49&lt;&gt;"")*(K$4:K$49=L$4:L$49)*1)</f>
        <v>1</v>
      </c>
      <c r="BS14" s="917">
        <f t="array" aca="1" ref="BS14" ca="1">SUM((I$4:I$49=AY14)*(N$4:N$49=BS13)*(K$4:K$49&lt;&gt;"")*(L$4:L$49&lt;&gt;"")*(K$4:K$49&gt;L$4:L$49)*3,(N$4:N$49=AY14)*(I$4:I$49=BS13)*(K$4:K$49&lt;&gt;"")*(L$4:L$49&lt;&gt;"")*(K$4:K$49=L$4:L$49)*1,(N$4:N$49=AY14)*(I$4:I$49=BS13)*(K$4:K$49&lt;&gt;"")*(L$4:L$49&lt;&gt;"")*(K$4:K$49&lt;L$4:L$49)*3,(I$4:I$49=AY14)*(N$4:N$49=BS13)*(K$4:K$49&lt;&gt;"")*(L$4:L$49&lt;&gt;"")*(K$4:K$49=L$4:L$49)*1)</f>
        <v>3</v>
      </c>
      <c r="BT14" s="911">
        <v>1</v>
      </c>
      <c r="BU14" s="911">
        <f ca="1">RANK(BW14,$BW$14:$BW$17)</f>
        <v>1</v>
      </c>
      <c r="BV14" s="911" t="str">
        <f ca="1">A13</f>
        <v>Inglaterra</v>
      </c>
      <c r="BW14" s="911">
        <f t="shared" ref="BW14:BW65" ca="1" si="9">AR14</f>
        <v>7821210499.9499998</v>
      </c>
      <c r="BX14" s="911" t="str">
        <f ca="1">VLOOKUP(Q14,$AH$14:$AI$17,2,0)</f>
        <v>Inglaterra</v>
      </c>
      <c r="BY14" s="911">
        <f ca="1">VLOOKUP($BX14,$AI$14:$AR$17,10,FALSE)</f>
        <v>7821210499.9499998</v>
      </c>
      <c r="CA14" s="911">
        <v>1</v>
      </c>
      <c r="CB14" s="911" t="str">
        <f ca="1">VLOOKUP(CA14,$AH$14:$AI$17,2,0)</f>
        <v>Inglaterra</v>
      </c>
      <c r="CC14" s="911">
        <f ca="1">VLOOKUP(CB14,$AI$14:$AR$17,2,FALSE)</f>
        <v>7</v>
      </c>
      <c r="CD14" s="918">
        <f ca="1">IF(SUM($AK$14:$AK$17)=12,MIN(ABS(BY13-BY14),ABS(BY14-BY15)),100)</f>
        <v>2259000000.0199995</v>
      </c>
      <c r="CE14" s="911">
        <f ca="1">VLOOKUP($CB14,$AI$14:$AR$17,9,FALSE)</f>
        <v>7</v>
      </c>
      <c r="CF14" s="911">
        <f ca="1">VLOOKUP($CB14,$AI$14:$AR$17,7,FALSE)</f>
        <v>9</v>
      </c>
      <c r="CH14" s="911">
        <f t="array" aca="1" ref="CH14" ca="1">IF($CI$14=$CL$13,$EC$13:$EC$16,IF($CI$14=$CM$13,$ED$13:$ED$15,IF(OR($CI$14=$CN$13,$CI$14=$CO$13),$EE$13:$EE$14,$EI$13)))</f>
        <v>1</v>
      </c>
      <c r="CI14" s="909" t="str">
        <f ca="1">IFERROR(HLOOKUP(4,CL12:DI13,2,0),CS13)</f>
        <v>COM_8</v>
      </c>
      <c r="CK14" s="909">
        <v>1</v>
      </c>
      <c r="CL14" s="909">
        <f t="array" aca="1" ref="CL14" ca="1">IF(AND($CC$14:$CC$17=$CC$14,$CD$14:$CD$17&lt;90,$AQ$14:$AQ$17=$AQ$14,$CF$14:$CF$17=$CF$14),1,0)</f>
        <v>0</v>
      </c>
      <c r="CM14" s="909">
        <f t="array" aca="1" ref="CM14" ca="1">IF(AND($CC$14:$CC$16=$CC$14,$CD$14:$CD$16&lt;90,$CC$14&lt;&gt;$CC$17),1,0)</f>
        <v>0</v>
      </c>
      <c r="CN14" s="909">
        <f t="array" aca="1" ref="CN14" ca="1">IF(AND($CC$14:$CC$15=$CC$14,$CD$14:$CD$15&lt;90,$CC$14&lt;&gt;$CC$16),1,0)</f>
        <v>0</v>
      </c>
      <c r="CO14" s="909">
        <f t="array" aca="1" ref="CO14" ca="1">IF(AND($CC$14:$CC$15=$CC$14,$CD$14:$CD$15&lt;90,$CC$14&lt;&gt;$CC$16),1,0)</f>
        <v>0</v>
      </c>
      <c r="CP14" s="909">
        <f t="array" aca="1" ref="CP14" ca="1">IF(AND($CC$15:$CC$17=$CC$15,$CD$15:$CD$17&lt;90,$CC$14&lt;&gt;$CC$15),1,0)</f>
        <v>0</v>
      </c>
      <c r="CQ14" s="909">
        <f t="array" aca="1" ref="CQ14" ca="1">IF(AND($CC$14&lt;&gt;$CC$15,$CC$14&lt;&gt;$CC$17),1,0)</f>
        <v>1</v>
      </c>
      <c r="CR14" s="909">
        <f t="array" aca="1" ref="CR14" ca="1">IF(AND($CC$14&lt;&gt;$CC$15,$CC$14&lt;&gt;$CC$17),1,0)</f>
        <v>1</v>
      </c>
      <c r="CS14" s="909">
        <f t="array" aca="1" ref="CS14" ca="1">IF(AND($CC$14&lt;&gt;$CC$15,$CC$14&lt;&gt;$CC$17),1,0)</f>
        <v>1</v>
      </c>
      <c r="CT14" s="909">
        <f t="array" aca="1" ref="CT14" ca="1">IF(AND($CC$14:$CC$17=$CC$14,$CD$14:$CD$17&lt;90,$CE$14:$CE$15=$CE$14,$CE$14&lt;&gt;$CE$16),1,0)</f>
        <v>0</v>
      </c>
      <c r="CU14" s="909">
        <f t="array" aca="1" ref="CU14" ca="1">IF(AND($CC$14:$CC$17=$CC$14,$CD$14:$CD$17&lt;90,$CE$14:$CE$17=$CE$14,$CF$14=$CF$15,$CF$14&lt;&gt;$CF$16),1,0)</f>
        <v>0</v>
      </c>
      <c r="CV14" s="909">
        <f t="array" aca="1" ref="CV14" ca="1">IF(AND($CC$14:$CC$16=$CC$14,$CD$14:$CD$15&lt;90,$CD$16&gt;90),1,0)</f>
        <v>0</v>
      </c>
      <c r="CW14" s="909">
        <f t="array" aca="1" ref="CW14" ca="1">IF(AND($CC$14&lt;&gt;$CC$15,$CC$14&lt;&gt;$CC$16),1,0)</f>
        <v>1</v>
      </c>
      <c r="CX14" s="909">
        <f t="array" aca="1" ref="CX14" ca="1">IF(AND($CC$14&lt;&gt;$CC$15,$CC$14&lt;&gt;$CC$16),1,0)</f>
        <v>1</v>
      </c>
      <c r="CY14" s="909">
        <f t="array" aca="1" ref="CY14" ca="1">IF(AND($CC$14&lt;&gt;$CC$17,$CC$14:$CC$16=$CC$14,$CD$14&gt;90,$CD$15:$CD$16&lt;90),1,0)</f>
        <v>0</v>
      </c>
      <c r="CZ14" s="909">
        <f t="array" aca="1" ref="CZ14" ca="1">IF(AND($CC$14:$CC$17=$CC$14,$CD$15:$CD$17&lt;90,$CD$14&lt;&gt;$CD$15),1,0)</f>
        <v>0</v>
      </c>
      <c r="DA14" s="909">
        <f t="array" aca="1" ref="DA14" ca="1">IF(AND($CC$14:$CC$17=$CC$14,$CD$14:$CD$16&lt;90,$CD$14&lt;&gt;$CD$17),1,0)</f>
        <v>0</v>
      </c>
      <c r="DB14" s="909">
        <f t="array" aca="1" ref="DB14" ca="1">IF(AND($CC$14:$CC$17=$CC$14,$CD$14:$CD$15&gt;90,$CD$16:$CD$17&lt;90,$CE$14:$CE$17=$CE$14,$CF$14&gt;$CF$15,$CF$14&gt;$CF$16,$CF$14&gt;$CF$17),1,0)</f>
        <v>0</v>
      </c>
      <c r="DC14" s="909">
        <f t="array" aca="1" ref="DC14" ca="1">IF(AND($CC$14:$CC$17=$CC$14,$CD$14&gt;90,$CD$15:$CD$16&lt;90,$CD$17&gt;90,$CE$14:$CE$17=$CE$14,$CF$14&gt;$CF$15,$CF$14&gt;$CF$16,$CF$14&gt;$CF$17),1,0)</f>
        <v>0</v>
      </c>
      <c r="DD14" s="909">
        <f t="array" aca="1" ref="DD14" ca="1">IF(AND($CC$14:$CC$17=$CC$14,$CD$14:$CD$15&lt;90,$CD$16:$CD$17&gt;90,$CE$14:$CE$17=$CE$14,$CF$14=$CF$15,$CF$14&gt;$CF$16,$CF$14&gt;$CF$17),1,0)</f>
        <v>0</v>
      </c>
      <c r="DE14" s="909">
        <f t="array" aca="1" ref="DE14" ca="1">IF(AND($CC$14:$CC$17=$CC$14,$CD$14:$CD$15&gt;90,$CD$16:$CD$17&lt;90,$CE$14:$CE$17=$CE$14,$CF$14&gt;$CF$15,$CF$15:$CF$17=$CF$15),1,0)</f>
        <v>0</v>
      </c>
      <c r="DF14" s="909">
        <f t="array" aca="1" ref="DF14" ca="1">IF(AND($CC$14:$CC$17=$CC$14,$CD$14:$CD$15&lt;90,$CD$16:$CD$17&gt;90,$CE$14:$CE$17=$CE$14,$CF$14:$CF$16=$CF$14,$CF$14&gt;$CF$17),1,0)</f>
        <v>0</v>
      </c>
      <c r="DG14" s="909">
        <f t="array" aca="1" ref="DG14" ca="1">IF(AND($CC$14:$CC$17=$CC$14,$CD$14&gt;90,$CD$17&gt;90,$CD$15:$CD$16&lt;90,$CE$14:$CE$17=$CE$14,$CF$14&gt;$CF$15:$CF$17),1,0)</f>
        <v>0</v>
      </c>
      <c r="EC14" s="911">
        <v>2</v>
      </c>
      <c r="ED14" s="911">
        <v>2</v>
      </c>
      <c r="EE14" s="911">
        <v>2</v>
      </c>
      <c r="EF14" s="911">
        <v>3</v>
      </c>
      <c r="EG14" s="911">
        <v>4</v>
      </c>
      <c r="EH14" s="911">
        <v>3</v>
      </c>
      <c r="EI14" s="911"/>
      <c r="EJ14" s="911"/>
      <c r="EK14" s="911"/>
      <c r="EL14" s="911"/>
      <c r="FI14" s="917"/>
      <c r="FK14" s="917"/>
      <c r="FM14" s="917"/>
      <c r="HJU14" s="909" t="s">
        <v>18</v>
      </c>
    </row>
    <row r="15" spans="1:169 5689:5689 8944:8944 13447:13447">
      <c r="A15" s="871" t="str">
        <f t="array" aca="1" ref="A15" ca="1">IF(ROWS(A$13:A15)&lt;=$C$12,INDEX(INDIRECT(A$12),SMALL(IF(Nivell=$B$12,ROW(Nivell)-ROW(Equipos!$C$2)+1),ROWS(B$12:B14))),"")</f>
        <v>Estados unidos</v>
      </c>
      <c r="B15" s="872"/>
      <c r="C15" s="857"/>
      <c r="D15" s="152"/>
      <c r="E15" s="1023"/>
      <c r="F15" s="16">
        <f>Horarios!C15</f>
        <v>44890.916666666664</v>
      </c>
      <c r="G15" s="17">
        <f>Horarios!C15</f>
        <v>44890.916666666664</v>
      </c>
      <c r="H15" s="16" t="s">
        <v>70</v>
      </c>
      <c r="I15" s="18" t="str">
        <f ca="1">A13</f>
        <v>Inglaterra</v>
      </c>
      <c r="J15" s="19" t="str">
        <f ca="1">VLOOKUP(I15,Equipos!$H$2:$I$33,2,0)</f>
        <v>🏴󠁧󠁢󠁥󠁮󠁧󠁿</v>
      </c>
      <c r="K15" s="20">
        <v>0</v>
      </c>
      <c r="L15" s="20">
        <v>0</v>
      </c>
      <c r="M15" s="26" t="str">
        <f ca="1">VLOOKUP(N15,Equipos!$H$2:$I$33,2,0)</f>
        <v>🇺🇸</v>
      </c>
      <c r="N15" s="45" t="str">
        <f ca="1">A15</f>
        <v>Estados unidos</v>
      </c>
      <c r="O15" s="347">
        <f t="shared" si="7"/>
        <v>1</v>
      </c>
      <c r="P15" s="82"/>
      <c r="Q15" s="126">
        <v>2</v>
      </c>
      <c r="R15" s="5" t="str">
        <f ca="1">VLOOKUP(Q15,$AG$14:$AI$17,3,0)</f>
        <v>Estados unidos</v>
      </c>
      <c r="S15" s="4">
        <f ca="1">VLOOKUP(R15,$AI$14:$AR$17,2,FALSE)</f>
        <v>5</v>
      </c>
      <c r="T15" s="4">
        <f ca="1">VLOOKUP($R15,$AI$14:$AR$17,3,FALSE)</f>
        <v>3</v>
      </c>
      <c r="U15" s="4">
        <f ca="1">VLOOKUP($R15,$AI$14:$AR$17,4,FALSE)</f>
        <v>1</v>
      </c>
      <c r="V15" s="4">
        <f ca="1">VLOOKUP($R15,$AI$14:$AR$17,5,FALSE)</f>
        <v>2</v>
      </c>
      <c r="W15" s="4">
        <f ca="1">VLOOKUP($R15,$AI$14:$AR$17,6,FALSE)</f>
        <v>0</v>
      </c>
      <c r="X15" s="4">
        <f ca="1">VLOOKUP($R15,$AI$14:$AR$17,7,FALSE)</f>
        <v>2</v>
      </c>
      <c r="Y15" s="4">
        <f ca="1">VLOOKUP($R15,$AI$14:$AR$17,8,FALSE)</f>
        <v>1</v>
      </c>
      <c r="Z15" s="127">
        <f ca="1">VLOOKUP($R15,$AI$14:$AR$17,9,FALSE)</f>
        <v>1</v>
      </c>
      <c r="AA15" s="357">
        <f ca="1">IF(SUM($AK$14:$AK$17)=12,MIN(ABS(BY14-BY15),ABS(BY15-BY16)),100)</f>
        <v>2239999999.9900002</v>
      </c>
      <c r="AB15" s="94" t="str">
        <f ca="1">IF(AND(AA15&gt;=0,AA15&lt;90),VLOOKUP(Q15,$BU$14:$BV$17,2,0),"")</f>
        <v/>
      </c>
      <c r="AC15" s="73"/>
      <c r="AD15" s="74"/>
      <c r="AE15" s="328"/>
      <c r="AF15" s="910">
        <f ca="1">VLOOKUP($R15,$AI$14:$AR$17,10,FALSE)</f>
        <v>5562210499.9300003</v>
      </c>
      <c r="AG15" s="909">
        <f ca="1">RANK(AU15,$AU$14:$AU$17)</f>
        <v>3</v>
      </c>
      <c r="AH15" s="909">
        <f ca="1">RANK(AR15,$AR$14:$AR$17)</f>
        <v>3</v>
      </c>
      <c r="AI15" s="911" t="str">
        <f ca="1">A14</f>
        <v>Irán</v>
      </c>
      <c r="AJ15" s="909">
        <f ca="1">AL15*3+AM15*1+AN15*0</f>
        <v>3</v>
      </c>
      <c r="AK15" s="909">
        <f ca="1">COUNTIFS($I$4:$I$65,AI15,$K$4:$K$65,"&lt;&gt;",$L$4:$L$65,"&lt;&gt;")+COUNTIFS($N$4:$N$65,AI15,$L$4:$L$65,"&lt;&gt;",$K$4:$K$65,"&lt;&gt;")</f>
        <v>3</v>
      </c>
      <c r="AL15" s="909">
        <f t="array" aca="1" ref="AL15" ca="1">SUM(($I$4:$I$65=AI15)*($K$4:$K$65&lt;&gt;"")*($L$4:$L$65&lt;&gt;"")*($K$4:$K$65&gt;$L$4:$L$65),($N$4:$N$65=AI15)*($K$4:$K$65&lt;&gt;"")*($L$4:$L$65&lt;&gt;"")*($K$4:$K$65&lt;$L$4:$L$65))</f>
        <v>1</v>
      </c>
      <c r="AM15" s="909">
        <f t="array" aca="1" ref="AM15" ca="1">SUM(($I$4:$I$65=AI15)*($K$4:$K$65&lt;&gt;"")*($L$4:$L$65&lt;&gt;"")*($K$4:$K$65=$L$4:$L$65),($N$4:$N$65=AI15)*($K$4:$K$65&lt;&gt;"")*($L$4:$L$65&lt;&gt;"")*($K$4:$K$65=$L$4:$L$65))</f>
        <v>0</v>
      </c>
      <c r="AN15" s="909">
        <f t="array" aca="1" ref="AN15" ca="1">SUM(($I$4:$I$65=AI15)*($L$4:$L$65&lt;&gt;"")*($K$4:$K$65&lt;&gt;"")*($K$4:$K$65&lt;$L$4:$L$65),($K$4:$K$65&lt;&gt;"")*($N$4:$N$65=AI15)*($L$4:$L$65&lt;&gt;"")*($K$4:$K$65&gt;$L$4:$L$65))</f>
        <v>2</v>
      </c>
      <c r="AO15" s="909">
        <f t="array" aca="1" ref="AO15" ca="1">SUMIFS($K$4:$K$65,$I$4:$I$65,AI15,$K$4:$K$65,"&lt;&gt;",$L$4:$L$65,"&lt;&gt;")+SUMIFS($L$4:$L$65,$N$4:$N$65,AI15,$K$4:$K$65,"&lt;&gt;",$L$4:$L$65,"&lt;&gt;")</f>
        <v>4</v>
      </c>
      <c r="AP15" s="909">
        <f t="array" aca="1" ref="AP15" ca="1">SUMIFS($K$4:$K$65,$N$4:$N$65,AI15,$K$4:$K$65,"&lt;&gt;",$L$4:$L$65,"&lt;&gt;")+SUMIFS($L$4:$L$65,$I$4:$I$65,AI15,$K$4:$K$65,"&lt;&gt;",$L$4:$L$65,"&lt;&gt;")</f>
        <v>7</v>
      </c>
      <c r="AQ15" s="909">
        <f ca="1">AO15-AP15</f>
        <v>-3</v>
      </c>
      <c r="AR15" s="909">
        <f ca="1">IF(AK15=0,-($AW$11*VLOOKUP(AI15,Tabla3[[NombreEquipo]:[Rank]],3,FALSE)),AJ15*$AW$4+AQ15*$AW$5+AO15*$AW$6+BA15-($AW$11*VLOOKUP(AI15,Tabla3[[NombreEquipo]:[Rank]],3,FALSE)/100))</f>
        <v>3322210499.9400001</v>
      </c>
      <c r="AS15" s="909">
        <f ca="1">AH15</f>
        <v>3</v>
      </c>
      <c r="AT15" s="909"/>
      <c r="AU15" s="909">
        <f ca="1">IFERROR(AR15-VLOOKUP(AI15,$AB$14:$AC$17,2,0),AR15)</f>
        <v>3322210499.9400001</v>
      </c>
      <c r="AV15" s="909"/>
      <c r="AW15" s="912"/>
      <c r="AX15" s="909"/>
      <c r="AY15" s="916" t="str">
        <f ca="1">AI15</f>
        <v>Irán</v>
      </c>
      <c r="AZ15" s="909">
        <f ca="1">COUNTIF(AJ14:AJ17,AJ15)</f>
        <v>1</v>
      </c>
      <c r="BA15" s="909">
        <f t="shared" ca="1" si="8"/>
        <v>210500</v>
      </c>
      <c r="BB15" s="917">
        <f ca="1">RANK(BC15,BC14:BC17,1)</f>
        <v>1</v>
      </c>
      <c r="BC15" s="917">
        <f ca="1">SUM(IF(AND(AJ15=AJ16,AQ15=AQ16,AO15=AO16),BF15,0),IF(AND(AJ15=AJ17,AQ15=AQ17,AO15=AO17),BG15,0),IF(AND(AJ15=AJ14,AQ15=AQ14,AO15=AO14),BD15,0))</f>
        <v>0</v>
      </c>
      <c r="BD15" s="917">
        <f t="array" aca="1" ref="BD15" ca="1">SUMIFS($K$12:$K$17,$I$12:$I$17,$AY15,$K$12:$K$17,"&lt;&gt;",$L$12:$L$17,"&lt;&gt;",$N$12:$N$17,BD13)+SUMIFS($L$12:$L$17,$I$12:$I$17,BD13,$K$12:$K$17,"&lt;&gt;",$L$12:$L$17,"&lt;&gt;",$N$12:$N$17,$AY15)</f>
        <v>2</v>
      </c>
      <c r="BE15" s="917">
        <v>0</v>
      </c>
      <c r="BF15" s="917">
        <f t="array" aca="1" ref="BF15" ca="1">SUMIFS($K$12:$K$17,$I$12:$I$17,$AY15,$K$12:$K$17,"&lt;&gt;",$L$12:$L$17,"&lt;&gt;",$N$12:$N$17,BF13)+SUMIFS($L$12:$L$17,$I$12:$I$17,BF13,$K$12:$K$17,"&lt;&gt;",$L$12:$L$17,"&lt;&gt;",$N$12:$N$17,$AY15)</f>
        <v>0</v>
      </c>
      <c r="BG15" s="917">
        <f t="array" aca="1" ref="BG15" ca="1">SUMIFS($K$12:$K$17,$I$12:$I$17,$AY15,$K$12:$K$17,"&lt;&gt;",$L$12:$L$17,"&lt;&gt;",$N$12:$N$17,BG13)+SUMIFS($L$12:$L$17,$I$12:$I$17,BG13,$K$12:$K$17,"&lt;&gt;",$L$12:$L$17,"&lt;&gt;",$N$12:$N$17,$AY15)</f>
        <v>2</v>
      </c>
      <c r="BH15" s="917">
        <f ca="1">RANK(BI15,BI14:BI17,1)</f>
        <v>1</v>
      </c>
      <c r="BI15" s="917">
        <f ca="1">SUM(IF(AND(AJ15=AJ16,AQ15=AQ16,AO15=AO16),BL15,0),IF(AND(AJ15=AJ17,AQ15=AQ17,AO15=AO17),BM15,0),IF(AND(AJ15=AJ14,AQ15=AQ14,AO15=AO14),BJ15,0))</f>
        <v>0</v>
      </c>
      <c r="BJ15" s="917">
        <f ca="1">BD15-BE14</f>
        <v>-4</v>
      </c>
      <c r="BK15" s="917">
        <v>0</v>
      </c>
      <c r="BL15" s="917">
        <f ca="1">BF15-BE16</f>
        <v>-1</v>
      </c>
      <c r="BM15" s="917">
        <f ca="1">BG15-BE17</f>
        <v>2</v>
      </c>
      <c r="BN15" s="917">
        <f ca="1">RANK(BO15,BO14:BO17,1)</f>
        <v>1</v>
      </c>
      <c r="BO15" s="917">
        <f ca="1">SUM(IF(AND(AJ15=AJ16,AQ15=AQ16,AO15=AO16),BR15,0),IF(AND(AJ15=AJ17,AQ15=AQ17,AO15=AO17),BS15,0),IF(AND(AJ15=AJ14,AQ15=AQ14,AO15=AO14),BP15,0))</f>
        <v>0</v>
      </c>
      <c r="BP15" s="917">
        <f t="array" aca="1" ref="BP15" ca="1">SUM((I$4:I$49=AY15)*(N$4:N$49=BP13)*(K$4:K$49&lt;&gt;"")*(L$4:L$49&lt;&gt;"")*(K$4:K$49&gt;L$4:L$49)*3,(N$4:N$49=AY15)*(I$4:I$49=BP13)*(K$4:K$49&lt;&gt;"")*(L$4:L$49&lt;&gt;"")*(K$4:K$49=L$4:L$49)*1,(N$4:N$49=AY15)*(I$4:I$49=BP13)*(K$4:K$49&lt;&gt;"")*(L$4:L$49&lt;&gt;"")*(K$4:K$49&lt;L$4:L$49)*3,(I$4:I$49=AY15)*(N$4:N$49=BP13)*(K$4:K$49&lt;&gt;"")*(L$4:L$49&lt;&gt;"")*(K$4:K$49=L$4:L$49)*1)</f>
        <v>0</v>
      </c>
      <c r="BQ15" s="917">
        <v>0</v>
      </c>
      <c r="BR15" s="917">
        <f t="array" aca="1" ref="BR15" ca="1">SUM((I$4:I$49=AY15)*(N$4:N$49=BR13)*(K$4:K$49&lt;&gt;"")*(L$4:L$49&lt;&gt;"")*(K$4:K$49&gt;L$4:L$49)*3,(N$4:N$49=AY15)*(I$4:I$49=BR13)*(K$4:K$49&lt;&gt;"")*(L$4:L$49&lt;&gt;"")*(K$4:K$49=L$4:L$49)*1,(N$4:N$49=AY15)*(I$4:I$49=BR13)*(K$4:K$49&lt;&gt;"")*(L$4:L$49&lt;&gt;"")*(K$4:K$49&lt;L$4:L$49)*3,(I$4:I$49=AY15)*(N$4:N$49=BR13)*(K$4:K$49&lt;&gt;"")*(L$4:L$49&lt;&gt;"")*(K$4:K$49=L$4:L$49)*1)</f>
        <v>0</v>
      </c>
      <c r="BS15" s="917">
        <f t="array" aca="1" ref="BS15" ca="1">SUM((I$4:I$49=AY15)*(N$4:N$49=BS13)*(K$4:K$49&lt;&gt;"")*(L$4:L$49&lt;&gt;"")*(K$4:K$49&gt;L$4:L$49)*3,(N$4:N$49=AY15)*(I$4:I$49=BS13)*(K$4:K$49&lt;&gt;"")*(L$4:L$49&lt;&gt;"")*(K$4:K$49=L$4:L$49)*1,(N$4:N$49=AY15)*(I$4:I$49=BS13)*(K$4:K$49&lt;&gt;"")*(L$4:L$49&lt;&gt;"")*(K$4:K$49&lt;L$4:L$49)*3,(I$4:I$49=AY15)*(N$4:N$49=BS13)*(K$4:K$49&lt;&gt;"")*(L$4:L$49&lt;&gt;"")*(K$4:K$49=L$4:L$49)*1)</f>
        <v>3</v>
      </c>
      <c r="BT15" s="911">
        <v>2</v>
      </c>
      <c r="BU15" s="911">
        <f ca="1">RANK(BW15,$BW$14:$BW$17)</f>
        <v>3</v>
      </c>
      <c r="BV15" s="911" t="str">
        <f ca="1">A14</f>
        <v>Irán</v>
      </c>
      <c r="BW15" s="911">
        <f t="shared" ca="1" si="9"/>
        <v>3322210499.9400001</v>
      </c>
      <c r="BX15" s="911" t="str">
        <f ca="1">VLOOKUP(Q15,$AH$14:$AI$17,2,0)</f>
        <v>Estados unidos</v>
      </c>
      <c r="BY15" s="911">
        <f ca="1">VLOOKUP($BX15,$AI$14:$AR$17,10,FALSE)</f>
        <v>5562210499.9300003</v>
      </c>
      <c r="CA15" s="911">
        <v>2</v>
      </c>
      <c r="CB15" s="911" t="str">
        <f ca="1">VLOOKUP(CA15,$AH$14:$AI$17,2,0)</f>
        <v>Estados unidos</v>
      </c>
      <c r="CC15" s="911">
        <f ca="1">VLOOKUP(CB15,$AI$14:$AR$17,2,FALSE)</f>
        <v>5</v>
      </c>
      <c r="CD15" s="918">
        <f ca="1">IF(SUM($AK$14:$AK$17)=12,MIN(ABS(BY14-BY15),ABS(BY15-BY16)),100)</f>
        <v>2239999999.9900002</v>
      </c>
      <c r="CE15" s="911">
        <f ca="1">VLOOKUP($CB15,$AI$14:$AR$17,9,FALSE)</f>
        <v>1</v>
      </c>
      <c r="CF15" s="911">
        <f ca="1">VLOOKUP($CB15,$AI$14:$AR$17,7,FALSE)</f>
        <v>2</v>
      </c>
      <c r="CH15" s="911">
        <f t="array" aca="1" ref="CH15" ca="1">IF($CI$14=$CL$13,$EC$13:$EC$16,IF($CI$14=$CM$13,$ED$13:$ED$15,IF(OR($CI$14=$CN$13,$CI$14=$CO$13),$EE$13:$EE$14,IF($CI$14=$CP$13,$EF$13:$EF$15,(IF($CI$14=$CQ$13,$EH$13:$EH$14,$EJ$13))))))</f>
        <v>2</v>
      </c>
      <c r="CK15" s="909">
        <v>2</v>
      </c>
      <c r="CL15" s="909">
        <f t="array" aca="1" ref="CL15" ca="1">IF(AND($CC$14:$CC$17=$CC$15,$CD$14:$CD$17&lt;90,$AQ$14:$AQ$17=$AQ$15,$CF$14:$CF$17=$CF$15),1,0)</f>
        <v>0</v>
      </c>
      <c r="CM15" s="909">
        <f t="array" aca="1" ref="CM15" ca="1">IF(AND($CC$14:$CC$16=$CC$15,$CD$14:$CD$16&lt;90,$CC$15&lt;&gt;$CC$17),1,0)</f>
        <v>0</v>
      </c>
      <c r="CN15" s="909">
        <f t="array" aca="1" ref="CN15" ca="1">IF(AND($CC$14:$CC$15=$CC$14,$CD$14:$CD$15&lt;90,$CC$14&lt;&gt;$CC$16),1,0)</f>
        <v>0</v>
      </c>
      <c r="CO15" s="909">
        <f t="array" aca="1" ref="CO15" ca="1">IF(AND($CC$14:$CC$15=$CC$14,$CD$14:$CD$15&lt;90,$CC$14&lt;&gt;$CC$16),1,0)</f>
        <v>0</v>
      </c>
      <c r="CP15" s="909">
        <f t="array" aca="1" ref="CP15" ca="1">IF(AND($CC$15:$CC$17=$CC$15,$CD$15:$CD$17&lt;90,$CC$14&lt;&gt;$CC$15),1,0)</f>
        <v>0</v>
      </c>
      <c r="CQ15" s="909">
        <f t="array" aca="1" ref="CQ15" ca="1">IF(AND($CC$15:$CC$16=$CC$15,$CD$15:$CD$16&lt;90,$CC$15&lt;&gt;$CC$14,$CC$15&lt;&gt;$CC$17),1,0)</f>
        <v>0</v>
      </c>
      <c r="CR15" s="909">
        <f t="array" aca="1" ref="CR15" ca="1">IF(AND($CC$15&lt;&gt;$CC$14,$CC$15&lt;&gt;$CC$16),1,0)</f>
        <v>1</v>
      </c>
      <c r="CS15" s="909">
        <f t="array" aca="1" ref="CS15" ca="1">IF(AND($CC$15&lt;&gt;$CC$14,$CC$15&lt;&gt;$CC$16),1,0)</f>
        <v>1</v>
      </c>
      <c r="CT15" s="909">
        <f t="array" aca="1" ref="CT15" ca="1">IF(AND($CC$14:$CC$17=$CC$14,$CD$14:$CD$17&lt;90,$CE$14:$CE$15=$CE$14,$CE$15&lt;&gt;$CE$16),1,0)</f>
        <v>0</v>
      </c>
      <c r="CU15" s="909">
        <f t="array" aca="1" ref="CU15" ca="1">IF(AND($CC$14:$CC$17=$CC$14,$CD$14:$CD$17&lt;90,$CE$14:$CE$17=$CE$14,$CF$14=$CF$15,$CF$15&lt;&gt;$CF$16),1,0)</f>
        <v>0</v>
      </c>
      <c r="CV15" s="909">
        <f t="array" aca="1" ref="CV15" ca="1">IF(AND($CC$14:$CC$16=$CC$15,$CD$14:$CD$15&lt;90,$CD$16&gt;90),1,0)</f>
        <v>0</v>
      </c>
      <c r="CW15" s="909">
        <f t="array" aca="1" ref="CW15" ca="1">IF(AND($CC$15&lt;&gt;$CC$14,$CC$15:$CC$17=$CC$15,$CD$15&gt;90,$CD$16:$CD$17&lt;90),1,0)</f>
        <v>0</v>
      </c>
      <c r="CX15" s="909">
        <f t="array" aca="1" ref="CX15" ca="1">IF(AND($CC$15&lt;&gt;$CC$14,$CC$15:$CC$17=$CC$15,$CD$17&gt;90,$CD$15:$CD$16&lt;90),1,0)</f>
        <v>0</v>
      </c>
      <c r="CY15" s="909">
        <f t="array" aca="1" ref="CY15" ca="1">IF(AND($CC$15&lt;&gt;$CC$17,$CC$14:$CC$16=$CC$15,$CD$14&gt;90,$CD$15:$CD$16&lt;90),1,0)</f>
        <v>0</v>
      </c>
      <c r="CZ15" s="909">
        <f t="array" aca="1" ref="CZ15" ca="1">IF(AND($CC$14:$CC$17=$CC$15,$CD$15:$CD$17&lt;90,$CD$14&lt;&gt;$CD$15),1,0)</f>
        <v>0</v>
      </c>
      <c r="DA15" s="909">
        <f t="array" aca="1" ref="DA15" ca="1">IF(AND($CC$14:$CC$17=$CC$15,$CD$14:$CD$16&lt;90,$CD$15&lt;&gt;$CD$17),1,0)</f>
        <v>0</v>
      </c>
      <c r="DB15" s="909">
        <f t="array" aca="1" ref="DB15" ca="1">IF(AND($CC$14:$CC$17=$CC$15,$CD$14:$CD$15&gt;90,$CD$16:$CD$17&lt;90,$CE$14:$CE$17=$CE$15,$CF$14&gt;$CF$15,$CF$15&gt;$CF$16,$CF$15&gt;$CF$17),1,0)</f>
        <v>0</v>
      </c>
      <c r="DC15" s="909">
        <f t="array" aca="1" ref="DC15" ca="1">IF(AND($CC$14:$CC$17=$CC$15,$CD$14&gt;90,$CD$15:$CD$16&lt;90,$CD$17&gt;90,$CE$14:$CE$17=$CE$15,$CF$14&gt;$CF$15,$CF$15=$CF$16,$CF$15&gt;$CF$17),1,0)</f>
        <v>0</v>
      </c>
      <c r="DD15" s="909">
        <f t="array" aca="1" ref="DD15" ca="1">IF(AND($CC$14:$CC$17=$CC$15,$CD$14:$CD$15&lt;90,$CD$16:$CD$17&gt;90,$CE$14:$CE$17=$CE$15,$CF$14=$CF$15,$CF$15&gt;$CF$16,$CF$15&gt;$CF$17),1,0)</f>
        <v>0</v>
      </c>
      <c r="DE15" s="909">
        <f t="array" aca="1" ref="DE15" ca="1">IF(AND($CC$14:$CC$17=$CC$15,$CD$14:$CD$15&gt;90,$CD$16:$CD$17&lt;90,$CE$14:$CE$17=$CE$15,$CF$14&gt;$CF$15,$CF$15:$CF$17=$CF$15),1,0)</f>
        <v>0</v>
      </c>
      <c r="DF15" s="909">
        <f t="array" aca="1" ref="DF15" ca="1">IF(AND($CC$14:$CC$17=$CC$15,$CD$14:$CD$15&lt;90,$CD$16:$CD$17&gt;90,$CE$14:$CE$17=$CE$15,$CF$14:$CF$16=$CF$15,$CF$15&gt;$CF$17),1,0)</f>
        <v>0</v>
      </c>
      <c r="DG15" s="909">
        <f t="array" aca="1" ref="DG15" ca="1">IF(AND($CC$14:$CC$17=$CC$15,$CD$14&gt;90,$CD$17&gt;90,$CD$15:$CD$16&lt;90,$CE$14:$CE$17=$CE$15,$CF$14&gt;$CF$15:$CF$17,$CF$15:$CF$17=$CF$15),1,0)</f>
        <v>0</v>
      </c>
      <c r="EC15" s="911">
        <v>3</v>
      </c>
      <c r="ED15" s="911">
        <v>3</v>
      </c>
      <c r="EE15" s="911"/>
      <c r="EF15" s="911">
        <v>4</v>
      </c>
      <c r="EG15" s="911"/>
      <c r="EH15" s="911"/>
      <c r="EI15" s="911"/>
      <c r="EJ15" s="911"/>
      <c r="EK15" s="911"/>
      <c r="EL15" s="911"/>
      <c r="FI15" s="917"/>
      <c r="FK15" s="917"/>
      <c r="FM15" s="917"/>
    </row>
    <row r="16" spans="1:169 5689:5689 8944:8944 13447:13447">
      <c r="A16" s="871" t="str">
        <f t="array" aca="1" ref="A16" ca="1">IF(ROWS(A$13:A16)&lt;=$C$12,INDEX(INDIRECT(A$12),SMALL(IF(Nivell=$B$12,ROW(Nivell)-ROW(Equipos!$C$2)+1),ROWS(B$12:B15))),"")</f>
        <v>Gales</v>
      </c>
      <c r="B16" s="872"/>
      <c r="C16" s="857"/>
      <c r="D16" s="152"/>
      <c r="E16" s="1023"/>
      <c r="F16" s="16">
        <f>Horarios!C16</f>
        <v>44894.916666666664</v>
      </c>
      <c r="G16" s="17">
        <f>Horarios!C16</f>
        <v>44894.916666666664</v>
      </c>
      <c r="H16" s="16" t="s">
        <v>71</v>
      </c>
      <c r="I16" s="18" t="str">
        <f ca="1">A16</f>
        <v>Gales</v>
      </c>
      <c r="J16" s="19" t="str">
        <f ca="1">VLOOKUP(I16,Equipos!$H$2:$I$33,2,0)</f>
        <v>🏴󠁧󠁢󠁷󠁬󠁳󠁿</v>
      </c>
      <c r="K16" s="20">
        <v>0</v>
      </c>
      <c r="L16" s="20">
        <v>3</v>
      </c>
      <c r="M16" s="26" t="str">
        <f ca="1">VLOOKUP(N16,Equipos!$H$2:$I$33,2,0)</f>
        <v>🏴󠁧󠁢󠁥󠁮󠁧󠁿</v>
      </c>
      <c r="N16" s="45" t="str">
        <f ca="1">A13</f>
        <v>Inglaterra</v>
      </c>
      <c r="O16" s="347">
        <f t="shared" si="7"/>
        <v>1</v>
      </c>
      <c r="P16" s="82"/>
      <c r="Q16" s="126">
        <v>3</v>
      </c>
      <c r="R16" s="5" t="str">
        <f ca="1">VLOOKUP(Q16,$AG$14:$AI$17,3,0)</f>
        <v>Irán</v>
      </c>
      <c r="S16" s="4">
        <f ca="1">VLOOKUP(R16,$AI$14:$AR$17,2,FALSE)</f>
        <v>3</v>
      </c>
      <c r="T16" s="4">
        <f ca="1">VLOOKUP($R16,$AI$14:$AR$17,3,FALSE)</f>
        <v>3</v>
      </c>
      <c r="U16" s="4">
        <f ca="1">VLOOKUP($R16,$AI$14:$AR$17,4,FALSE)</f>
        <v>1</v>
      </c>
      <c r="V16" s="4">
        <f ca="1">VLOOKUP($R16,$AI$14:$AR$17,5,FALSE)</f>
        <v>0</v>
      </c>
      <c r="W16" s="4">
        <f ca="1">VLOOKUP($R16,$AI$14:$AR$17,6,FALSE)</f>
        <v>2</v>
      </c>
      <c r="X16" s="4">
        <f ca="1">VLOOKUP($R16,$AI$14:$AR$17,7,FALSE)</f>
        <v>4</v>
      </c>
      <c r="Y16" s="4">
        <f ca="1">VLOOKUP($R16,$AI$14:$AR$17,8,FALSE)</f>
        <v>7</v>
      </c>
      <c r="Z16" s="127">
        <f ca="1">VLOOKUP($R16,$AI$14:$AR$17,9,FALSE)</f>
        <v>-3</v>
      </c>
      <c r="AA16" s="357">
        <f ca="1">IF(SUM($AK$14:$AK$17)=12,MIN(ABS(BY15-BY16),ABS(BY16-BY17)),100)</f>
        <v>2235000000.02</v>
      </c>
      <c r="AB16" s="94" t="str">
        <f ca="1">IF(AND(AA16&gt;=0,AA16&lt;90),VLOOKUP(Q16,$BU$14:$BV$17,2,0),"")</f>
        <v/>
      </c>
      <c r="AC16" s="73"/>
      <c r="AD16" s="74"/>
      <c r="AE16" s="328"/>
      <c r="AF16" s="910">
        <f ca="1">VLOOKUP($R16,$AI$14:$AR$17,10,FALSE)</f>
        <v>3322210499.9400001</v>
      </c>
      <c r="AG16" s="909">
        <f ca="1">RANK(AU16,$AU$14:$AU$17)</f>
        <v>2</v>
      </c>
      <c r="AH16" s="909">
        <f ca="1">RANK(AR16,$AR$14:$AR$17)</f>
        <v>2</v>
      </c>
      <c r="AI16" s="911" t="str">
        <f ca="1">A15</f>
        <v>Estados unidos</v>
      </c>
      <c r="AJ16" s="909">
        <f ca="1">AL16*3+AM16*1+AN16*0</f>
        <v>5</v>
      </c>
      <c r="AK16" s="909">
        <f ca="1">COUNTIFS($I$4:$I$65,AI16,$K$4:$K$65,"&lt;&gt;",$L$4:$L$65,"&lt;&gt;")+COUNTIFS($N$4:$N$65,AI16,$L$4:$L$65,"&lt;&gt;",$K$4:$K$65,"&lt;&gt;")</f>
        <v>3</v>
      </c>
      <c r="AL16" s="909">
        <f t="array" aca="1" ref="AL16" ca="1">SUM(($I$4:$I$65=AI16)*($K$4:$K$65&lt;&gt;"")*($L$4:$L$65&lt;&gt;"")*($K$4:$K$65&gt;$L$4:$L$65),($N$4:$N$65=AI16)*($K$4:$K$65&lt;&gt;"")*($L$4:$L$65&lt;&gt;"")*($K$4:$K$65&lt;$L$4:$L$65))</f>
        <v>1</v>
      </c>
      <c r="AM16" s="909">
        <f t="array" aca="1" ref="AM16" ca="1">SUM(($I$4:$I$65=AI16)*($K$4:$K$65&lt;&gt;"")*($L$4:$L$65&lt;&gt;"")*($K$4:$K$65=$L$4:$L$65),($N$4:$N$65=AI16)*($K$4:$K$65&lt;&gt;"")*($L$4:$L$65&lt;&gt;"")*($K$4:$K$65=$L$4:$L$65))</f>
        <v>2</v>
      </c>
      <c r="AN16" s="909">
        <f t="array" aca="1" ref="AN16" ca="1">SUM(($I$4:$I$65=AI16)*($L$4:$L$65&lt;&gt;"")*($K$4:$K$65&lt;&gt;"")*($K$4:$K$65&lt;$L$4:$L$65),($K$4:$K$65&lt;&gt;"")*($N$4:$N$65=AI16)*($L$4:$L$65&lt;&gt;"")*($K$4:$K$65&gt;$L$4:$L$65))</f>
        <v>0</v>
      </c>
      <c r="AO16" s="909">
        <f t="array" aca="1" ref="AO16" ca="1">SUMIFS($K$4:$K$65,$I$4:$I$65,AI16,$K$4:$K$65,"&lt;&gt;",$L$4:$L$65,"&lt;&gt;")+SUMIFS($L$4:$L$65,$N$4:$N$65,AI16,$K$4:$K$65,"&lt;&gt;",$L$4:$L$65,"&lt;&gt;")</f>
        <v>2</v>
      </c>
      <c r="AP16" s="909">
        <f t="array" aca="1" ref="AP16" ca="1">SUMIFS($K$4:$K$65,$N$4:$N$65,AI16,$K$4:$K$65,"&lt;&gt;",$L$4:$L$65,"&lt;&gt;")+SUMIFS($L$4:$L$65,$I$4:$I$65,AI16,$K$4:$K$65,"&lt;&gt;",$L$4:$L$65,"&lt;&gt;")</f>
        <v>1</v>
      </c>
      <c r="AQ16" s="909">
        <f ca="1">AO16-AP16</f>
        <v>1</v>
      </c>
      <c r="AR16" s="909">
        <f ca="1">IF(AK16=0,-($AW$11*VLOOKUP(AI16,Tabla3[[NombreEquipo]:[Rank]],3,FALSE)),AJ16*$AW$4+AQ16*$AW$5+AO16*$AW$6+BA16-($AW$11*VLOOKUP(AI16,Tabla3[[NombreEquipo]:[Rank]],3,FALSE)/100))</f>
        <v>5562210499.9300003</v>
      </c>
      <c r="AS16" s="909">
        <f ca="1">AH16</f>
        <v>2</v>
      </c>
      <c r="AT16" s="909"/>
      <c r="AU16" s="909">
        <f ca="1">IFERROR(AR16-VLOOKUP(AI16,$AB$14:$AC$17,2,0),AR16)</f>
        <v>5562210499.9300003</v>
      </c>
      <c r="AV16" s="909"/>
      <c r="AW16" s="912"/>
      <c r="AX16" s="909"/>
      <c r="AY16" s="916" t="str">
        <f ca="1">AI16</f>
        <v>Estados unidos</v>
      </c>
      <c r="AZ16" s="909">
        <f ca="1">COUNTIF(AJ14:AJ17,AJ16)</f>
        <v>1</v>
      </c>
      <c r="BA16" s="909">
        <f t="shared" ca="1" si="8"/>
        <v>210500</v>
      </c>
      <c r="BB16" s="917">
        <f ca="1">RANK(BC16,BC14:BC17,1)</f>
        <v>1</v>
      </c>
      <c r="BC16" s="917">
        <f ca="1">SUM(IF(AND(AJ16=AJ17,AQ16=AQ17,AO16=AO17),BG16,0),IF(AND(AJ16=AJ14,AQ16=AQ14,AO16=AO14),BD16,0),IF(AND(AJ16=AJ15,AQ16=AQ15,AO16=AO15),BE16,0))</f>
        <v>0</v>
      </c>
      <c r="BD16" s="917">
        <f t="array" aca="1" ref="BD16" ca="1">SUMIFS($K$12:$K$17,$I$12:$I$17,$AY16,$K$12:$K$17,"&lt;&gt;",$L$12:$L$17,"&lt;&gt;",$N$12:$N$17,BD13)+SUMIFS($L$12:$L$17,$I$12:$I$17,BD13,$K$12:$K$17,"&lt;&gt;",$L$12:$L$17,"&lt;&gt;",$N$12:$N$17,$AY16)</f>
        <v>0</v>
      </c>
      <c r="BE16" s="917">
        <f t="array" aca="1" ref="BE16" ca="1">SUMIFS($K$12:$K$17,$I$12:$I$17,$AY16,$K$12:$K$17,"&lt;&gt;",$L$12:$L$17,"&lt;&gt;",$N$12:$N$17,BE13)+SUMIFS($L$12:$L$17,$I$12:$I$17,BE13,$K$12:$K$17,"&lt;&gt;",$L$12:$L$17,"&lt;&gt;",$N$12:$N$17,$AY16)</f>
        <v>1</v>
      </c>
      <c r="BF16" s="917">
        <v>0</v>
      </c>
      <c r="BG16" s="917">
        <f t="array" aca="1" ref="BG16" ca="1">SUMIFS($K$12:$K$17,$I$12:$I$17,$AY16,$K$12:$K$17,"&lt;&gt;",$L$12:$L$17,"&lt;&gt;",$N$12:$N$17,BG13)+SUMIFS($L$12:$L$17,$I$12:$I$17,BG13,$K$12:$K$17,"&lt;&gt;",$L$12:$L$17,"&lt;&gt;",$N$12:$N$17,$AY16)</f>
        <v>1</v>
      </c>
      <c r="BH16" s="917">
        <f ca="1">RANK(BI16,BI14:BI17,1)</f>
        <v>1</v>
      </c>
      <c r="BI16" s="917">
        <f ca="1">SUM(IF(AND(AJ16=AJ17,AQ16=AQ17,AO16=AO17),BM16,0),IF(AND(AJ16=AJ14,AQ16=AQ14,AO16=AO14),BJ16,0),IF(AND(AJ16=AJ15,AQ16=AQ15,AO16=AO15),BK16,0))</f>
        <v>0</v>
      </c>
      <c r="BJ16" s="917">
        <f ca="1">BD16-BF14</f>
        <v>0</v>
      </c>
      <c r="BK16" s="917">
        <f ca="1">BE16-BF15</f>
        <v>1</v>
      </c>
      <c r="BL16" s="917">
        <v>0</v>
      </c>
      <c r="BM16" s="917">
        <f ca="1">BG16-BF17</f>
        <v>0</v>
      </c>
      <c r="BN16" s="917">
        <f ca="1">RANK(BO16,BO14:BO17,1)</f>
        <v>1</v>
      </c>
      <c r="BO16" s="917">
        <f ca="1">SUM(IF(AND(AJ16=AJ17,AQ16=AQ17,AO16=AO17),BS16,0),IF(AND(AJ16=AJ14,AQ16=AQ14,AO16=AO14),BP16,0),IF(AND(AJ16=AJ15,AQ16=AQ15,AO16=AO15),BQ16,0))</f>
        <v>0</v>
      </c>
      <c r="BP16" s="917">
        <f t="array" aca="1" ref="BP16" ca="1">SUM((I$4:I$49=AY16)*(N$4:N$49=BP13)*(K$4:K$49&lt;&gt;"")*(L$4:L$49&lt;&gt;"")*(K$4:K$49&gt;L$4:L$49)*3,(N$4:N$49=AY16)*(I$4:I$49=BP13)*(K$4:K$49&lt;&gt;"")*(L$4:L$49&lt;&gt;"")*(K$4:K$49=L$4:L$49)*1,(N$4:N$49=AY16)*(I$4:I$49=BP13)*(K$4:K$49&lt;&gt;"")*(L$4:L$49&lt;&gt;"")*(K$4:K$49&lt;L$4:L$49)*3,(I$4:I$49=AY16)*(N$4:N$49=BP13)*(K$4:K$49&lt;&gt;"")*(L$4:L$49&lt;&gt;"")*(K$4:K$49=L$4:L$49)*1)</f>
        <v>1</v>
      </c>
      <c r="BQ16" s="917">
        <f t="array" aca="1" ref="BQ16" ca="1">SUM((I$4:I$49=AY16)*(N$4:N$49=BQ13)*(K$4:K$49&lt;&gt;"")*(L$4:L$49&lt;&gt;"")*(K$4:K$49&gt;L$4:L$49)*3,(N$4:N$49=AY16)*(I$4:I$49=BQ13)*(K$4:K$49&lt;&gt;"")*(L$4:L$49&lt;&gt;"")*(K$4:K$49=L$4:L$49)*1,(N$4:N$49=AY16)*(I$4:I$49=BQ13)*(K$4:K$49&lt;&gt;"")*(L$4:L$49&lt;&gt;"")*(K$4:K$49&lt;L$4:L$49)*3,(I$4:I$49=AY16)*(N$4:N$49=BQ13)*(K$4:K$49&lt;&gt;"")*(L$4:L$49&lt;&gt;"")*(K$4:K$49=L$4:L$49)*1)</f>
        <v>3</v>
      </c>
      <c r="BR16" s="917">
        <v>0</v>
      </c>
      <c r="BS16" s="917">
        <f t="array" aca="1" ref="BS16" ca="1">SUM((I$4:I$49=AY16)*(N$4:N$49=BS13)*(K$4:K$49&lt;&gt;"")*(L$4:L$49&lt;&gt;"")*(K$4:K$49&gt;L$4:L$49)*3,(N$4:N$49=AY16)*(I$4:I$49=BS13)*(K$4:K$49&lt;&gt;"")*(L$4:L$49&lt;&gt;"")*(K$4:K$49=L$4:L$49)*1,(N$4:N$49=AY16)*(I$4:I$49=BS13)*(K$4:K$49&lt;&gt;"")*(L$4:L$49&lt;&gt;"")*(K$4:K$49&lt;L$4:L$49)*3,(I$4:I$49=AY16)*(N$4:N$49=BS13)*(K$4:K$49&lt;&gt;"")*(L$4:L$49&lt;&gt;"")*(K$4:K$49=L$4:L$49)*1)</f>
        <v>1</v>
      </c>
      <c r="BT16" s="911">
        <v>3</v>
      </c>
      <c r="BU16" s="911">
        <f ca="1">RANK(BW16,$BW$14:$BW$17)</f>
        <v>2</v>
      </c>
      <c r="BV16" s="911" t="str">
        <f ca="1">A15</f>
        <v>Estados unidos</v>
      </c>
      <c r="BW16" s="911">
        <f t="shared" ca="1" si="9"/>
        <v>5562210499.9300003</v>
      </c>
      <c r="BX16" s="911" t="str">
        <f ca="1">VLOOKUP(Q16,$AH$14:$AI$17,2,0)</f>
        <v>Irán</v>
      </c>
      <c r="BY16" s="911">
        <f ca="1">VLOOKUP($BX16,$AI$14:$AR$17,10,FALSE)</f>
        <v>3322210499.9400001</v>
      </c>
      <c r="CA16" s="911">
        <v>3</v>
      </c>
      <c r="CB16" s="911" t="str">
        <f ca="1">VLOOKUP(CA16,$AH$14:$AI$17,2,0)</f>
        <v>Irán</v>
      </c>
      <c r="CC16" s="911">
        <f ca="1">VLOOKUP(CB16,$AI$14:$AR$17,2,FALSE)</f>
        <v>3</v>
      </c>
      <c r="CD16" s="918">
        <f ca="1">IF(SUM($AK$14:$AK$17)=12,MIN(ABS(BY15-BY16),ABS(BY16-BY17)),100)</f>
        <v>2235000000.02</v>
      </c>
      <c r="CE16" s="911">
        <f ca="1">VLOOKUP($CB16,$AI$14:$AR$17,9,FALSE)</f>
        <v>-3</v>
      </c>
      <c r="CF16" s="911">
        <f ca="1">VLOOKUP($CB16,$AI$14:$AR$17,7,FALSE)</f>
        <v>4</v>
      </c>
      <c r="CH16" s="911">
        <f t="array" aca="1" ref="CH16" ca="1">IF($CI$14=$CL$13,$EC$13:$EC$16,IF($CI$14=$CM$13,$ED$13:$ED$15,IF(OR($CI$14=$CN$13,$CI$14=$CR$13),$EG$13:$EG$14,IF($CI$14=$CP$13,$EF$13:$EF$15,(IF($CI$14=$CQ$13,$EH$13:$EH$14,$EK$13))))))</f>
        <v>3</v>
      </c>
      <c r="CK16" s="909">
        <v>3</v>
      </c>
      <c r="CL16" s="909">
        <f t="array" aca="1" ref="CL16" ca="1">IF(AND($CC$14:$CC$17=$CC$16,$CD$14:$CD$17&lt;90,$AQ$14:$AQ$17=$AQ$16,$CF$14:$CF$17=$CF$16),1,0)</f>
        <v>0</v>
      </c>
      <c r="CM16" s="909">
        <f t="array" aca="1" ref="CM16" ca="1">IF(AND($CC$14:$CC$16=$CC$16,$CD$14:$CD$16&lt;90,$CC$16&lt;&gt;$CC$17),1,0)</f>
        <v>0</v>
      </c>
      <c r="CN16" s="909">
        <f t="array" aca="1" ref="CN16" ca="1">IF(AND($CC$16:$CC$17=$CC$16,$CD$16:$CD$17&lt;90,$CC$16&lt;&gt;$CC$15),1,0)</f>
        <v>0</v>
      </c>
      <c r="CO16" s="909">
        <f t="array" aca="1" ref="CO16" ca="1">IF(OR(AND($CC$16&lt;&gt;$CC$15,$CC$16&lt;&gt;$CC$17),AND($CC$16&lt;&gt;$CC$15,$CC$16=$CC$17,$CD$16&gt;90,$CD$17&gt;90)),1,0)</f>
        <v>1</v>
      </c>
      <c r="CP16" s="909">
        <f t="array" aca="1" ref="CP16" ca="1">IF(AND($CC$15:$CC$17=$CC$15,$CD$15:$CD$17&lt;90,$CC$14&lt;&gt;$CC$16),1,0)</f>
        <v>0</v>
      </c>
      <c r="CQ16" s="909">
        <f t="array" aca="1" ref="CQ16" ca="1">IF(AND($CC$15:$CC$16=$CC$16,$CD$15:$CD$16&lt;90,$CC$16&lt;&gt;$CC$14,$CC$16&lt;&gt;$CC$17),1,0)</f>
        <v>0</v>
      </c>
      <c r="CR16" s="909">
        <f t="array" aca="1" ref="CR16" ca="1">IF(AND($CC$16:$CC$17=$CC$16,$CD$16:$CD$17&lt;90,$CC$16&lt;&gt;$CC$15),1,0)</f>
        <v>0</v>
      </c>
      <c r="CS16" s="909">
        <f t="array" aca="1" ref="CS16" ca="1">IF(AND($CC$16&lt;&gt;$CC$15,$CC$16&lt;&gt;$CC$17),1,0)</f>
        <v>1</v>
      </c>
      <c r="CT16" s="909">
        <f t="array" aca="1" ref="CT16" ca="1">IF(AND($CC$14:$CC$17=$CC$14,$CD$14:$CD$17&lt;90,$CE$16:$CE$17=$CE$16,$CE$15&lt;&gt;$CE$16),1,0)</f>
        <v>0</v>
      </c>
      <c r="CU16" s="909">
        <f t="array" aca="1" ref="CU16" ca="1">IF(AND($CC$14:$CC$17=$CC$14,$CD$14:$CD$17&lt;90,$CE$14:$CE$17=$CE$14,$CF$16=$CF$17,$CF$15&lt;&gt;$CF$16),1,0)</f>
        <v>0</v>
      </c>
      <c r="CV16" s="909">
        <f t="array" aca="1" ref="CV16" ca="1">IF(AND($CC$14:$CC$16=$CC$16,$CD$14:$CD$15&lt;90,$CD$16&gt;90),1,0)</f>
        <v>0</v>
      </c>
      <c r="CW16" s="909">
        <f t="array" aca="1" ref="CW16" ca="1">IF(AND($CC$15&lt;&gt;$CC$14,$CC$15:$CC$17=$CC$16,$CD$15&gt;90,$CD$16:$CD$17&lt;90),1,0)</f>
        <v>0</v>
      </c>
      <c r="CX16" s="909">
        <f t="array" aca="1" ref="CX16" ca="1">IF(AND($CC$15&lt;&gt;$CC$14,$CC$15:$CC$17=$CC$15,$CD$17&gt;90,$CD$15:$CD$16&lt;90),1,0)</f>
        <v>0</v>
      </c>
      <c r="CY16" s="909">
        <f t="array" aca="1" ref="CY16" ca="1">IF(AND($CC$16&lt;&gt;$CC$17,$CC$14:$CC$16=$CC$16,$CD$14&gt;90,$CD$15:$CD$16&lt;90),1,0)</f>
        <v>0</v>
      </c>
      <c r="CZ16" s="909">
        <f t="array" aca="1" ref="CZ16" ca="1">IF(AND($CC$14:$CC$17=$CC$15,$CD$15:$CD$17&lt;90,$CD$14&lt;&gt;$CD$16),1,0)</f>
        <v>0</v>
      </c>
      <c r="DA16" s="909">
        <f t="array" aca="1" ref="DA16" ca="1">IF(AND($CC$14:$CC$17=$CC$16,$CD$14:$CD$16&lt;90,$CD$16&lt;&gt;$CD$17),1,0)</f>
        <v>0</v>
      </c>
      <c r="DB16" s="909">
        <f t="array" aca="1" ref="DB16" ca="1">IF(AND($CC$14:$CC$17=$CC$16,$CD$14:$CD$15&gt;90,$CD$16:$CD$17&lt;90,$CE$14:$CE$17=$CE$16,$CF$14&gt;$CF$15,$CF$15&gt;$CF$16,$CF$16=$CF$17),1,0)</f>
        <v>0</v>
      </c>
      <c r="DC16" s="909">
        <f t="array" aca="1" ref="DC16" ca="1">IF(AND($CC$14:$CC$17=$CC$16,$CD$14&gt;90,$CD$15:$CD$16&lt;90,$CD$17&gt;90,$CE$14:$CE$17=$CE$16,$CF$14&gt;$CF$15,$CF$15=$CF$16,$CF$16&gt;$CF$17),1,0)</f>
        <v>0</v>
      </c>
      <c r="DD16" s="909">
        <f t="array" aca="1" ref="DD16" ca="1">IF(AND($CC$14:$CC$17=$CC$16,$CD$14:$CD$15&lt;90,$CD$16:$CD$17&gt;90,$CE$14:$CE$17=$CE$16,$CF$14=$CF$15,$CF$15&gt;$CF$16,$CF$16&gt;$CF$17),1,0)</f>
        <v>0</v>
      </c>
      <c r="DE16" s="909">
        <f t="array" aca="1" ref="DE16" ca="1">IF(AND($CC$14:$CC$17=$CC$16,$CD$14:$CD$15&gt;90,$CD$16:$CD$17&lt;90,$CE$14:$CE$17=$CE$15,$CF$14&gt;$CF$16,$CF$15:$CF$17=$CF$16),1,0)</f>
        <v>0</v>
      </c>
      <c r="DF16" s="909">
        <f t="array" aca="1" ref="DF16" ca="1">IF(AND($CC$14:$CC$17=$CC$16,$CD$14:$CD$15&lt;90,$CD$16:$CD$17&gt;90,$CE$14:$CE$17=$CE$16,$CF$14:$CF$16=$CF$16,$CF$16&gt;$CF$17),1,0)</f>
        <v>0</v>
      </c>
      <c r="DG16" s="909">
        <f t="array" aca="1" ref="DG16" ca="1">IF(AND($CC$14:$CC$17=$CC$16,$CD$14&gt;90,$CD$17&gt;90,$CD$15:$CD$16&lt;90,$CE$14:$CE$17=$CE$16,$CF$14&gt;$CF$15:$CF$17,$CF$15:$CF$17=$CF$16),1,0)</f>
        <v>0</v>
      </c>
      <c r="EC16" s="911">
        <v>4</v>
      </c>
      <c r="ED16" s="911"/>
      <c r="EE16" s="911"/>
      <c r="EF16" s="911"/>
      <c r="EG16" s="911"/>
      <c r="EH16" s="911"/>
      <c r="EI16" s="911"/>
      <c r="EJ16" s="911"/>
      <c r="EK16" s="911"/>
      <c r="EL16" s="911"/>
      <c r="FI16" s="917"/>
      <c r="FK16" s="917"/>
      <c r="FM16" s="917"/>
    </row>
    <row r="17" spans="1:169" ht="16" thickBot="1">
      <c r="A17" s="875"/>
      <c r="B17" s="872"/>
      <c r="C17" s="875"/>
      <c r="D17" s="152"/>
      <c r="E17" s="1024"/>
      <c r="F17" s="46">
        <f>Horarios!C17</f>
        <v>44894.916666666664</v>
      </c>
      <c r="G17" s="47">
        <f>Horarios!C17</f>
        <v>44894.916666666664</v>
      </c>
      <c r="H17" s="46" t="s">
        <v>71</v>
      </c>
      <c r="I17" s="48" t="str">
        <f ca="1">A14</f>
        <v>Irán</v>
      </c>
      <c r="J17" s="49" t="str">
        <f ca="1">VLOOKUP(I17,Equipos!$H$2:$I$33,2,0)</f>
        <v>🇮🇷</v>
      </c>
      <c r="K17" s="50">
        <v>0</v>
      </c>
      <c r="L17" s="50">
        <v>1</v>
      </c>
      <c r="M17" s="51" t="str">
        <f ca="1">VLOOKUP(N17,Equipos!$H$2:$I$33,2,0)</f>
        <v>🇺🇸</v>
      </c>
      <c r="N17" s="52" t="str">
        <f ca="1">A15</f>
        <v>Estados unidos</v>
      </c>
      <c r="O17" s="347">
        <f t="shared" si="7"/>
        <v>1</v>
      </c>
      <c r="P17" s="82"/>
      <c r="Q17" s="128">
        <v>4</v>
      </c>
      <c r="R17" s="129" t="str">
        <f ca="1">VLOOKUP(Q17,$AG$14:$AI$17,3,0)</f>
        <v>Gales</v>
      </c>
      <c r="S17" s="130">
        <f ca="1">VLOOKUP(R17,$AI$14:$AR$17,2,FALSE)</f>
        <v>1</v>
      </c>
      <c r="T17" s="130">
        <f ca="1">VLOOKUP($R17,$AI$14:$AR$17,3,FALSE)</f>
        <v>3</v>
      </c>
      <c r="U17" s="130">
        <f ca="1">VLOOKUP($R17,$AI$14:$AR$17,4,FALSE)</f>
        <v>0</v>
      </c>
      <c r="V17" s="130">
        <f ca="1">VLOOKUP($R17,$AI$14:$AR$17,5,FALSE)</f>
        <v>1</v>
      </c>
      <c r="W17" s="130">
        <f ca="1">VLOOKUP($R17,$AI$14:$AR$17,6,FALSE)</f>
        <v>2</v>
      </c>
      <c r="X17" s="130">
        <f ca="1">VLOOKUP($R17,$AI$14:$AR$17,7,FALSE)</f>
        <v>1</v>
      </c>
      <c r="Y17" s="130">
        <f ca="1">VLOOKUP($R17,$AI$14:$AR$17,8,FALSE)</f>
        <v>6</v>
      </c>
      <c r="Z17" s="131">
        <f ca="1">VLOOKUP($R17,$AI$14:$AR$17,9,FALSE)</f>
        <v>-5</v>
      </c>
      <c r="AA17" s="357">
        <f ca="1">IF(SUM($AK$14:$AK$17)=12,MIN(ABS(BY16-BY17),ABS(BY17-BY18)),100)</f>
        <v>1087210499.9200001</v>
      </c>
      <c r="AB17" s="94" t="str">
        <f ca="1">IF(AND(AA17&gt;=0,AA17&lt;90),VLOOKUP(Q17,$BU$14:$BV$17,2,0),"")</f>
        <v/>
      </c>
      <c r="AC17" s="73"/>
      <c r="AD17" s="74"/>
      <c r="AE17" s="328"/>
      <c r="AF17" s="910">
        <f ca="1">VLOOKUP($R17,$AI$14:$AR$17,10,FALSE)</f>
        <v>1087210499.9200001</v>
      </c>
      <c r="AG17" s="909">
        <f ca="1">RANK(AU17,$AU$14:$AU$17)</f>
        <v>4</v>
      </c>
      <c r="AH17" s="909">
        <f ca="1">RANK(AR17,$AR$14:$AR$17)</f>
        <v>4</v>
      </c>
      <c r="AI17" s="911" t="str">
        <f ca="1">A16</f>
        <v>Gales</v>
      </c>
      <c r="AJ17" s="909">
        <f ca="1">AL17*3+AM17*1+AN17*0</f>
        <v>1</v>
      </c>
      <c r="AK17" s="909">
        <f ca="1">COUNTIFS($I$4:$I$65,AI17,$K$4:$K$65,"&lt;&gt;",$L$4:$L$65,"&lt;&gt;")+COUNTIFS($N$4:$N$65,AI17,$L$4:$L$65,"&lt;&gt;",$K$4:$K$65,"&lt;&gt;")</f>
        <v>3</v>
      </c>
      <c r="AL17" s="909">
        <f t="array" aca="1" ref="AL17" ca="1">SUM(($I$4:$I$65=AI17)*($K$4:$K$65&lt;&gt;"")*($L$4:$L$65&lt;&gt;"")*($K$4:$K$65&gt;$L$4:$L$65),($N$4:$N$65=AI17)*($K$4:$K$65&lt;&gt;"")*($L$4:$L$65&lt;&gt;"")*($K$4:$K$65&lt;$L$4:$L$65))</f>
        <v>0</v>
      </c>
      <c r="AM17" s="909">
        <f t="array" aca="1" ref="AM17" ca="1">SUM(($I$4:$I$65=AI17)*($K$4:$K$65&lt;&gt;"")*($L$4:$L$65&lt;&gt;"")*($K$4:$K$65=$L$4:$L$65),($N$4:$N$65=AI17)*($K$4:$K$65&lt;&gt;"")*($L$4:$L$65&lt;&gt;"")*($K$4:$K$65=$L$4:$L$65))</f>
        <v>1</v>
      </c>
      <c r="AN17" s="909">
        <f t="array" aca="1" ref="AN17" ca="1">SUM(($I$4:$I$65=AI17)*($L$4:$L$65&lt;&gt;"")*($K$4:$K$65&lt;&gt;"")*($K$4:$K$65&lt;$L$4:$L$65),($K$4:$K$65&lt;&gt;"")*($N$4:$N$65=AI17)*($L$4:$L$65&lt;&gt;"")*($K$4:$K$65&gt;$L$4:$L$65))</f>
        <v>2</v>
      </c>
      <c r="AO17" s="909">
        <f t="array" aca="1" ref="AO17" ca="1">SUMIFS($K$4:$K$65,$I$4:$I$65,AI17,$K$4:$K$65,"&lt;&gt;",$L$4:$L$65,"&lt;&gt;")+SUMIFS($L$4:$L$65,$N$4:$N$65,AI17,$K$4:$K$65,"&lt;&gt;",$L$4:$L$65,"&lt;&gt;")</f>
        <v>1</v>
      </c>
      <c r="AP17" s="909">
        <f t="array" aca="1" ref="AP17" ca="1">SUMIFS($K$4:$K$65,$N$4:$N$65,AI17,$K$4:$K$65,"&lt;&gt;",$L$4:$L$65,"&lt;&gt;")+SUMIFS($L$4:$L$65,$I$4:$I$65,AI17,$K$4:$K$65,"&lt;&gt;",$L$4:$L$65,"&lt;&gt;")</f>
        <v>6</v>
      </c>
      <c r="AQ17" s="909">
        <f ca="1">AO17-AP17</f>
        <v>-5</v>
      </c>
      <c r="AR17" s="909">
        <f ca="1">IF(AK17=0,-($AW$11*VLOOKUP(AI17,Tabla3[[NombreEquipo]:[Rank]],3,FALSE)),AJ17*$AW$4+AQ17*$AW$5+AO17*$AW$6+BA17-($AW$11*VLOOKUP(AI17,Tabla3[[NombreEquipo]:[Rank]],3,FALSE)/100))</f>
        <v>1087210499.9200001</v>
      </c>
      <c r="AS17" s="909">
        <f ca="1">AH17</f>
        <v>4</v>
      </c>
      <c r="AT17" s="909"/>
      <c r="AU17" s="909">
        <f ca="1">IFERROR(AR17-VLOOKUP(AI17,$AB$14:$AC$17,2,0),AR17)</f>
        <v>1087210499.9200001</v>
      </c>
      <c r="AV17" s="909"/>
      <c r="AW17" s="912"/>
      <c r="AX17" s="909"/>
      <c r="AY17" s="916" t="str">
        <f ca="1">AI17</f>
        <v>Gales</v>
      </c>
      <c r="AZ17" s="909">
        <f ca="1">COUNTIF(AJ14:AJ17,AJ17)</f>
        <v>1</v>
      </c>
      <c r="BA17" s="909">
        <f t="shared" ca="1" si="8"/>
        <v>210500</v>
      </c>
      <c r="BB17" s="917">
        <f ca="1">RANK(BC17,BC14:BC17,1)</f>
        <v>1</v>
      </c>
      <c r="BC17" s="917">
        <f ca="1">SUM(IF(AND(AJ17=AJ14,AQ17=AQ14,AO17=AO14),BD17,0),IF(AND(AJ17=AJ15,AQ17=AQ15,AO17=AO15),BE17,0),IF(AND(AJ17=AJ16,AQ17=AQ16,AO17=AO16),BF17,0))</f>
        <v>0</v>
      </c>
      <c r="BD17" s="917">
        <f t="array" aca="1" ref="BD17" ca="1">SUMIFS($K$12:$K$17,$I$12:$I$17,$AY17,$K$12:$K$17,"&lt;&gt;",$L$12:$L$17,"&lt;&gt;",$N$12:$N$17,BD13)+SUMIFS($L$12:$L$17,$I$12:$I$17,BD13,$K$12:$K$17,"&lt;&gt;",$L$12:$L$17,"&lt;&gt;",$N$12:$N$17,$AY17)</f>
        <v>0</v>
      </c>
      <c r="BE17" s="917">
        <f t="array" aca="1" ref="BE17" ca="1">SUMIFS($K$12:$K$17,$I$12:$I$17,$AY17,$K$12:$K$17,"&lt;&gt;",$L$12:$L$17,"&lt;&gt;",$N$12:$N$17,BE13)+SUMIFS($L$12:$L$17,$I$12:$I$17,BE13,$K$12:$K$17,"&lt;&gt;",$L$12:$L$17,"&lt;&gt;",$N$12:$N$17,$AY17)</f>
        <v>0</v>
      </c>
      <c r="BF17" s="917">
        <f t="array" aca="1" ref="BF17" ca="1">SUMIFS($K$12:$K$17,$I$12:$I$17,$AY17,$K$12:$K$17,"&lt;&gt;",$L$12:$L$17,"&lt;&gt;",$N$12:$N$17,BF13)+SUMIFS($L$12:$L$17,$I$12:$I$17,BF13,$K$12:$K$17,"&lt;&gt;",$L$12:$L$17,"&lt;&gt;",$N$12:$N$17,$AY17)</f>
        <v>1</v>
      </c>
      <c r="BG17" s="917">
        <v>0</v>
      </c>
      <c r="BH17" s="917">
        <f ca="1">RANK(BI17,BI14:BI17,1)</f>
        <v>1</v>
      </c>
      <c r="BI17" s="917">
        <f ca="1">SUM(IF(AND(AJ17=AJ14,AQ17=AQ14,AO17=AO14),BJ17,0),IF(AND(AJ17=AJ15,AQ17=AQ15,AO17=AO15),BK17,0),IF(AND(AJ17=AJ16,AQ17=AQ16,AO17=AO16),BL17,0))</f>
        <v>0</v>
      </c>
      <c r="BJ17" s="917">
        <f ca="1">BD17-BG14</f>
        <v>-3</v>
      </c>
      <c r="BK17" s="917">
        <f ca="1">BE17-BG15</f>
        <v>-2</v>
      </c>
      <c r="BL17" s="917">
        <f ca="1">BF17-BG16</f>
        <v>0</v>
      </c>
      <c r="BM17" s="917">
        <v>0</v>
      </c>
      <c r="BN17" s="917">
        <f ca="1">RANK(BO17,BO14:BO17,1)</f>
        <v>1</v>
      </c>
      <c r="BO17" s="917">
        <f ca="1">SUM(IF(AND(AJ17=AJ14,AQ17=AQ14,AO17=AO14),BP17,0),IF(AND(AJ17=AJ15,AQ17=AQ15,AO17=AO15),BQ17,0),IF(AND(AJ17=AJ16,AQ17=AQ16,AO17=AO16),BR17,0))</f>
        <v>0</v>
      </c>
      <c r="BP17" s="917">
        <f t="array" aca="1" ref="BP17" ca="1">SUM((I$4:I$49=AY17)*(N$4:N$49=BP13)*(K$4:K$49&lt;&gt;"")*(L$4:L$49&lt;&gt;"")*(K$4:K$49&gt;L$4:L$49)*3,(N$4:N$49=AY17)*(I$4:I$49=BP13)*(K$4:K$49&lt;&gt;"")*(L$4:L$49&lt;&gt;"")*(K$4:K$49=L$4:L$49)*1,(N$4:N$49=AY17)*(I$4:I$49=BP13)*(K$4:K$49&lt;&gt;"")*(L$4:L$49&lt;&gt;"")*(K$4:K$49&lt;L$4:L$49)*3,(I$4:I$49=AY17)*(N$4:N$49=BP13)*(K$4:K$49&lt;&gt;"")*(L$4:L$49&lt;&gt;"")*(K$4:K$49=L$4:L$49)*1)</f>
        <v>0</v>
      </c>
      <c r="BQ17" s="917">
        <f t="array" aca="1" ref="BQ17" ca="1">SUM((I$4:I$49=AY17)*(N$4:N$49=BQ13)*(K$4:K$49&lt;&gt;"")*(L$4:L$49&lt;&gt;"")*(K$4:K$49&gt;L$4:L$49)*3,(N$4:N$49=AY17)*(I$4:I$49=BQ13)*(K$4:K$49&lt;&gt;"")*(L$4:L$49&lt;&gt;"")*(K$4:K$49=L$4:L$49)*1,(N$4:N$49=AY17)*(I$4:I$49=BQ13)*(K$4:K$49&lt;&gt;"")*(L$4:L$49&lt;&gt;"")*(K$4:K$49&lt;L$4:L$49)*3,(I$4:I$49=AY17)*(N$4:N$49=BQ13)*(K$4:K$49&lt;&gt;"")*(L$4:L$49&lt;&gt;"")*(K$4:K$49=L$4:L$49)*1)</f>
        <v>0</v>
      </c>
      <c r="BR17" s="917">
        <f t="array" aca="1" ref="BR17" ca="1">SUM((I$4:I$49=AY17)*(N$4:N$49=BR13)*(K$4:K$49&lt;&gt;"")*(L$4:L$49&lt;&gt;"")*(K$4:K$49&gt;L$4:L$49)*3,(N$4:N$49=AY17)*(I$4:I$49=BR13)*(K$4:K$49&lt;&gt;"")*(L$4:L$49&lt;&gt;"")*(K$4:K$49=L$4:L$49)*1,(N$4:N$49=AY17)*(I$4:I$49=BR13)*(K$4:K$49&lt;&gt;"")*(L$4:L$49&lt;&gt;"")*(K$4:K$49&lt;L$4:L$49)*3,(I$4:I$49=AY17)*(N$4:N$49=BR13)*(K$4:K$49&lt;&gt;"")*(L$4:L$49&lt;&gt;"")*(K$4:K$49=L$4:L$49)*1)</f>
        <v>1</v>
      </c>
      <c r="BS17" s="917">
        <v>0</v>
      </c>
      <c r="BT17" s="911">
        <v>4</v>
      </c>
      <c r="BU17" s="911">
        <f ca="1">RANK(BW17,$BW$14:$BW$17)</f>
        <v>4</v>
      </c>
      <c r="BV17" s="911" t="str">
        <f ca="1">A16</f>
        <v>Gales</v>
      </c>
      <c r="BW17" s="911">
        <f t="shared" ca="1" si="9"/>
        <v>1087210499.9200001</v>
      </c>
      <c r="BX17" s="911" t="str">
        <f ca="1">VLOOKUP(Q17,$AH$14:$AI$17,2,0)</f>
        <v>Gales</v>
      </c>
      <c r="BY17" s="911">
        <f ca="1">VLOOKUP($BX17,$AI$14:$AR$17,10,FALSE)</f>
        <v>1087210499.9200001</v>
      </c>
      <c r="CA17" s="911">
        <v>4</v>
      </c>
      <c r="CB17" s="911" t="str">
        <f ca="1">VLOOKUP(CA17,$AH$14:$AI$17,2,0)</f>
        <v>Gales</v>
      </c>
      <c r="CC17" s="911">
        <f ca="1">VLOOKUP(CB17,$AI$14:$AR$17,2,FALSE)</f>
        <v>1</v>
      </c>
      <c r="CD17" s="918">
        <f ca="1">IF(SUM($AK$14:$AK$17)=12,MIN(ABS(BY16-BY17),ABS(BY17-BY18)),100)</f>
        <v>1087210499.9200001</v>
      </c>
      <c r="CE17" s="911">
        <f ca="1">VLOOKUP($CB17,$AI$14:$AR$17,9,FALSE)</f>
        <v>-5</v>
      </c>
      <c r="CF17" s="911">
        <f ca="1">VLOOKUP($CB17,$AI$14:$AR$17,7,FALSE)</f>
        <v>1</v>
      </c>
      <c r="CH17" s="911">
        <f t="array" aca="1" ref="CH17" ca="1">IF($CI$14=$CL$13,$EC$13:$EC$16,IF(OR($CI$14=$CN$13,$CI$14=$CR$13),$EG$13:$EG$14,IF($CI$14=$CP$13,$EF$13:$EF$15,$EL$13)))</f>
        <v>4</v>
      </c>
      <c r="CK17" s="909">
        <v>4</v>
      </c>
      <c r="CL17" s="909">
        <f t="array" aca="1" ref="CL17" ca="1">IF(AND($CC$14:$CC$17=$CC$17,$CD$14:$CD$17&lt;90,$AQ$14:$AQ$17=$AQ$17,$CF$14:$CF$17=$CF$17),1,0)</f>
        <v>0</v>
      </c>
      <c r="CM17" s="909">
        <f t="array" aca="1" ref="CM17" ca="1">IF(AND($CC$14:$CC$16=$CC$14,$CD$14:$CD$16&lt;90,$CD$17&gt;90,$CC$14&lt;&gt;$CC$17),1,0)</f>
        <v>0</v>
      </c>
      <c r="CN17" s="909">
        <f t="array" aca="1" ref="CN17" ca="1">IF(AND($CC$16:$CC$17=$CC$16,$CD$16:$CD$17&lt;90,$CC$16&lt;&gt;$CC$15),1,0)</f>
        <v>0</v>
      </c>
      <c r="CO17" s="909">
        <f t="array" aca="1" ref="CO17" ca="1">IF(AND($CC$17&lt;&gt;$CC$15,$CC$17&lt;&gt;$CC$14),1,0)</f>
        <v>1</v>
      </c>
      <c r="CP17" s="909">
        <f t="array" aca="1" ref="CP17" ca="1">IF(AND($CC$15:$CC$17=$CC$15,$CD$15:$CD$17&lt;90,$CC$14&lt;&gt;$CC$17),1,0)</f>
        <v>0</v>
      </c>
      <c r="CQ17" s="909">
        <f t="array" aca="1" ref="CQ17" ca="1">IF(AND($CC$17&lt;&gt;$CC$15,$CC$17&lt;&gt;$CC$14),1,0)</f>
        <v>1</v>
      </c>
      <c r="CR17" s="909">
        <f t="array" aca="1" ref="CR17" ca="1">IF(AND($CC$16:$CC$17=$CC$16,$CD$16:$CD$17&lt;90,$CC$16&lt;&gt;$CC$15),1,0)</f>
        <v>0</v>
      </c>
      <c r="CS17" s="909">
        <f t="array" aca="1" ref="CS17" ca="1">IF(AND($CC$17&lt;&gt;$CC$15,$CC$17&lt;&gt;$CC$14),1,0)</f>
        <v>1</v>
      </c>
      <c r="CT17" s="909">
        <f t="array" aca="1" ref="CT17" ca="1">IF(AND($CC$14:$CC$17=$CC$14,$CD$14:$CD$17&lt;90,$CE$16:$CE$17=$CE$17,$CE$15&lt;&gt;$CE$17),1,0)</f>
        <v>0</v>
      </c>
      <c r="CU17" s="909">
        <f t="array" aca="1" ref="CU17" ca="1">IF(AND($CC$14:$CC$17=$CC$14,$CD$14:$CD$17&lt;90,$CE$14:$CE$17=$CE$14,$CF$16=$CF$17,$CF$15&lt;&gt;$CF$16),1,0)</f>
        <v>0</v>
      </c>
      <c r="CV17" s="909">
        <f t="array" aca="1" ref="CV17" ca="1">IF(AND($CC$14:$CC$16=$CC$14,$CD$14:$CD$15&lt;90,$CC$16&lt;&gt;$CC$17),1,0)</f>
        <v>0</v>
      </c>
      <c r="CW17" s="909">
        <f t="array" aca="1" ref="CW17" ca="1">IF(AND($CC$15&lt;&gt;$CC$14,$CC$15:$CC$17=$CC$16,$CD$15&gt;90,$CD$16:$CD$17&lt;90),1,0)</f>
        <v>0</v>
      </c>
      <c r="CX17" s="909">
        <f t="array" aca="1" ref="CX17" ca="1">IF(AND($CC$15&lt;&gt;$CC$14,$CC$15:$CC$17=$CC$15,$CD$17&gt;90,$CD$15:$CD$16&lt;90),1,0)</f>
        <v>0</v>
      </c>
      <c r="CY17" s="909">
        <f t="array" aca="1" ref="CY17" ca="1">IF(AND($CC$17&lt;&gt;$CC$15,$CC$17&lt;&gt;$CC$16),1,0)</f>
        <v>1</v>
      </c>
      <c r="CZ17" s="909">
        <f t="array" aca="1" ref="CZ17" ca="1">IF(AND($CC$14:$CC$17=$CC$15,$CD$15:$CD$17&lt;90,$CD$14&lt;&gt;$CD$17),1,0)</f>
        <v>0</v>
      </c>
      <c r="DA17" s="909">
        <f t="array" aca="1" ref="DA17" ca="1">IF(AND($CC$14:$CC$17=$CC$14,$CD$14:$CD$16&lt;90,$CD$16&lt;&gt;$CD$17),1,0)</f>
        <v>0</v>
      </c>
      <c r="DB17" s="909">
        <f t="array" aca="1" ref="DB17" ca="1">IF(AND($CC$14:$CC$17=$CC$17,$CD$14:$CD$15&gt;90,$CD$16:$CD$17&lt;90,$CE$14:$CE$17=$CE$17,$CF$14&gt;$CF$15,$CF$15&gt;$CF$17,$CF$16=$CF$17),1,0)</f>
        <v>0</v>
      </c>
      <c r="DC17" s="909">
        <f t="array" aca="1" ref="DC17" ca="1">IF(AND($CC$14:$CC$17=$CC$15,$CD$14&gt;90,$CD$15:$CD$16&lt;90,$CD$17&gt;90,$CE$14:$CE$17=$CE$17,$CF$14&gt;$CF$17,$CF$15=$CF$16,$CF$15&gt;$CF$17),1,0)</f>
        <v>0</v>
      </c>
      <c r="DD17" s="909">
        <f t="array" aca="1" ref="DD17" ca="1">IF(AND($CC$14:$CC$17=$CC$17,$CD$14:$CD$15&lt;90,$CD$16:$CD$17&gt;90,$CE$14:$CE$17=$CE$17,$CF$14=$CF$15,$CF$15&gt;$CF$16,$CF$16&gt;$CF$17),1,0)</f>
        <v>0</v>
      </c>
      <c r="DE17" s="909">
        <f t="array" aca="1" ref="DE17" ca="1">IF(AND($CC$14:$CC$17=$CC$17,$CD$14:$CD$15&gt;90,$CD$16:$CD$17&lt;90,$CE$14:$CE$17=$CE$17,$CF$14&gt;$CF$17,$CF$15:$CF$17=$CF$17),1,0)</f>
        <v>0</v>
      </c>
      <c r="DF17" s="909">
        <f t="array" aca="1" ref="DF17" ca="1">IF(AND($CC$14:$CC$17=$CC$17,$CD$14:$CD$15&lt;90,$CD$16:$CD$17&gt;90,$CE$14:$CE$17=$CE$17,$CF$14:$CF$16=$CF$16,$CF$14:$CF$16&gt;$CF$17),1,0)</f>
        <v>0</v>
      </c>
      <c r="DG17" s="909">
        <f t="array" aca="1" ref="DG17" ca="1">IF(AND($CC$14:$CC$17=$CC$17,$CD$14&gt;90,$CD$17&gt;90,$CD$15:$CD$16&lt;90,$CE$14:$CE$17=$CE$17,$CF$14&gt;$CF$15:$CF$17,$CF$15:$CF$17=$CF$17),1,0)</f>
        <v>0</v>
      </c>
      <c r="FI17" s="917"/>
      <c r="FK17" s="917"/>
      <c r="FM17" s="917"/>
    </row>
    <row r="18" spans="1:169">
      <c r="A18" s="875"/>
      <c r="B18" s="872"/>
      <c r="C18" s="875"/>
      <c r="D18" s="152"/>
      <c r="E18" s="89"/>
      <c r="F18" s="92"/>
      <c r="G18" s="78"/>
      <c r="H18" s="89"/>
      <c r="I18" s="89"/>
      <c r="J18" s="89"/>
      <c r="K18" s="89"/>
      <c r="L18" s="89"/>
      <c r="M18" s="89"/>
      <c r="N18" s="89"/>
      <c r="O18" s="348"/>
      <c r="P18" s="66"/>
      <c r="Q18" s="66"/>
      <c r="R18" s="66"/>
      <c r="S18" s="66"/>
      <c r="T18" s="66"/>
      <c r="U18" s="66"/>
      <c r="V18" s="66"/>
      <c r="W18" s="66"/>
      <c r="X18" s="66"/>
      <c r="Y18" s="66"/>
      <c r="Z18" s="66"/>
      <c r="AA18" s="77"/>
      <c r="AB18" s="66"/>
      <c r="AC18" s="75"/>
      <c r="AD18" s="74"/>
      <c r="AE18" s="328"/>
      <c r="AF18" s="910"/>
      <c r="AG18" s="909"/>
      <c r="AH18" s="909"/>
      <c r="AJ18" s="909"/>
      <c r="AK18" s="909"/>
      <c r="AL18" s="909"/>
      <c r="AM18" s="909"/>
      <c r="AN18" s="909"/>
      <c r="AO18" s="909"/>
      <c r="AP18" s="909"/>
      <c r="AQ18" s="909"/>
      <c r="AR18" s="909"/>
      <c r="AS18" s="909"/>
      <c r="AT18" s="909"/>
      <c r="AU18" s="909"/>
      <c r="AV18" s="909"/>
      <c r="AW18" s="912"/>
      <c r="AX18" s="909"/>
      <c r="AY18" s="916"/>
      <c r="AZ18" s="909"/>
      <c r="BA18" s="909"/>
      <c r="BB18" s="917"/>
      <c r="BC18" s="917"/>
      <c r="BD18" s="917"/>
      <c r="BE18" s="917"/>
      <c r="BF18" s="917"/>
      <c r="BG18" s="917"/>
      <c r="BH18" s="917"/>
      <c r="BI18" s="917"/>
      <c r="BJ18" s="917"/>
      <c r="BK18" s="917"/>
      <c r="BL18" s="917"/>
      <c r="BM18" s="917"/>
      <c r="BN18" s="917"/>
      <c r="BO18" s="917"/>
      <c r="BP18" s="917"/>
      <c r="BQ18" s="917"/>
      <c r="BR18" s="917"/>
      <c r="BS18" s="917"/>
      <c r="CD18" s="918"/>
      <c r="FI18" s="917"/>
      <c r="FK18" s="917"/>
      <c r="FM18" s="917"/>
    </row>
    <row r="19" spans="1:169" ht="16" thickBot="1">
      <c r="A19" s="875"/>
      <c r="B19" s="872"/>
      <c r="C19" s="875"/>
      <c r="D19" s="66"/>
      <c r="E19" s="84"/>
      <c r="F19" s="83" t="str">
        <f>F3</f>
        <v>Fecha</v>
      </c>
      <c r="G19" s="83" t="str">
        <f t="shared" ref="G19:I19" si="10">G3</f>
        <v>Hora</v>
      </c>
      <c r="H19" s="85" t="str">
        <f t="shared" si="10"/>
        <v>Jor.</v>
      </c>
      <c r="I19" s="86" t="str">
        <f t="shared" si="10"/>
        <v>Casa</v>
      </c>
      <c r="J19" s="83"/>
      <c r="K19" s="87" t="s">
        <v>22</v>
      </c>
      <c r="L19" s="87" t="s">
        <v>22</v>
      </c>
      <c r="M19" s="87"/>
      <c r="N19" s="88" t="str">
        <f t="shared" ref="N19" si="11">N3</f>
        <v>Fuera</v>
      </c>
      <c r="O19" s="349"/>
      <c r="P19" s="69"/>
      <c r="Q19" s="69"/>
      <c r="R19" s="69"/>
      <c r="S19" s="69"/>
      <c r="T19" s="69"/>
      <c r="U19" s="69"/>
      <c r="V19" s="69"/>
      <c r="W19" s="69"/>
      <c r="X19" s="69"/>
      <c r="Y19" s="69"/>
      <c r="Z19" s="69"/>
      <c r="AA19" s="358"/>
      <c r="AB19" s="70"/>
      <c r="AC19" s="70"/>
      <c r="AD19" s="70"/>
      <c r="AE19" s="327"/>
      <c r="AF19" s="910"/>
      <c r="AG19" s="909"/>
      <c r="AH19" s="909"/>
      <c r="AI19" s="909"/>
      <c r="AJ19" s="909"/>
      <c r="AK19" s="909"/>
      <c r="AL19" s="909"/>
      <c r="AM19" s="909"/>
      <c r="AN19" s="909"/>
      <c r="AO19" s="909"/>
      <c r="AP19" s="909"/>
      <c r="AQ19" s="909"/>
      <c r="AR19" s="909"/>
      <c r="AS19" s="909"/>
      <c r="AT19" s="909"/>
      <c r="AU19" s="909"/>
      <c r="AV19" s="909"/>
      <c r="AW19" s="912"/>
      <c r="AX19" s="909"/>
      <c r="AY19" s="909"/>
      <c r="AZ19" s="909"/>
      <c r="BA19" s="909"/>
      <c r="BB19" s="909"/>
      <c r="BC19" s="909"/>
      <c r="BD19" s="909"/>
      <c r="BE19" s="909"/>
      <c r="BF19" s="909"/>
      <c r="BG19" s="909"/>
      <c r="BH19" s="909"/>
      <c r="BI19" s="909"/>
      <c r="BJ19" s="909"/>
      <c r="BK19" s="909"/>
      <c r="BL19" s="909"/>
      <c r="BM19" s="909"/>
      <c r="BN19" s="909"/>
      <c r="BO19" s="909"/>
      <c r="BP19" s="909"/>
      <c r="BQ19" s="909"/>
      <c r="BR19" s="909"/>
      <c r="BS19" s="909"/>
      <c r="BT19" s="909"/>
      <c r="BU19" s="909"/>
      <c r="BV19" s="909"/>
      <c r="BW19" s="909"/>
      <c r="BX19" s="909"/>
      <c r="BY19" s="909"/>
      <c r="BZ19" s="909"/>
      <c r="CA19" s="909"/>
      <c r="CB19" s="909"/>
      <c r="CC19" s="909"/>
      <c r="CD19" s="909"/>
      <c r="CE19" s="909"/>
      <c r="CF19" s="909"/>
      <c r="CG19" s="909"/>
      <c r="CL19" s="910">
        <v>1</v>
      </c>
      <c r="CM19" s="910">
        <v>12</v>
      </c>
      <c r="CN19" s="910">
        <v>18</v>
      </c>
      <c r="CO19" s="910">
        <v>19</v>
      </c>
      <c r="CP19" s="910">
        <v>13</v>
      </c>
      <c r="CQ19" s="910">
        <v>20</v>
      </c>
      <c r="CR19" s="910">
        <v>21</v>
      </c>
      <c r="CS19" s="910">
        <v>22</v>
      </c>
      <c r="CT19" s="910">
        <v>3</v>
      </c>
      <c r="CU19" s="910">
        <v>2</v>
      </c>
      <c r="CV19" s="910">
        <v>14</v>
      </c>
      <c r="CW19" s="910">
        <v>17</v>
      </c>
      <c r="CX19" s="910">
        <v>16</v>
      </c>
      <c r="CY19" s="910">
        <v>15</v>
      </c>
      <c r="CZ19" s="910">
        <v>4</v>
      </c>
      <c r="DA19" s="910">
        <v>5</v>
      </c>
      <c r="DB19" s="910">
        <v>10</v>
      </c>
      <c r="DC19" s="910">
        <v>8</v>
      </c>
      <c r="DD19" s="910">
        <v>6</v>
      </c>
      <c r="DE19" s="910">
        <v>11</v>
      </c>
      <c r="DF19" s="910">
        <v>7</v>
      </c>
      <c r="DG19" s="910">
        <v>9</v>
      </c>
      <c r="DH19" s="910"/>
      <c r="DI19" s="910"/>
      <c r="EC19" s="911" t="s">
        <v>41</v>
      </c>
      <c r="ED19" s="911" t="s">
        <v>42</v>
      </c>
      <c r="EE19" s="911" t="s">
        <v>44</v>
      </c>
      <c r="EF19" s="911" t="s">
        <v>45</v>
      </c>
      <c r="EG19" s="911" t="s">
        <v>46</v>
      </c>
      <c r="EH19" s="911" t="s">
        <v>47</v>
      </c>
      <c r="EI19" s="911" t="s">
        <v>48</v>
      </c>
      <c r="EJ19" s="911" t="s">
        <v>49</v>
      </c>
      <c r="EK19" s="911" t="s">
        <v>50</v>
      </c>
      <c r="EL19" s="911" t="s">
        <v>51</v>
      </c>
    </row>
    <row r="20" spans="1:169" ht="15" customHeight="1">
      <c r="A20" s="871" t="s">
        <v>74</v>
      </c>
      <c r="B20" s="872" t="s">
        <v>2</v>
      </c>
      <c r="C20" s="873">
        <f>COUNTIF(Equipos!$C$2:$C$33,MUNDIAL!B20)</f>
        <v>4</v>
      </c>
      <c r="D20" s="152"/>
      <c r="E20" s="967" t="s">
        <v>2</v>
      </c>
      <c r="F20" s="53">
        <f>Horarios!C20</f>
        <v>44887.541666666664</v>
      </c>
      <c r="G20" s="54">
        <f>Horarios!C20</f>
        <v>44887.541666666664</v>
      </c>
      <c r="H20" s="53" t="s">
        <v>69</v>
      </c>
      <c r="I20" s="55" t="str">
        <f ca="1">A21</f>
        <v>Argentina</v>
      </c>
      <c r="J20" s="56" t="str">
        <f ca="1">VLOOKUP(I20,Equipos!$H$2:$I$33,2,0)</f>
        <v>🇦🇷</v>
      </c>
      <c r="K20" s="57">
        <v>1</v>
      </c>
      <c r="L20" s="57">
        <v>2</v>
      </c>
      <c r="M20" s="334" t="str">
        <f ca="1">VLOOKUP(N20,Equipos!$H$2:$I$33,2,0)</f>
        <v>🇸🇦</v>
      </c>
      <c r="N20" s="58" t="str">
        <f ca="1">A22</f>
        <v>Arabia Saudita</v>
      </c>
      <c r="O20" s="347">
        <f>IF(NOT(OR(ISBLANK(K20),ISBLANK(L20))),1,0)</f>
        <v>1</v>
      </c>
      <c r="P20" s="82"/>
      <c r="Q20" s="132" t="str">
        <f>CONCATENATE("Grupo"," ",B20)</f>
        <v>Grupo C</v>
      </c>
      <c r="R20" s="133"/>
      <c r="S20" s="133"/>
      <c r="T20" s="133"/>
      <c r="U20" s="133"/>
      <c r="V20" s="133"/>
      <c r="W20" s="133"/>
      <c r="X20" s="133"/>
      <c r="Y20" s="133"/>
      <c r="Z20" s="134"/>
      <c r="AA20" s="359"/>
      <c r="AB20" s="1015" t="s">
        <v>65</v>
      </c>
      <c r="AC20" s="1015"/>
      <c r="AD20" s="1015"/>
      <c r="AE20" s="327"/>
      <c r="AF20" s="910"/>
      <c r="AG20" s="909"/>
      <c r="AH20" s="909" t="str">
        <f>CONCATENATE("Auxiliar - ",Q20)</f>
        <v>Auxiliar - Grupo C</v>
      </c>
      <c r="AI20" s="909"/>
      <c r="AJ20" s="909"/>
      <c r="AK20" s="909"/>
      <c r="AL20" s="909"/>
      <c r="AM20" s="909"/>
      <c r="AN20" s="909"/>
      <c r="AO20" s="909"/>
      <c r="AP20" s="909"/>
      <c r="AQ20" s="909"/>
      <c r="AR20" s="909"/>
      <c r="AS20" s="909"/>
      <c r="AT20" s="909"/>
      <c r="AU20" s="909" t="s">
        <v>38</v>
      </c>
      <c r="AV20" s="909"/>
      <c r="AW20" s="912"/>
      <c r="AX20" s="919"/>
      <c r="AY20" s="910" t="str">
        <f>CONCATENATE(Q20," - GOLAVERAGE")</f>
        <v>Grupo C - GOLAVERAGE</v>
      </c>
      <c r="AZ20" s="909"/>
      <c r="BA20" s="909"/>
      <c r="BB20" s="909" t="s">
        <v>28</v>
      </c>
      <c r="BC20" s="909"/>
      <c r="BD20" s="909"/>
      <c r="BE20" s="909"/>
      <c r="BF20" s="909"/>
      <c r="BG20" s="909"/>
      <c r="BH20" s="909" t="s">
        <v>27</v>
      </c>
      <c r="BI20" s="909"/>
      <c r="BJ20" s="909"/>
      <c r="BK20" s="909"/>
      <c r="BL20" s="909"/>
      <c r="BM20" s="909"/>
      <c r="BN20" s="909" t="s">
        <v>123</v>
      </c>
      <c r="BO20" s="917"/>
      <c r="BP20" s="917"/>
      <c r="BQ20" s="917"/>
      <c r="BR20" s="917"/>
      <c r="BS20" s="917"/>
      <c r="CI20" s="909" t="s">
        <v>62</v>
      </c>
      <c r="CK20" s="909" t="s">
        <v>63</v>
      </c>
      <c r="CL20" s="909">
        <f t="shared" ref="CL20:DG20" ca="1" si="12">SUM(CL22:CL25)</f>
        <v>0</v>
      </c>
      <c r="CM20" s="909">
        <f t="shared" ca="1" si="12"/>
        <v>0</v>
      </c>
      <c r="CN20" s="909">
        <f t="shared" ca="1" si="12"/>
        <v>0</v>
      </c>
      <c r="CO20" s="909">
        <f t="shared" ca="1" si="12"/>
        <v>1</v>
      </c>
      <c r="CP20" s="909">
        <f t="shared" ca="1" si="12"/>
        <v>0</v>
      </c>
      <c r="CQ20" s="909">
        <f t="shared" ca="1" si="12"/>
        <v>2</v>
      </c>
      <c r="CR20" s="909">
        <f t="shared" ca="1" si="12"/>
        <v>1</v>
      </c>
      <c r="CS20" s="909">
        <f t="shared" ca="1" si="12"/>
        <v>2</v>
      </c>
      <c r="CT20" s="909">
        <f t="shared" ca="1" si="12"/>
        <v>0</v>
      </c>
      <c r="CU20" s="909">
        <f t="shared" ca="1" si="12"/>
        <v>0</v>
      </c>
      <c r="CV20" s="909">
        <f t="shared" ca="1" si="12"/>
        <v>0</v>
      </c>
      <c r="CW20" s="909">
        <f t="shared" ca="1" si="12"/>
        <v>1</v>
      </c>
      <c r="CX20" s="909">
        <f t="shared" ca="1" si="12"/>
        <v>1</v>
      </c>
      <c r="CY20" s="909">
        <f t="shared" ca="1" si="12"/>
        <v>1</v>
      </c>
      <c r="CZ20" s="909">
        <f t="shared" ca="1" si="12"/>
        <v>0</v>
      </c>
      <c r="DA20" s="909">
        <f t="shared" ca="1" si="12"/>
        <v>0</v>
      </c>
      <c r="DB20" s="909">
        <f t="shared" ca="1" si="12"/>
        <v>0</v>
      </c>
      <c r="DC20" s="909">
        <f t="shared" ca="1" si="12"/>
        <v>0</v>
      </c>
      <c r="DD20" s="909">
        <f t="shared" ca="1" si="12"/>
        <v>0</v>
      </c>
      <c r="DE20" s="909">
        <f t="shared" ca="1" si="12"/>
        <v>0</v>
      </c>
      <c r="DF20" s="909">
        <f t="shared" ca="1" si="12"/>
        <v>0</v>
      </c>
      <c r="DG20" s="909">
        <f t="shared" ca="1" si="12"/>
        <v>0</v>
      </c>
      <c r="EC20" s="911">
        <v>1234</v>
      </c>
      <c r="ED20" s="911">
        <v>123</v>
      </c>
      <c r="EE20" s="911">
        <v>12</v>
      </c>
      <c r="EF20" s="911">
        <v>234</v>
      </c>
      <c r="EG20" s="911">
        <v>34</v>
      </c>
      <c r="EH20" s="911">
        <v>23</v>
      </c>
      <c r="EI20" s="911">
        <v>1</v>
      </c>
      <c r="EJ20" s="911">
        <v>2</v>
      </c>
      <c r="EK20" s="911">
        <v>3</v>
      </c>
      <c r="EL20" s="911">
        <v>4</v>
      </c>
      <c r="FM20" s="917"/>
    </row>
    <row r="21" spans="1:169" ht="16" thickBot="1">
      <c r="A21" s="871" t="str">
        <f t="array" aca="1" ref="A21" ca="1">IF(ROWS(A$21:A21)&lt;=$C$20,INDEX(INDIRECT(A$20),SMALL(IF(Nivell=$B$20,ROW(Nivell)-ROW(Equipos!$C$2)+1),ROWS(B$20:B20))),"")</f>
        <v>Argentina</v>
      </c>
      <c r="B21" s="872"/>
      <c r="C21" s="872"/>
      <c r="D21" s="152"/>
      <c r="E21" s="968"/>
      <c r="F21" s="21">
        <f>Horarios!C21</f>
        <v>44887.791666666664</v>
      </c>
      <c r="G21" s="22">
        <f>Horarios!C21</f>
        <v>44887.791666666664</v>
      </c>
      <c r="H21" s="21" t="s">
        <v>69</v>
      </c>
      <c r="I21" s="23" t="str">
        <f ca="1">A23</f>
        <v>México</v>
      </c>
      <c r="J21" s="24" t="str">
        <f ca="1">VLOOKUP(I21,Equipos!$H$2:$I$33,2,0)</f>
        <v>🇲🇽</v>
      </c>
      <c r="K21" s="25">
        <v>0</v>
      </c>
      <c r="L21" s="25">
        <v>0</v>
      </c>
      <c r="M21" s="335" t="str">
        <f ca="1">VLOOKUP(N21,Equipos!$H$2:$I$33,2,0)</f>
        <v>🇵🇱</v>
      </c>
      <c r="N21" s="59" t="str">
        <f ca="1">A24</f>
        <v>Polonia</v>
      </c>
      <c r="O21" s="347">
        <f t="shared" ref="O21:O25" si="13">IF(NOT(OR(ISBLANK(K21),ISBLANK(L21))),1,0)</f>
        <v>1</v>
      </c>
      <c r="P21" s="82"/>
      <c r="Q21" s="135" t="s">
        <v>17</v>
      </c>
      <c r="R21" s="136" t="s">
        <v>100</v>
      </c>
      <c r="S21" s="137" t="s">
        <v>76</v>
      </c>
      <c r="T21" s="137" t="s">
        <v>6</v>
      </c>
      <c r="U21" s="137" t="s">
        <v>7</v>
      </c>
      <c r="V21" s="137" t="s">
        <v>3</v>
      </c>
      <c r="W21" s="137" t="s">
        <v>8</v>
      </c>
      <c r="X21" s="137" t="s">
        <v>9</v>
      </c>
      <c r="Y21" s="137" t="s">
        <v>10</v>
      </c>
      <c r="Z21" s="138" t="s">
        <v>99</v>
      </c>
      <c r="AA21" s="359">
        <f ca="1">COUNTIF(AA22:AA25,"&lt;100")</f>
        <v>0</v>
      </c>
      <c r="AB21" s="1015"/>
      <c r="AC21" s="1015"/>
      <c r="AD21" s="1015"/>
      <c r="AE21" s="327"/>
      <c r="AF21" s="910"/>
      <c r="AG21" s="913" t="s">
        <v>38</v>
      </c>
      <c r="AH21" s="913" t="s">
        <v>13</v>
      </c>
      <c r="AI21" s="913" t="s">
        <v>5</v>
      </c>
      <c r="AJ21" s="913" t="s">
        <v>14</v>
      </c>
      <c r="AK21" s="913" t="s">
        <v>6</v>
      </c>
      <c r="AL21" s="913" t="s">
        <v>7</v>
      </c>
      <c r="AM21" s="913" t="s">
        <v>3</v>
      </c>
      <c r="AN21" s="913" t="s">
        <v>8</v>
      </c>
      <c r="AO21" s="913" t="s">
        <v>9</v>
      </c>
      <c r="AP21" s="913" t="s">
        <v>10</v>
      </c>
      <c r="AQ21" s="913" t="s">
        <v>11</v>
      </c>
      <c r="AR21" s="913" t="s">
        <v>15</v>
      </c>
      <c r="AS21" s="913" t="s">
        <v>13</v>
      </c>
      <c r="AT21" s="909"/>
      <c r="AU21" s="909"/>
      <c r="AV21" s="909"/>
      <c r="AW21" s="912"/>
      <c r="AX21" s="909"/>
      <c r="AY21" s="913" t="s">
        <v>5</v>
      </c>
      <c r="AZ21" s="913" t="s">
        <v>29</v>
      </c>
      <c r="BA21" s="913" t="s">
        <v>32</v>
      </c>
      <c r="BB21" s="913" t="s">
        <v>31</v>
      </c>
      <c r="BC21" s="913" t="s">
        <v>26</v>
      </c>
      <c r="BD21" s="913" t="str">
        <f ca="1">AY22</f>
        <v>Argentina</v>
      </c>
      <c r="BE21" s="913" t="str">
        <f ca="1">AY23</f>
        <v>Arabia Saudita</v>
      </c>
      <c r="BF21" s="913" t="str">
        <f ca="1">AY24</f>
        <v>México</v>
      </c>
      <c r="BG21" s="913" t="str">
        <f ca="1">AY25</f>
        <v>Polonia</v>
      </c>
      <c r="BH21" s="913" t="s">
        <v>31</v>
      </c>
      <c r="BI21" s="913" t="s">
        <v>26</v>
      </c>
      <c r="BJ21" s="913" t="str">
        <f ca="1">BD21</f>
        <v>Argentina</v>
      </c>
      <c r="BK21" s="913" t="str">
        <f ca="1">BE21</f>
        <v>Arabia Saudita</v>
      </c>
      <c r="BL21" s="913" t="str">
        <f ca="1">BF21</f>
        <v>México</v>
      </c>
      <c r="BM21" s="913" t="str">
        <f ca="1">BG21</f>
        <v>Polonia</v>
      </c>
      <c r="BN21" s="913" t="s">
        <v>31</v>
      </c>
      <c r="BO21" s="913" t="s">
        <v>26</v>
      </c>
      <c r="BP21" s="913" t="str">
        <f ca="1">BD21</f>
        <v>Argentina</v>
      </c>
      <c r="BQ21" s="913" t="str">
        <f ca="1">BE21</f>
        <v>Arabia Saudita</v>
      </c>
      <c r="BR21" s="913" t="str">
        <f ca="1">BF21</f>
        <v>México</v>
      </c>
      <c r="BS21" s="913" t="str">
        <f ca="1">BG21</f>
        <v>Polonia</v>
      </c>
      <c r="BU21" s="914"/>
      <c r="BV21" s="914" t="s">
        <v>39</v>
      </c>
      <c r="BW21" s="914"/>
      <c r="BX21" s="914" t="s">
        <v>40</v>
      </c>
      <c r="BY21" s="914"/>
      <c r="CA21" s="914"/>
      <c r="CB21" s="914" t="s">
        <v>5</v>
      </c>
      <c r="CC21" s="914" t="s">
        <v>14</v>
      </c>
      <c r="CD21" s="914" t="s">
        <v>59</v>
      </c>
      <c r="CE21" s="914" t="s">
        <v>11</v>
      </c>
      <c r="CF21" s="914" t="s">
        <v>60</v>
      </c>
      <c r="CG21" s="914"/>
      <c r="CK21" s="909" t="s">
        <v>64</v>
      </c>
      <c r="CL21" s="909" t="s">
        <v>43</v>
      </c>
      <c r="CM21" s="909" t="s">
        <v>52</v>
      </c>
      <c r="CN21" s="909" t="s">
        <v>53</v>
      </c>
      <c r="CO21" s="909" t="s">
        <v>54</v>
      </c>
      <c r="CP21" s="909" t="s">
        <v>55</v>
      </c>
      <c r="CQ21" s="909" t="s">
        <v>56</v>
      </c>
      <c r="CR21" s="909" t="s">
        <v>57</v>
      </c>
      <c r="CS21" s="909" t="s">
        <v>58</v>
      </c>
      <c r="CT21" s="909" t="s">
        <v>53</v>
      </c>
      <c r="CU21" s="909" t="s">
        <v>53</v>
      </c>
      <c r="CV21" s="909" t="s">
        <v>54</v>
      </c>
      <c r="CW21" s="909" t="s">
        <v>57</v>
      </c>
      <c r="CX21" s="909" t="s">
        <v>56</v>
      </c>
      <c r="CY21" s="909" t="s">
        <v>56</v>
      </c>
      <c r="CZ21" s="909" t="s">
        <v>55</v>
      </c>
      <c r="DA21" s="909" t="s">
        <v>52</v>
      </c>
      <c r="DB21" s="909" t="s">
        <v>57</v>
      </c>
      <c r="DC21" s="909" t="s">
        <v>56</v>
      </c>
      <c r="DD21" s="909" t="s">
        <v>54</v>
      </c>
      <c r="DE21" s="909" t="s">
        <v>57</v>
      </c>
      <c r="DF21" s="909" t="s">
        <v>54</v>
      </c>
      <c r="DG21" s="909" t="s">
        <v>56</v>
      </c>
      <c r="EC21" s="911">
        <v>1</v>
      </c>
      <c r="ED21" s="911">
        <v>1</v>
      </c>
      <c r="EE21" s="911">
        <v>1</v>
      </c>
      <c r="EF21" s="911">
        <v>2</v>
      </c>
      <c r="EG21" s="911">
        <v>3</v>
      </c>
      <c r="EH21" s="911">
        <v>2</v>
      </c>
      <c r="EI21" s="911">
        <v>1</v>
      </c>
      <c r="EJ21" s="911">
        <v>2</v>
      </c>
      <c r="EK21" s="911">
        <v>3</v>
      </c>
      <c r="EL21" s="911">
        <v>4</v>
      </c>
      <c r="FI21" s="913"/>
      <c r="FK21" s="913"/>
      <c r="FM21" s="913"/>
    </row>
    <row r="22" spans="1:169">
      <c r="A22" s="871" t="str">
        <f t="array" aca="1" ref="A22" ca="1">IF(ROWS(A$21:A22)&lt;=$C$20,INDEX(INDIRECT(A$20),SMALL(IF(Nivell=$B$20,ROW(Nivell)-ROW(Equipos!$C$2)+1),ROWS(B$20:B21))),"")</f>
        <v>Arabia Saudita</v>
      </c>
      <c r="B22" s="872"/>
      <c r="C22" s="874"/>
      <c r="D22" s="152"/>
      <c r="E22" s="968"/>
      <c r="F22" s="21">
        <f>Horarios!C22</f>
        <v>44891.666666666664</v>
      </c>
      <c r="G22" s="22">
        <f>Horarios!C22</f>
        <v>44891.666666666664</v>
      </c>
      <c r="H22" s="21" t="s">
        <v>70</v>
      </c>
      <c r="I22" s="23" t="str">
        <f ca="1">A24</f>
        <v>Polonia</v>
      </c>
      <c r="J22" s="24" t="str">
        <f ca="1">VLOOKUP(I22,Equipos!$H$2:$I$33,2,0)</f>
        <v>🇵🇱</v>
      </c>
      <c r="K22" s="25">
        <v>2</v>
      </c>
      <c r="L22" s="25">
        <v>0</v>
      </c>
      <c r="M22" s="335" t="str">
        <f ca="1">VLOOKUP(N22,Equipos!$H$2:$I$33,2,0)</f>
        <v>🇸🇦</v>
      </c>
      <c r="N22" s="59" t="str">
        <f ca="1">A22</f>
        <v>Arabia Saudita</v>
      </c>
      <c r="O22" s="347">
        <f t="shared" si="13"/>
        <v>1</v>
      </c>
      <c r="P22" s="82"/>
      <c r="Q22" s="139">
        <v>1</v>
      </c>
      <c r="R22" s="140" t="str">
        <f ca="1">VLOOKUP(Q22,$AG$22:$AI$25,3,0)</f>
        <v>Argentina</v>
      </c>
      <c r="S22" s="141">
        <f ca="1">VLOOKUP(R22,$AI$22:$AR$25,2,FALSE)</f>
        <v>6</v>
      </c>
      <c r="T22" s="141">
        <f ca="1">VLOOKUP($R22,$AI$22:$AR$25,3,FALSE)</f>
        <v>3</v>
      </c>
      <c r="U22" s="141">
        <f ca="1">VLOOKUP($R22,$AI$22:$AR$25,4,FALSE)</f>
        <v>2</v>
      </c>
      <c r="V22" s="141">
        <f ca="1">VLOOKUP($R22,$AI$22:$AR$25,5,FALSE)</f>
        <v>0</v>
      </c>
      <c r="W22" s="141">
        <f ca="1">VLOOKUP($R22,$AI$22:$AR$25,6,FALSE)</f>
        <v>1</v>
      </c>
      <c r="X22" s="141">
        <f ca="1">VLOOKUP($R22,$AI$22:$AR$25,7,FALSE)</f>
        <v>5</v>
      </c>
      <c r="Y22" s="141">
        <f ca="1">VLOOKUP($R22,$AI$22:$AR$25,8,FALSE)</f>
        <v>2</v>
      </c>
      <c r="Z22" s="142">
        <f ca="1">VLOOKUP($R22,$AI$22:$AR$25,9,FALSE)</f>
        <v>3</v>
      </c>
      <c r="AA22" s="357">
        <f ca="1">IF(SUM($AK$22:$AK$25)=12,MIN(ABS(BY21-BY22),ABS(BY22-BY23)),100)</f>
        <v>2240000000.0299997</v>
      </c>
      <c r="AB22" s="94" t="str">
        <f ca="1">IF(AND(AA22&gt;=0,AA22&lt;90),VLOOKUP(Q22,$BU$22:$BV$25,2,0),"")</f>
        <v/>
      </c>
      <c r="AC22" s="73"/>
      <c r="AD22" s="74"/>
      <c r="AE22" s="328"/>
      <c r="AF22" s="910">
        <f ca="1">VLOOKUP($R22,$AI$22:$AR$25,10,FALSE)</f>
        <v>6686210499.9099998</v>
      </c>
      <c r="AG22" s="909">
        <f ca="1">RANK(AU22,$AU$22:$AU$25)</f>
        <v>1</v>
      </c>
      <c r="AH22" s="909">
        <f ca="1">RANK(AR22,$AR$22:$AR$25)</f>
        <v>1</v>
      </c>
      <c r="AI22" s="911" t="str">
        <f ca="1">A21</f>
        <v>Argentina</v>
      </c>
      <c r="AJ22" s="909">
        <f ca="1">AL22*3+AM22*1+AN22*0</f>
        <v>6</v>
      </c>
      <c r="AK22" s="909">
        <f ca="1">COUNTIFS($I$4:$I$65,AI22,$K$4:$K$65,"&lt;&gt;",$L$4:$L$65,"&lt;&gt;")+COUNTIFS($N$4:$N$65,AI22,$L$4:$L$65,"&lt;&gt;",$K$4:$K$65,"&lt;&gt;")</f>
        <v>3</v>
      </c>
      <c r="AL22" s="909">
        <f t="array" aca="1" ref="AL22" ca="1">SUM(($I$4:$I$65=AI22)*($K$4:$K$65&lt;&gt;"")*($L$4:$L$65&lt;&gt;"")*($K$4:$K$65&gt;$L$4:$L$65),($N$4:$N$65=AI22)*($K$4:$K$65&lt;&gt;"")*($L$4:$L$65&lt;&gt;"")*($K$4:$K$65&lt;$L$4:$L$65))</f>
        <v>2</v>
      </c>
      <c r="AM22" s="909">
        <f t="array" aca="1" ref="AM22" ca="1">SUM(($I$4:$I$65=AI22)*($K$4:$K$65&lt;&gt;"")*($L$4:$L$65&lt;&gt;"")*($K$4:$K$65=$L$4:$L$65),($N$4:$N$65=AI22)*($K$4:$K$65&lt;&gt;"")*($L$4:$L$65&lt;&gt;"")*($K$4:$K$65=$L$4:$L$65))</f>
        <v>0</v>
      </c>
      <c r="AN22" s="909">
        <f t="array" aca="1" ref="AN22" ca="1">SUM(($I$4:$I$65=AI22)*($L$4:$L$65&lt;&gt;"")*($K$4:$K$65&lt;&gt;"")*($K$4:$K$65&lt;$L$4:$L$65),($K$4:$K$65&lt;&gt;"")*($N$4:$N$65=AI22)*($L$4:$L$65&lt;&gt;"")*($K$4:$K$65&gt;$L$4:$L$65))</f>
        <v>1</v>
      </c>
      <c r="AO22" s="909">
        <f t="array" aca="1" ref="AO22" ca="1">SUMIFS($K$4:$K$65,$I$4:$I$65,AI22,$K$4:$K$65,"&lt;&gt;",$L$4:$L$65,"&lt;&gt;")+SUMIFS($L$4:$L$65,$N$4:$N$65,AI22,$K$4:$K$65,"&lt;&gt;",$L$4:$L$65,"&lt;&gt;")</f>
        <v>5</v>
      </c>
      <c r="AP22" s="909">
        <f t="array" aca="1" ref="AP22" ca="1">SUMIFS($K$4:$K$65,$N$4:$N$65,AI22,$K$4:$K$65,"&lt;&gt;",$L$4:$L$65,"&lt;&gt;")+SUMIFS($L$4:$L$65,$I$4:$I$65,AI22,$K$4:$K$65,"&lt;&gt;",$L$4:$L$65,"&lt;&gt;")</f>
        <v>2</v>
      </c>
      <c r="AQ22" s="909">
        <f ca="1">AO22-AP22</f>
        <v>3</v>
      </c>
      <c r="AR22" s="909">
        <f ca="1">IF(AK22=0,-($AW$11*VLOOKUP(AI22,Tabla3[[NombreEquipo]:[Rank]],3,FALSE)),AJ22*$AW$4+AQ22*$AW$5+AO22*$AW$6+BA22-($AW$11*VLOOKUP(AI22,Tabla3[[NombreEquipo]:[Rank]],3,FALSE)/100))</f>
        <v>6686210499.9099998</v>
      </c>
      <c r="AS22" s="909">
        <f ca="1">AH22</f>
        <v>1</v>
      </c>
      <c r="AT22" s="909"/>
      <c r="AU22" s="909">
        <f ca="1">IFERROR(AR22-VLOOKUP(AI22,$AB$22:$AC$25,2,0),AR22)</f>
        <v>6686210499.9099998</v>
      </c>
      <c r="AV22" s="909"/>
      <c r="AW22" s="912"/>
      <c r="AX22" s="909"/>
      <c r="AY22" s="916" t="str">
        <f ca="1">AI22</f>
        <v>Argentina</v>
      </c>
      <c r="AZ22" s="909">
        <f ca="1">COUNTIF(AJ22:AJ25,AJ22)</f>
        <v>1</v>
      </c>
      <c r="BA22" s="909">
        <f t="shared" ref="BA22:BA23" ca="1" si="14">(BB22*$AW$9)+(BH22*$AW$8)+(BN22*$AW$7)</f>
        <v>210500</v>
      </c>
      <c r="BB22" s="917">
        <f ca="1">RANK(BC22,BC22:BC25,1)</f>
        <v>1</v>
      </c>
      <c r="BC22" s="917">
        <f ca="1">SUM(IF(AND(AJ22=AJ23,AQ22=AQ23,AO22=AO23),BE22,0),IF(AND(AJ22=AJ24,AQ22=AQ24,AO22=AO24),BF22,0),IF(AND(AJ22=AJ25,AQ22=AQ25,AO22=AO25),BG22,0))</f>
        <v>0</v>
      </c>
      <c r="BD22" s="917">
        <v>0</v>
      </c>
      <c r="BE22" s="917">
        <f t="array" aca="1" ref="BE22" ca="1">SUMIFS($K$20:$K$25,$I$20:$I$25,$AY22,$K$20:$K$25,"&lt;&gt;",$L$20:$L$25,"&lt;&gt;",$N$20:$N$25,BE21)+SUMIFS($L$20:$L$25,$I$20:$I$25,BE21,$K$20:$K$25,"&lt;&gt;",$L$20:$L$25,"&lt;&gt;",$N$20:$N$25,$AY22)</f>
        <v>1</v>
      </c>
      <c r="BF22" s="917">
        <f t="array" aca="1" ref="BF22" ca="1">SUMIFS($K$20:$K$25,$I$20:$I$25,$AY22,$K$20:$K$25,"&lt;&gt;",$L$20:$L$25,"&lt;&gt;",$N$20:$N$25,BF21)+SUMIFS($L$20:$L$25,$I$20:$I$25,BF21,$K$20:$K$25,"&lt;&gt;",$L$20:$L$25,"&lt;&gt;",$N$20:$N$25,$AY22)</f>
        <v>2</v>
      </c>
      <c r="BG22" s="917">
        <f t="array" aca="1" ref="BG22" ca="1">SUMIFS($K$20:$K$25,$I$20:$I$25,$AY22,$K$20:$K$25,"&lt;&gt;",$L$20:$L$25,"&lt;&gt;",$N$20:$N$25,BG21)+SUMIFS($L$20:$L$25,$I$20:$I$25,BG21,$K$20:$K$25,"&lt;&gt;",$L$20:$L$25,"&lt;&gt;",$N$20:$N$25,$AY22)</f>
        <v>2</v>
      </c>
      <c r="BH22" s="917">
        <f ca="1">RANK(BI22,BI22:BI25,1)</f>
        <v>1</v>
      </c>
      <c r="BI22" s="917">
        <f ca="1">SUM(IF(AND(AJ22=AJ23,AQ22=AQ23,AO22=AO23),BK22,0),IF(AND(AJ22=AJ24,AQ22=AQ24,AO22=AO24),BL22,0),IF(AND(AJ22=AJ25,AQ22=AQ25,AO22=AO25),BM22,0))</f>
        <v>0</v>
      </c>
      <c r="BJ22" s="917">
        <v>0</v>
      </c>
      <c r="BK22" s="917">
        <f ca="1">BE22-BD23</f>
        <v>-1</v>
      </c>
      <c r="BL22" s="917">
        <f ca="1">BF22-BD24</f>
        <v>2</v>
      </c>
      <c r="BM22" s="917">
        <f ca="1">BG22-BD25</f>
        <v>2</v>
      </c>
      <c r="BN22" s="917">
        <f ca="1">RANK(BO22,BO22:BO25,1)</f>
        <v>1</v>
      </c>
      <c r="BO22" s="917">
        <f ca="1">SUM(IF(AND(AJ22=AJ23,AQ22=AQ23,AO22=AO23),BQ22,0),IF(AND(AJ22=AJ24,AQ22=AQ24,AO22=AO24),BR22,0),IF(AND(AJ22=AJ25,AQ22=AQ25,AO22=AO25),BS22,0))</f>
        <v>0</v>
      </c>
      <c r="BP22" s="917">
        <v>0</v>
      </c>
      <c r="BQ22" s="917">
        <f t="array" aca="1" ref="BQ22" ca="1">SUM((I$4:I$49=AY22)*(N$4:N$49=BQ21)*(K$4:K$49&lt;&gt;"")*(L$4:L$49&lt;&gt;"")*(K$4:K$49&gt;L$4:L$49)*3,(N$4:N$49=AY22)*(I$4:I$49=BQ21)*(K$4:K$49&lt;&gt;"")*(L$4:L$49&lt;&gt;"")*(K$4:K$49=L$4:L$49)*1,(N$4:N$49=AY22)*(I$4:I$49=BQ21)*(K$4:K$49&lt;&gt;"")*(L$4:L$49&lt;&gt;"")*(K$4:K$49&lt;L$4:L$49)*3,(I$4:I$49=AY22)*(N$4:N$49=BQ21)*(K$4:K$49&lt;&gt;"")*(L$4:L$49&lt;&gt;"")*(K$4:K$49=L$4:L$49)*1)</f>
        <v>0</v>
      </c>
      <c r="BR22" s="917">
        <f t="array" aca="1" ref="BR22" ca="1">SUM((I$4:I$49=AY22)*(N$4:N$49=BR21)*(K$4:K$49&lt;&gt;"")*(L$4:L$49&lt;&gt;"")*(K$4:K$49&gt;L$4:L$49)*3,(N$4:N$49=AY22)*(I$4:I$49=BR21)*(K$4:K$49&lt;&gt;"")*(L$4:L$49&lt;&gt;"")*(K$4:K$49=L$4:L$49)*1,(N$4:N$49=AY22)*(I$4:I$49=BR21)*(K$4:K$49&lt;&gt;"")*(L$4:L$49&lt;&gt;"")*(K$4:K$49&lt;L$4:L$49)*3,(I$4:I$49=AY22)*(N$4:N$49=BR21)*(K$4:K$49&lt;&gt;"")*(L$4:L$49&lt;&gt;"")*(K$4:K$49=L$4:L$49)*1)</f>
        <v>3</v>
      </c>
      <c r="BS22" s="917">
        <f t="array" aca="1" ref="BS22" ca="1">SUM((I$4:I$49=AY22)*(N$4:N$49=BS21)*(K$4:K$49&lt;&gt;"")*(L$4:L$49&lt;&gt;"")*(K$4:K$49&gt;L$4:L$49)*3,(N$4:N$49=AY22)*(I$4:I$49=BS21)*(K$4:K$49&lt;&gt;"")*(L$4:L$49&lt;&gt;"")*(K$4:K$49=L$4:L$49)*1,(N$4:N$49=AY22)*(I$4:I$49=BS21)*(K$4:K$49&lt;&gt;"")*(L$4:L$49&lt;&gt;"")*(K$4:K$49&lt;L$4:L$49)*3,(I$4:I$49=AY22)*(N$4:N$49=BS21)*(K$4:K$49&lt;&gt;"")*(L$4:L$49&lt;&gt;"")*(K$4:K$49=L$4:L$49)*1)</f>
        <v>3</v>
      </c>
      <c r="BT22" s="911">
        <v>1</v>
      </c>
      <c r="BU22" s="911">
        <f ca="1">RANK(BW22,$BW$22:$BW$25)</f>
        <v>1</v>
      </c>
      <c r="BV22" s="911" t="str">
        <f ca="1">A21</f>
        <v>Argentina</v>
      </c>
      <c r="BW22" s="911">
        <f t="shared" ref="BW22" ca="1" si="15">AR22</f>
        <v>6686210499.9099998</v>
      </c>
      <c r="BX22" s="911" t="str">
        <f ca="1">VLOOKUP(Q22,$AH$22:$AI$25,2,0)</f>
        <v>Argentina</v>
      </c>
      <c r="BY22" s="911">
        <f ca="1">VLOOKUP($BX22,$AI$22:$AR$25,10,FALSE)</f>
        <v>6686210499.9099998</v>
      </c>
      <c r="CA22" s="911">
        <v>1</v>
      </c>
      <c r="CB22" s="911" t="str">
        <f ca="1">VLOOKUP(CA22,$AH$22:$AI$25,2,0)</f>
        <v>Argentina</v>
      </c>
      <c r="CC22" s="911">
        <f ca="1">VLOOKUP(CB22,$AI$22:$AR$25,2,FALSE)</f>
        <v>6</v>
      </c>
      <c r="CD22" s="918">
        <f ca="1">IF(SUM($AK$22:$AK$25)=12,MIN(ABS(BY21-BY22),ABS(BY22-BY23)),100)</f>
        <v>2240000000.0299997</v>
      </c>
      <c r="CE22" s="911">
        <f ca="1">VLOOKUP($CB22,$AI$22:$AR$25,9,FALSE)</f>
        <v>3</v>
      </c>
      <c r="CF22" s="911">
        <f ca="1">VLOOKUP($CB22,$AI$22:$AR$25,7,FALSE)</f>
        <v>5</v>
      </c>
      <c r="CH22" s="911">
        <f t="array" aca="1" ref="CH22" ca="1">IF($CI$22=$CL$21,$EC$21:$EC$24,IF($CI$22=$CM$21,$ED$21:$ED$23,IF(OR($CI$22=$CN$21,$CI$22=$CO$21),$EE$21:$EE$22,$EI$21)))</f>
        <v>1</v>
      </c>
      <c r="CI22" s="909" t="str">
        <f ca="1">IFERROR(HLOOKUP(4,CL20:DI21,2,0),CS21)</f>
        <v>COM_8</v>
      </c>
      <c r="CK22" s="909">
        <v>1</v>
      </c>
      <c r="CL22" s="909">
        <f t="array" aca="1" ref="CL22" ca="1">IF(AND($CC$22:$CC$25=$CC$22,$CD$22:$CD$25&lt;90,$AQ$22:$AQ$25=$AQ$22,$CF$22:$CF$25=$CF$22),1,0)</f>
        <v>0</v>
      </c>
      <c r="CM22" s="909">
        <f t="array" aca="1" ref="CM22" ca="1">IF(AND($CC$22:$CC$24=$CC$22,$CD$22:$CD$24&lt;90,$CC$22&lt;&gt;$CC$25),1,0)</f>
        <v>0</v>
      </c>
      <c r="CN22" s="909">
        <f t="array" aca="1" ref="CN22" ca="1">IF(AND($CC$22:$CC$23=$CC$22,$CD$22:$CD$23&lt;90,$CC$22&lt;&gt;$CC$24),1,0)</f>
        <v>0</v>
      </c>
      <c r="CO22" s="909">
        <f t="array" aca="1" ref="CO22" ca="1">IF(AND($CC$22:$CC$23=$CC$22,$CD$22:$CD$23&lt;90,$CC$22&lt;&gt;$CC$24),1,0)</f>
        <v>0</v>
      </c>
      <c r="CP22" s="909">
        <f t="array" aca="1" ref="CP22" ca="1">IF(AND($CC$23:$CC$25=$CC$23,$CD$23:$CD$25&lt;90,$CC$22&lt;&gt;$CC$23),1,0)</f>
        <v>0</v>
      </c>
      <c r="CQ22" s="909">
        <f t="array" aca="1" ref="CQ22" ca="1">IF(AND($CC$22&lt;&gt;$CC$23,$CC$22&lt;&gt;$CC$25),1,0)</f>
        <v>1</v>
      </c>
      <c r="CR22" s="909">
        <f t="array" aca="1" ref="CR22" ca="1">IF(AND($CC$22&lt;&gt;$CC$23,$CC$22&lt;&gt;$CC$25),1,0)</f>
        <v>1</v>
      </c>
      <c r="CS22" s="909">
        <f t="array" aca="1" ref="CS22" ca="1">IF(AND($CC$22&lt;&gt;$CC$23,$CC$22&lt;&gt;$CC$25),1,0)</f>
        <v>1</v>
      </c>
      <c r="CT22" s="909">
        <f t="array" aca="1" ref="CT22" ca="1">IF(AND($CC$22:$CC$25=$CC$22,$CD$22:$CD$25&lt;90,$CE$22:$CE$23=$CE$22,$CE$22&lt;&gt;$CE$24),1,0)</f>
        <v>0</v>
      </c>
      <c r="CU22" s="909">
        <f t="array" aca="1" ref="CU22" ca="1">IF(AND($CC$22:$CC$25=$CC$22,$CD$22:$CD$25&lt;90,$CE$22:$CE$25=$CE$22,$CF$22=$CF$23,$CF$22&lt;&gt;$CF$24),1,0)</f>
        <v>0</v>
      </c>
      <c r="CV22" s="909">
        <f t="array" aca="1" ref="CV22" ca="1">IF(AND($CC$22:$CC$24=$CC$22,$CD$22:$CD$23&lt;90,$CD$24&gt;90),1,0)</f>
        <v>0</v>
      </c>
      <c r="CW22" s="909">
        <f t="array" aca="1" ref="CW22" ca="1">IF(AND($CC$22&lt;&gt;$CC$23,$CC$22&lt;&gt;$CC$24),1,0)</f>
        <v>1</v>
      </c>
      <c r="CX22" s="909">
        <f t="array" aca="1" ref="CX22" ca="1">IF(AND($CC$22&lt;&gt;$CC$23,$CC$22&lt;&gt;$CC$24),1,0)</f>
        <v>1</v>
      </c>
      <c r="CY22" s="909">
        <f t="array" aca="1" ref="CY22" ca="1">IF(AND($CC$22&lt;&gt;$CC$25,$CC$22:$CC$24=$CC$22,$CD$22&gt;90,$CD$23:$CD$24&lt;90),1,0)</f>
        <v>0</v>
      </c>
      <c r="CZ22" s="909">
        <f t="array" aca="1" ref="CZ22" ca="1">IF(AND($CC$22:$CC$25=$CC$22,$CD$23:$CD$25&lt;90,$CD$22&lt;&gt;$CD$23),1,0)</f>
        <v>0</v>
      </c>
      <c r="DA22" s="909">
        <f t="array" aca="1" ref="DA22" ca="1">IF(AND($CC$22:$CC$25=$CC$22,$CD$22:$CD$24&lt;90,$CD$22&lt;&gt;$CD$25),1,0)</f>
        <v>0</v>
      </c>
      <c r="DB22" s="909">
        <f t="array" aca="1" ref="DB22" ca="1">IF(AND($CC$22:$CC$25=$CC$22,$CD$22:$CD$23&gt;90,$CD$24:$CD$25&lt;90,$CE$22:$CE$25=$CE$22,$CF$22&gt;$CF$23,$CF$22&gt;$CF$24,$CF$22&gt;$CF$25),1,0)</f>
        <v>0</v>
      </c>
      <c r="DC22" s="909">
        <f t="array" aca="1" ref="DC22" ca="1">IF(AND($CC$22:$CC$25=$CC$22,$CD$22&gt;90,$CD$23:$CD$24&lt;90,$CD$25&gt;90,$CE$22:$CE$25=$CE$22,$CF$22&gt;$CF$23,$CF$22&gt;$CF$24,$CF$22&gt;$CF$25),1,0)</f>
        <v>0</v>
      </c>
      <c r="DD22" s="909">
        <f t="array" aca="1" ref="DD22" ca="1">IF(AND($CC$22:$CC$25=$CC$22,$CD$22:$CD$23&lt;90,$CD$24:$CD$25&gt;90,$CE$22:$CE$25=$CE$22,$CF$22=$CF$23,$CF$22&gt;$CF$24,$CF$22&gt;$CF$25),1,0)</f>
        <v>0</v>
      </c>
      <c r="DE22" s="909">
        <f t="array" aca="1" ref="DE22" ca="1">IF(AND($CC$22:$CC$25=$CC$22,$CD$22:$CD$23&gt;90,$CD$24:$CD$25&lt;90,$CE$22:$CE$25=$CE$22,$CF$22&gt;$CF$23,$CF$23:$CF$25=$CF$23),1,0)</f>
        <v>0</v>
      </c>
      <c r="DF22" s="909">
        <f t="array" aca="1" ref="DF22" ca="1">IF(AND($CC$22:$CC$25=$CC$22,$CD$22:$CD$23&lt;90,$CD$24:$CD$25&gt;90,$CE$22:$CE$25=$CE$22,$CF$22:$CF$24=$CF$22,$CF$22&gt;$CF$25),1,0)</f>
        <v>0</v>
      </c>
      <c r="DG22" s="909">
        <f t="array" aca="1" ref="DG22" ca="1">IF(AND($CC$22:$CC$25=$CC$22,$CD$22&gt;90,$CD$25&gt;90,$CD$23:$CD$24&lt;90,$CE$22:$CE$25=$CE$22,$CF$22&gt;$CF$23:$CF$25),1,0)</f>
        <v>0</v>
      </c>
      <c r="EC22" s="911">
        <v>2</v>
      </c>
      <c r="ED22" s="911">
        <v>2</v>
      </c>
      <c r="EE22" s="911">
        <v>2</v>
      </c>
      <c r="EF22" s="911">
        <v>3</v>
      </c>
      <c r="EG22" s="911">
        <v>4</v>
      </c>
      <c r="EH22" s="911">
        <v>3</v>
      </c>
      <c r="EI22" s="911"/>
      <c r="EJ22" s="911"/>
      <c r="EK22" s="911"/>
      <c r="EL22" s="911"/>
      <c r="FI22" s="917"/>
      <c r="FK22" s="917"/>
      <c r="FM22" s="917"/>
    </row>
    <row r="23" spans="1:169">
      <c r="A23" s="871" t="str">
        <f t="array" aca="1" ref="A23" ca="1">IF(ROWS(A$21:A23)&lt;=$C$20,INDEX(INDIRECT(A$20),SMALL(IF(Nivell=$B$20,ROW(Nivell)-ROW(Equipos!$C$2)+1),ROWS(B$20:B22))),"")</f>
        <v>México</v>
      </c>
      <c r="B23" s="872"/>
      <c r="C23" s="857"/>
      <c r="D23" s="152"/>
      <c r="E23" s="968"/>
      <c r="F23" s="21">
        <f>Horarios!C23</f>
        <v>44891.916666666664</v>
      </c>
      <c r="G23" s="22">
        <f>Horarios!C23</f>
        <v>44891.916666666664</v>
      </c>
      <c r="H23" s="21" t="s">
        <v>70</v>
      </c>
      <c r="I23" s="23" t="str">
        <f ca="1">A21</f>
        <v>Argentina</v>
      </c>
      <c r="J23" s="24" t="str">
        <f ca="1">VLOOKUP(I23,Equipos!$H$2:$I$33,2,0)</f>
        <v>🇦🇷</v>
      </c>
      <c r="K23" s="25">
        <v>2</v>
      </c>
      <c r="L23" s="25">
        <v>0</v>
      </c>
      <c r="M23" s="335" t="str">
        <f ca="1">VLOOKUP(N23,Equipos!$H$2:$I$33,2,0)</f>
        <v>🇲🇽</v>
      </c>
      <c r="N23" s="59" t="str">
        <f ca="1">A23</f>
        <v>México</v>
      </c>
      <c r="O23" s="347">
        <f t="shared" si="13"/>
        <v>1</v>
      </c>
      <c r="P23" s="82"/>
      <c r="Q23" s="143">
        <v>2</v>
      </c>
      <c r="R23" s="5" t="str">
        <f ca="1">VLOOKUP(Q23,$AG$22:$AI$25,3,0)</f>
        <v>Polonia</v>
      </c>
      <c r="S23" s="4">
        <f ca="1">VLOOKUP(R23,$AI$22:$AR$25,2,FALSE)</f>
        <v>4</v>
      </c>
      <c r="T23" s="4">
        <f ca="1">VLOOKUP($R23,$AI$22:$AR$25,3,FALSE)</f>
        <v>3</v>
      </c>
      <c r="U23" s="4">
        <f ca="1">VLOOKUP($R23,$AI$22:$AR$25,4,FALSE)</f>
        <v>1</v>
      </c>
      <c r="V23" s="4">
        <f ca="1">VLOOKUP($R23,$AI$22:$AR$25,5,FALSE)</f>
        <v>1</v>
      </c>
      <c r="W23" s="4">
        <f ca="1">VLOOKUP($R23,$AI$22:$AR$25,6,FALSE)</f>
        <v>1</v>
      </c>
      <c r="X23" s="4">
        <f ca="1">VLOOKUP($R23,$AI$22:$AR$25,7,FALSE)</f>
        <v>2</v>
      </c>
      <c r="Y23" s="4">
        <f ca="1">VLOOKUP($R23,$AI$22:$AR$25,8,FALSE)</f>
        <v>2</v>
      </c>
      <c r="Z23" s="144">
        <f ca="1">VLOOKUP($R23,$AI$22:$AR$25,9,FALSE)</f>
        <v>0</v>
      </c>
      <c r="AA23" s="357">
        <f ca="1">IF(SUM($AK$22:$AK$25)=12,MIN(ABS(BY22-BY23),ABS(BY23-BY24)),100)</f>
        <v>4999999.9899997711</v>
      </c>
      <c r="AB23" s="94" t="str">
        <f ca="1">IF(AND(AA23&gt;=0,AA23&lt;90),VLOOKUP(Q23,$BU$22:$BV$25,2,0),"")</f>
        <v/>
      </c>
      <c r="AC23" s="73"/>
      <c r="AD23" s="74"/>
      <c r="AE23" s="328"/>
      <c r="AF23" s="910">
        <f ca="1">VLOOKUP($R23,$AI$22:$AR$25,10,FALSE)</f>
        <v>4446210499.8800001</v>
      </c>
      <c r="AG23" s="909">
        <f ca="1">RANK(AU23,$AU$22:$AU$25)</f>
        <v>4</v>
      </c>
      <c r="AH23" s="909">
        <f ca="1">RANK(AR23,$AR$22:$AR$25)</f>
        <v>4</v>
      </c>
      <c r="AI23" s="911" t="str">
        <f ca="1">A22</f>
        <v>Arabia Saudita</v>
      </c>
      <c r="AJ23" s="909">
        <f ca="1">AL23*3+AM23*1+AN23*0</f>
        <v>3</v>
      </c>
      <c r="AK23" s="909">
        <f ca="1">COUNTIFS($I$4:$I$65,AI23,$K$4:$K$65,"&lt;&gt;",$L$4:$L$65,"&lt;&gt;")+COUNTIFS($N$4:$N$65,AI23,$L$4:$L$65,"&lt;&gt;",$K$4:$K$65,"&lt;&gt;")</f>
        <v>3</v>
      </c>
      <c r="AL23" s="909">
        <f t="array" aca="1" ref="AL23" ca="1">SUM(($I$4:$I$65=AI23)*($K$4:$K$65&lt;&gt;"")*($L$4:$L$65&lt;&gt;"")*($K$4:$K$65&gt;$L$4:$L$65),($N$4:$N$65=AI23)*($K$4:$K$65&lt;&gt;"")*($L$4:$L$65&lt;&gt;"")*($K$4:$K$65&lt;$L$4:$L$65))</f>
        <v>1</v>
      </c>
      <c r="AM23" s="909">
        <f t="array" aca="1" ref="AM23" ca="1">SUM(($I$4:$I$65=AI23)*($K$4:$K$65&lt;&gt;"")*($L$4:$L$65&lt;&gt;"")*($K$4:$K$65=$L$4:$L$65),($N$4:$N$65=AI23)*($K$4:$K$65&lt;&gt;"")*($L$4:$L$65&lt;&gt;"")*($K$4:$K$65=$L$4:$L$65))</f>
        <v>0</v>
      </c>
      <c r="AN23" s="909">
        <f t="array" aca="1" ref="AN23" ca="1">SUM(($I$4:$I$65=AI23)*($L$4:$L$65&lt;&gt;"")*($K$4:$K$65&lt;&gt;"")*($K$4:$K$65&lt;$L$4:$L$65),($K$4:$K$65&lt;&gt;"")*($N$4:$N$65=AI23)*($L$4:$L$65&lt;&gt;"")*($K$4:$K$65&gt;$L$4:$L$65))</f>
        <v>2</v>
      </c>
      <c r="AO23" s="909">
        <f t="array" aca="1" ref="AO23" ca="1">SUMIFS($K$4:$K$65,$I$4:$I$65,AI23,$K$4:$K$65,"&lt;&gt;",$L$4:$L$65,"&lt;&gt;")+SUMIFS($L$4:$L$65,$N$4:$N$65,AI23,$K$4:$K$65,"&lt;&gt;",$L$4:$L$65,"&lt;&gt;")</f>
        <v>3</v>
      </c>
      <c r="AP23" s="909">
        <f t="array" aca="1" ref="AP23" ca="1">SUMIFS($K$4:$K$65,$N$4:$N$65,AI23,$K$4:$K$65,"&lt;&gt;",$L$4:$L$65,"&lt;&gt;")+SUMIFS($L$4:$L$65,$I$4:$I$65,AI23,$K$4:$K$65,"&lt;&gt;",$L$4:$L$65,"&lt;&gt;")</f>
        <v>5</v>
      </c>
      <c r="AQ23" s="909">
        <f ca="1">AO23-AP23</f>
        <v>-2</v>
      </c>
      <c r="AR23" s="909">
        <f ca="1">IF(AK23=0,-($AW$11*VLOOKUP(AI23,Tabla3[[NombreEquipo]:[Rank]],3,FALSE)),AJ23*$AW$4+AQ23*$AW$5+AO23*$AW$6+BA23-($AW$11*VLOOKUP(AI23,Tabla3[[NombreEquipo]:[Rank]],3,FALSE)/100))</f>
        <v>3326210499.9000001</v>
      </c>
      <c r="AS23" s="909">
        <f ca="1">AH23</f>
        <v>4</v>
      </c>
      <c r="AT23" s="909"/>
      <c r="AU23" s="909">
        <f ca="1">IFERROR(AR23-VLOOKUP(AI23,$AB$22:$AC$25,2,0),AR23)</f>
        <v>3326210499.9000001</v>
      </c>
      <c r="AV23" s="909"/>
      <c r="AW23" s="912"/>
      <c r="AX23" s="909"/>
      <c r="AY23" s="916" t="str">
        <f ca="1">AI23</f>
        <v>Arabia Saudita</v>
      </c>
      <c r="AZ23" s="909">
        <f ca="1">COUNTIF(AJ22:AJ25,AJ23)</f>
        <v>1</v>
      </c>
      <c r="BA23" s="909">
        <f t="shared" ca="1" si="14"/>
        <v>210500</v>
      </c>
      <c r="BB23" s="917">
        <f ca="1">RANK(BC23,BC22:BC25,1)</f>
        <v>1</v>
      </c>
      <c r="BC23" s="917">
        <f ca="1">SUM(IF(AND(AJ23=AJ24,AQ23=AQ24,AO23=AO24),BF23,0),IF(AND(AJ23=AJ25,AQ23=AQ25,AO23=AO25),BG23,0),IF(AND(AJ23=AJ22,AQ23=AQ22,AO23=AO22),BD23,0))</f>
        <v>0</v>
      </c>
      <c r="BD23" s="917">
        <f t="array" aca="1" ref="BD23" ca="1">SUMIFS($K$20:$K$25,$I$20:$I$25,$AY23,$K$20:$K$25,"&lt;&gt;",$L$20:$L$25,"&lt;&gt;",$N$20:$N$25,BD21)+SUMIFS($L$20:$L$25,$I$20:$I$25,BD21,$K$20:$K$25,"&lt;&gt;",$L$20:$L$25,"&lt;&gt;",$N$20:$N$25,$AY23)</f>
        <v>2</v>
      </c>
      <c r="BE23" s="917">
        <v>0</v>
      </c>
      <c r="BF23" s="917">
        <f t="array" aca="1" ref="BF23" ca="1">SUMIFS($K$20:$K$25,$I$20:$I$25,$AY23,$K$20:$K$25,"&lt;&gt;",$L$20:$L$25,"&lt;&gt;",$N$20:$N$25,BF21)+SUMIFS($L$20:$L$25,$I$20:$I$25,BF21,$K$20:$K$25,"&lt;&gt;",$L$20:$L$25,"&lt;&gt;",$N$20:$N$25,$AY23)</f>
        <v>1</v>
      </c>
      <c r="BG23" s="917">
        <f t="array" aca="1" ref="BG23" ca="1">SUMIFS($K$20:$K$25,$I$20:$I$25,$AY23,$K$20:$K$25,"&lt;&gt;",$L$20:$L$25,"&lt;&gt;",$N$20:$N$25,BG21)+SUMIFS($L$20:$L$25,$I$20:$I$25,BG21,$K$20:$K$25,"&lt;&gt;",$L$20:$L$25,"&lt;&gt;",$N$20:$N$25,$AY23)</f>
        <v>0</v>
      </c>
      <c r="BH23" s="917">
        <f ca="1">RANK(BI23,BI22:BI25,1)</f>
        <v>1</v>
      </c>
      <c r="BI23" s="917">
        <f ca="1">SUM(IF(AND(AJ23=AJ24,AQ23=AQ24,AO23=AO24),BL23,0),IF(AND(AJ23=AJ25,AQ23=AQ25,AO23=AO25),BM23,0),IF(AND(AJ23=AJ22,AQ23=AQ22,AO23=AO22),BJ23,0))</f>
        <v>0</v>
      </c>
      <c r="BJ23" s="917">
        <f ca="1">BD23-BE22</f>
        <v>1</v>
      </c>
      <c r="BK23" s="917">
        <v>0</v>
      </c>
      <c r="BL23" s="917">
        <f ca="1">BF23-BE24</f>
        <v>-1</v>
      </c>
      <c r="BM23" s="917">
        <f ca="1">BG23-BE25</f>
        <v>-2</v>
      </c>
      <c r="BN23" s="917">
        <f ca="1">RANK(BO23,BO22:BO25,1)</f>
        <v>1</v>
      </c>
      <c r="BO23" s="917">
        <f ca="1">SUM(IF(AND(AJ23=AJ24,AQ23=AQ24,AO23=AO24),BR23,0),IF(AND(AJ23=AJ25,AQ23=AQ25,AO23=AO25),BS23,0),IF(AND(AJ23=AJ22,AQ23=AQ22,AO23=AO22),BP23,0))</f>
        <v>0</v>
      </c>
      <c r="BP23" s="917">
        <f t="array" aca="1" ref="BP23" ca="1">SUM((I$4:I$49=AY23)*(N$4:N$49=BP21)*(K$4:K$49&lt;&gt;"")*(L$4:L$49&lt;&gt;"")*(K$4:K$49&gt;L$4:L$49)*3,(N$4:N$49=AY23)*(I$4:I$49=BP21)*(K$4:K$49&lt;&gt;"")*(L$4:L$49&lt;&gt;"")*(K$4:K$49=L$4:L$49)*1,(N$4:N$49=AY23)*(I$4:I$49=BP21)*(K$4:K$49&lt;&gt;"")*(L$4:L$49&lt;&gt;"")*(K$4:K$49&lt;L$4:L$49)*3,(I$4:I$49=AY23)*(N$4:N$49=BP21)*(K$4:K$49&lt;&gt;"")*(L$4:L$49&lt;&gt;"")*(K$4:K$49=L$4:L$49)*1)</f>
        <v>3</v>
      </c>
      <c r="BQ23" s="917">
        <v>0</v>
      </c>
      <c r="BR23" s="917">
        <f t="array" aca="1" ref="BR23" ca="1">SUM((I$4:I$49=AY23)*(N$4:N$49=BR21)*(K$4:K$49&lt;&gt;"")*(L$4:L$49&lt;&gt;"")*(K$4:K$49&gt;L$4:L$49)*3,(N$4:N$49=AY23)*(I$4:I$49=BR21)*(K$4:K$49&lt;&gt;"")*(L$4:L$49&lt;&gt;"")*(K$4:K$49=L$4:L$49)*1,(N$4:N$49=AY23)*(I$4:I$49=BR21)*(K$4:K$49&lt;&gt;"")*(L$4:L$49&lt;&gt;"")*(K$4:K$49&lt;L$4:L$49)*3,(I$4:I$49=AY23)*(N$4:N$49=BR21)*(K$4:K$49&lt;&gt;"")*(L$4:L$49&lt;&gt;"")*(K$4:K$49=L$4:L$49)*1)</f>
        <v>0</v>
      </c>
      <c r="BS23" s="917">
        <f t="array" aca="1" ref="BS23" ca="1">SUM((I$4:I$49=AY23)*(N$4:N$49=BS21)*(K$4:K$49&lt;&gt;"")*(L$4:L$49&lt;&gt;"")*(K$4:K$49&gt;L$4:L$49)*3,(N$4:N$49=AY23)*(I$4:I$49=BS21)*(K$4:K$49&lt;&gt;"")*(L$4:L$49&lt;&gt;"")*(K$4:K$49=L$4:L$49)*1,(N$4:N$49=AY23)*(I$4:I$49=BS21)*(K$4:K$49&lt;&gt;"")*(L$4:L$49&lt;&gt;"")*(K$4:K$49&lt;L$4:L$49)*3,(I$4:I$49=AY23)*(N$4:N$49=BS21)*(K$4:K$49&lt;&gt;"")*(L$4:L$49&lt;&gt;"")*(K$4:K$49=L$4:L$49)*1)</f>
        <v>0</v>
      </c>
      <c r="BT23" s="911">
        <v>2</v>
      </c>
      <c r="BU23" s="911">
        <f ca="1">RANK(BW23,$BW$22:$BW$25)</f>
        <v>4</v>
      </c>
      <c r="BV23" s="911" t="str">
        <f ca="1">A22</f>
        <v>Arabia Saudita</v>
      </c>
      <c r="BW23" s="911">
        <f t="shared" ca="1" si="9"/>
        <v>3326210499.9000001</v>
      </c>
      <c r="BX23" s="911" t="str">
        <f ca="1">VLOOKUP(Q23,$AH$22:$AI$25,2,0)</f>
        <v>Polonia</v>
      </c>
      <c r="BY23" s="911">
        <f ca="1">VLOOKUP($BX23,$AI$22:$AR$25,10,FALSE)</f>
        <v>4446210499.8800001</v>
      </c>
      <c r="CA23" s="911">
        <v>2</v>
      </c>
      <c r="CB23" s="911" t="str">
        <f ca="1">VLOOKUP(CA23,$AH$22:$AI$25,2,0)</f>
        <v>Polonia</v>
      </c>
      <c r="CC23" s="911">
        <f ca="1">VLOOKUP(CB23,$AI$22:$AR$25,2,FALSE)</f>
        <v>4</v>
      </c>
      <c r="CD23" s="918">
        <f ca="1">IF(SUM($AK$22:$AK$25)=12,MIN(ABS(BY22-BY23),ABS(BY23-BY24)),100)</f>
        <v>4999999.9899997711</v>
      </c>
      <c r="CE23" s="911">
        <f ca="1">VLOOKUP($CB23,$AI$22:$AR$25,9,FALSE)</f>
        <v>0</v>
      </c>
      <c r="CF23" s="911">
        <f ca="1">VLOOKUP($CB23,$AI$22:$AR$25,7,FALSE)</f>
        <v>2</v>
      </c>
      <c r="CH23" s="911">
        <f t="array" aca="1" ref="CH23" ca="1">IF($CI$22=$CL$21,$EC$21:$EC$24,IF($CI$22=$CM$21,$ED$21:$ED$23,IF(OR($CI$22=$CN$21,$CI$22=$CO$21),$EE$21:$EE$22,IF($CI$22=$CP$21,$EF$21:$EF$23,(IF($CI$22=$CQ$21,$EH$21:$EH$22,$EJ$21))))))</f>
        <v>2</v>
      </c>
      <c r="CK23" s="909">
        <v>2</v>
      </c>
      <c r="CL23" s="909">
        <f t="array" aca="1" ref="CL23" ca="1">IF(AND($CC$22:$CC$25=$CC$23,$CD$22:$CD$25&lt;90,$AQ$22:$AQ$25=$AQ$23,$CF$22:$CF$25=$CF$23),1,0)</f>
        <v>0</v>
      </c>
      <c r="CM23" s="909">
        <f t="array" aca="1" ref="CM23" ca="1">IF(AND($CC$22:$CC$24=$CC$23,$CD$22:$CD$24&lt;90,$CC$23&lt;&gt;$CC$25),1,0)</f>
        <v>0</v>
      </c>
      <c r="CN23" s="909">
        <f t="array" aca="1" ref="CN23" ca="1">IF(AND($CC$22:$CC$23=$CC$22,$CD$22:$CD$23&lt;90,$CC$22&lt;&gt;$CC$24),1,0)</f>
        <v>0</v>
      </c>
      <c r="CO23" s="909">
        <f t="array" aca="1" ref="CO23" ca="1">IF(AND($CC$22:$CC$23=$CC$22,$CD$22:$CD$23&lt;90,$CC$22&lt;&gt;$CC$24),1,0)</f>
        <v>0</v>
      </c>
      <c r="CP23" s="909">
        <f t="array" aca="1" ref="CP23" ca="1">IF(AND($CC$23:$CC$25=$CC$23,$CD$23:$CD$25&lt;90,$CC$22&lt;&gt;$CC$23),1,0)</f>
        <v>0</v>
      </c>
      <c r="CQ23" s="909">
        <f t="array" aca="1" ref="CQ23" ca="1">IF(AND($CC$23:$CC$24=$CC$23,$CD$23:$CD$24&lt;90,$CC$23&lt;&gt;$CC$22,$CC$23&lt;&gt;$CC$25),1,0)</f>
        <v>0</v>
      </c>
      <c r="CR23" s="909">
        <f t="array" aca="1" ref="CR23" ca="1">IF(AND($CC$23&lt;&gt;$CC$22,$CC$23&lt;&gt;$CC$24),1,0)</f>
        <v>0</v>
      </c>
      <c r="CS23" s="909">
        <f t="array" aca="1" ref="CS23" ca="1">IF(AND($CC$23&lt;&gt;$CC$22,$CC$23&lt;&gt;$CC$24),1,0)</f>
        <v>0</v>
      </c>
      <c r="CT23" s="909">
        <f t="array" aca="1" ref="CT23" ca="1">IF(AND($CC$22:$CC$25=$CC$22,$CD$22:$CD$25&lt;90,$CE$22:$CE$23=$CE$22,$CE$23&lt;&gt;$CE$24),1,0)</f>
        <v>0</v>
      </c>
      <c r="CU23" s="909">
        <f t="array" aca="1" ref="CU23" ca="1">IF(AND($CC$22:$CC$25=$CC$22,$CD$22:$CD$25&lt;90,$CE$22:$CE$25=$CE$22,$CF$22=$CF$23,$CF$23&lt;&gt;$CF$24),1,0)</f>
        <v>0</v>
      </c>
      <c r="CV23" s="909">
        <f t="array" aca="1" ref="CV23" ca="1">IF(AND($CC$22:$CC$24=$CC$23,$CD$22:$CD$23&lt;90,$CD$24&gt;90),1,0)</f>
        <v>0</v>
      </c>
      <c r="CW23" s="909">
        <f t="array" aca="1" ref="CW23" ca="1">IF(AND($CC$23&lt;&gt;$CC$22,$CC$23:$CC$25=$CC$23,$CD$23&gt;90,$CD$24:$CD$25&lt;90),1,0)</f>
        <v>0</v>
      </c>
      <c r="CX23" s="909">
        <f t="array" aca="1" ref="CX23" ca="1">IF(AND($CC$23&lt;&gt;$CC$22,$CC$23:$CC$25=$CC$23,$CD$25&gt;90,$CD$23:$CD$24&lt;90),1,0)</f>
        <v>0</v>
      </c>
      <c r="CY23" s="909">
        <f t="array" aca="1" ref="CY23" ca="1">IF(AND($CC$23&lt;&gt;$CC$25,$CC$22:$CC$24=$CC$23,$CD$22&gt;90,$CD$23:$CD$24&lt;90),1,0)</f>
        <v>0</v>
      </c>
      <c r="CZ23" s="909">
        <f t="array" aca="1" ref="CZ23" ca="1">IF(AND($CC$22:$CC$25=$CC$23,$CD$23:$CD$25&lt;90,$CD$22&lt;&gt;$CD$23),1,0)</f>
        <v>0</v>
      </c>
      <c r="DA23" s="909">
        <f t="array" aca="1" ref="DA23" ca="1">IF(AND($CC$22:$CC$25=$CC$23,$CD$22:$CD$24&lt;90,$CD$23&lt;&gt;$CD$25),1,0)</f>
        <v>0</v>
      </c>
      <c r="DB23" s="909">
        <f t="array" aca="1" ref="DB23" ca="1">IF(AND($CC$22:$CC$25=$CC$23,$CD$22:$CD$23&gt;90,$CD$24:$CD$25&lt;90,$CE$22:$CE$25=$CE$23,$CF$22&gt;$CF$23,$CF$23&gt;$CF$24,$CF$23&gt;$CF$25),1,0)</f>
        <v>0</v>
      </c>
      <c r="DC23" s="909">
        <f t="array" aca="1" ref="DC23" ca="1">IF(AND($CC$22:$CC$25=$CC$23,$CD$22&gt;90,$CD$23:$CD$24&lt;90,$CD$25&gt;90,$CE$22:$CE$25=$CE$23,$CF$22&gt;$CF$23,$CF$23=$CF$24,$CF$23&gt;$CF$25),1,0)</f>
        <v>0</v>
      </c>
      <c r="DD23" s="909">
        <f t="array" aca="1" ref="DD23" ca="1">IF(AND($CC$22:$CC$25=$CC$23,$CD$22:$CD$23&lt;90,$CD$24:$CD$25&gt;90,$CE$22:$CE$25=$CE$23,$CF$22=$CF$23,$CF$23&gt;$CF$24,$CF$23&gt;$CF$25),1,0)</f>
        <v>0</v>
      </c>
      <c r="DE23" s="909">
        <f t="array" aca="1" ref="DE23" ca="1">IF(AND($CC$22:$CC$25=$CC$23,$CD$22:$CD$23&gt;90,$CD$24:$CD$25&lt;90,$CE$22:$CE$25=$CE$23,$CF$22&gt;$CF$23,$CF$23:$CF$25=$CF$23),1,0)</f>
        <v>0</v>
      </c>
      <c r="DF23" s="909">
        <f t="array" aca="1" ref="DF23" ca="1">IF(AND($CC$22:$CC$25=$CC$23,$CD$22:$CD$23&lt;90,$CD$24:$CD$25&gt;90,$CE$22:$CE$25=$CE$23,$CF$22:$CF$24=$CF$23,$CF$23&gt;$CF$25),1,0)</f>
        <v>0</v>
      </c>
      <c r="DG23" s="909">
        <f t="array" aca="1" ref="DG23" ca="1">IF(AND($CC$22:$CC$25=$CC$23,$CD$22&gt;90,$CD$25&gt;90,$CD$23:$CD$24&lt;90,$CE$22:$CE$25=$CE$23,$CF$22&gt;$CF$23:$CF$25,$CF$23:$CF$25=$CF$23),1,0)</f>
        <v>0</v>
      </c>
      <c r="EC23" s="911">
        <v>3</v>
      </c>
      <c r="ED23" s="911">
        <v>3</v>
      </c>
      <c r="EE23" s="911"/>
      <c r="EF23" s="911">
        <v>4</v>
      </c>
      <c r="EG23" s="911"/>
      <c r="EH23" s="911"/>
      <c r="EI23" s="911"/>
      <c r="EJ23" s="911"/>
      <c r="EK23" s="911"/>
      <c r="EL23" s="911"/>
      <c r="FI23" s="917"/>
      <c r="FK23" s="917"/>
      <c r="FM23" s="917"/>
    </row>
    <row r="24" spans="1:169">
      <c r="A24" s="871" t="str">
        <f t="array" aca="1" ref="A24" ca="1">IF(ROWS(A$21:A24)&lt;=$C$20,INDEX(INDIRECT(A$20),SMALL(IF(Nivell=$B$20,ROW(Nivell)-ROW(Equipos!$C$2)+1),ROWS(B$20:B23))),"")</f>
        <v>Polonia</v>
      </c>
      <c r="B24" s="872"/>
      <c r="C24" s="857"/>
      <c r="D24" s="152"/>
      <c r="E24" s="968"/>
      <c r="F24" s="21">
        <f>Horarios!C24</f>
        <v>44895.916666666664</v>
      </c>
      <c r="G24" s="22">
        <f>Horarios!C24</f>
        <v>44895.916666666664</v>
      </c>
      <c r="H24" s="21" t="s">
        <v>71</v>
      </c>
      <c r="I24" s="23" t="str">
        <f ca="1">A24</f>
        <v>Polonia</v>
      </c>
      <c r="J24" s="24" t="str">
        <f ca="1">VLOOKUP(I24,Equipos!$H$2:$I$33,2,0)</f>
        <v>🇵🇱</v>
      </c>
      <c r="K24" s="25">
        <v>0</v>
      </c>
      <c r="L24" s="25">
        <v>2</v>
      </c>
      <c r="M24" s="335" t="str">
        <f ca="1">VLOOKUP(N24,Equipos!$H$2:$I$33,2,0)</f>
        <v>🇦🇷</v>
      </c>
      <c r="N24" s="59" t="str">
        <f ca="1">A21</f>
        <v>Argentina</v>
      </c>
      <c r="O24" s="347">
        <f t="shared" si="13"/>
        <v>1</v>
      </c>
      <c r="P24" s="82"/>
      <c r="Q24" s="143">
        <v>3</v>
      </c>
      <c r="R24" s="5" t="str">
        <f ca="1">VLOOKUP(Q24,$AG$22:$AI$25,3,0)</f>
        <v>México</v>
      </c>
      <c r="S24" s="4">
        <f ca="1">VLOOKUP(R24,$AI$22:$AR$25,2,FALSE)</f>
        <v>4</v>
      </c>
      <c r="T24" s="4">
        <f ca="1">VLOOKUP($R24,$AI$22:$AR$25,3,FALSE)</f>
        <v>3</v>
      </c>
      <c r="U24" s="4">
        <f ca="1">VLOOKUP($R24,$AI$22:$AR$25,4,FALSE)</f>
        <v>1</v>
      </c>
      <c r="V24" s="4">
        <f ca="1">VLOOKUP($R24,$AI$22:$AR$25,5,FALSE)</f>
        <v>1</v>
      </c>
      <c r="W24" s="4">
        <f ca="1">VLOOKUP($R24,$AI$22:$AR$25,6,FALSE)</f>
        <v>1</v>
      </c>
      <c r="X24" s="4">
        <f ca="1">VLOOKUP($R24,$AI$22:$AR$25,7,FALSE)</f>
        <v>2</v>
      </c>
      <c r="Y24" s="4">
        <f ca="1">VLOOKUP($R24,$AI$22:$AR$25,8,FALSE)</f>
        <v>3</v>
      </c>
      <c r="Z24" s="144">
        <f ca="1">VLOOKUP($R24,$AI$22:$AR$25,9,FALSE)</f>
        <v>-1</v>
      </c>
      <c r="AA24" s="357">
        <f ca="1">IF(SUM($AK$22:$AK$25)=12,MIN(ABS(BY23-BY24),ABS(BY24-BY25)),100)</f>
        <v>4999999.9899997711</v>
      </c>
      <c r="AB24" s="94" t="str">
        <f ca="1">IF(AND(AA24&gt;=0,AA24&lt;90),VLOOKUP(Q24,$BU$22:$BV$25,2,0),"")</f>
        <v/>
      </c>
      <c r="AC24" s="73"/>
      <c r="AD24" s="74"/>
      <c r="AE24" s="328"/>
      <c r="AF24" s="910">
        <f ca="1">VLOOKUP($R24,$AI$22:$AR$25,10,FALSE)</f>
        <v>4441210499.8900003</v>
      </c>
      <c r="AG24" s="909">
        <f ca="1">RANK(AU24,$AU$22:$AU$25)</f>
        <v>3</v>
      </c>
      <c r="AH24" s="909">
        <f ca="1">RANK(AR24,$AR$22:$AR$25)</f>
        <v>3</v>
      </c>
      <c r="AI24" s="911" t="str">
        <f ca="1">A23</f>
        <v>México</v>
      </c>
      <c r="AJ24" s="909">
        <f ca="1">AL24*3+AM24*1+AN24*0</f>
        <v>4</v>
      </c>
      <c r="AK24" s="909">
        <f ca="1">COUNTIFS($I$4:$I$65,AI24,$K$4:$K$65,"&lt;&gt;",$L$4:$L$65,"&lt;&gt;")+COUNTIFS($N$4:$N$65,AI24,$L$4:$L$65,"&lt;&gt;",$K$4:$K$65,"&lt;&gt;")</f>
        <v>3</v>
      </c>
      <c r="AL24" s="909">
        <f t="array" aca="1" ref="AL24" ca="1">SUM(($I$4:$I$65=AI24)*($K$4:$K$65&lt;&gt;"")*($L$4:$L$65&lt;&gt;"")*($K$4:$K$65&gt;$L$4:$L$65),($N$4:$N$65=AI24)*($K$4:$K$65&lt;&gt;"")*($L$4:$L$65&lt;&gt;"")*($K$4:$K$65&lt;$L$4:$L$65))</f>
        <v>1</v>
      </c>
      <c r="AM24" s="909">
        <f t="array" aca="1" ref="AM24" ca="1">SUM(($I$4:$I$65=AI24)*($K$4:$K$65&lt;&gt;"")*($L$4:$L$65&lt;&gt;"")*($K$4:$K$65=$L$4:$L$65),($N$4:$N$65=AI24)*($K$4:$K$65&lt;&gt;"")*($L$4:$L$65&lt;&gt;"")*($K$4:$K$65=$L$4:$L$65))</f>
        <v>1</v>
      </c>
      <c r="AN24" s="909">
        <f t="array" aca="1" ref="AN24" ca="1">SUM(($I$4:$I$65=AI24)*($L$4:$L$65&lt;&gt;"")*($K$4:$K$65&lt;&gt;"")*($K$4:$K$65&lt;$L$4:$L$65),($K$4:$K$65&lt;&gt;"")*($N$4:$N$65=AI24)*($L$4:$L$65&lt;&gt;"")*($K$4:$K$65&gt;$L$4:$L$65))</f>
        <v>1</v>
      </c>
      <c r="AO24" s="909">
        <f t="array" aca="1" ref="AO24" ca="1">SUMIFS($K$4:$K$65,$I$4:$I$65,AI24,$K$4:$K$65,"&lt;&gt;",$L$4:$L$65,"&lt;&gt;")+SUMIFS($L$4:$L$65,$N$4:$N$65,AI24,$K$4:$K$65,"&lt;&gt;",$L$4:$L$65,"&lt;&gt;")</f>
        <v>2</v>
      </c>
      <c r="AP24" s="909">
        <f t="array" aca="1" ref="AP24" ca="1">SUMIFS($K$4:$K$65,$N$4:$N$65,AI24,$K$4:$K$65,"&lt;&gt;",$L$4:$L$65,"&lt;&gt;")+SUMIFS($L$4:$L$65,$I$4:$I$65,AI24,$K$4:$K$65,"&lt;&gt;",$L$4:$L$65,"&lt;&gt;")</f>
        <v>3</v>
      </c>
      <c r="AQ24" s="909">
        <f ca="1">AO24-AP24</f>
        <v>-1</v>
      </c>
      <c r="AR24" s="909">
        <f ca="1">IF(AK24=0,-($AW$11*VLOOKUP(AI24,Tabla3[[NombreEquipo]:[Rank]],3,FALSE)),AJ24*$AW$4+AQ24*$AW$5+AO24*$AW$6+BA24-($AW$11*VLOOKUP(AI24,Tabla3[[NombreEquipo]:[Rank]],3,FALSE)/100))</f>
        <v>4441210499.8900003</v>
      </c>
      <c r="AS24" s="909">
        <f ca="1">AH24</f>
        <v>3</v>
      </c>
      <c r="AT24" s="909"/>
      <c r="AU24" s="909">
        <f ca="1">IFERROR(AR24-VLOOKUP(AI24,$AB$22:$AC$25,2,0),AR24)</f>
        <v>4441210499.8900003</v>
      </c>
      <c r="AV24" s="909"/>
      <c r="AW24" s="912"/>
      <c r="AX24" s="909"/>
      <c r="AY24" s="916" t="str">
        <f ca="1">AI24</f>
        <v>México</v>
      </c>
      <c r="AZ24" s="909">
        <f ca="1">COUNTIF(AJ22:AJ25,AJ24)</f>
        <v>2</v>
      </c>
      <c r="BA24" s="909">
        <f t="shared" ca="1" si="8"/>
        <v>210500</v>
      </c>
      <c r="BB24" s="917">
        <f ca="1">RANK(BC24,BC22:BC25,1)</f>
        <v>1</v>
      </c>
      <c r="BC24" s="917">
        <f ca="1">SUM(IF(AND(AJ24=AJ25,AQ24=AQ25,AO24=AO25),BG24,0),IF(AND(AJ24=AJ22,AQ24=AQ22,AO24=AO22),BD24,0),IF(AND(AJ24=AJ23,AQ24=AQ23,AO24=AO23),BE24,0))</f>
        <v>0</v>
      </c>
      <c r="BD24" s="917">
        <f t="array" aca="1" ref="BD24" ca="1">SUMIFS($K$20:$K$25,$I$20:$I$25,$AY24,$K$20:$K$25,"&lt;&gt;",$L$20:$L$25,"&lt;&gt;",$N$20:$N$25,BD21)+SUMIFS($L$20:$L$25,$I$20:$I$25,BD21,$K$20:$K$25,"&lt;&gt;",$L$20:$L$25,"&lt;&gt;",$N$20:$N$25,$AY24)</f>
        <v>0</v>
      </c>
      <c r="BE24" s="917">
        <f t="array" aca="1" ref="BE24" ca="1">SUMIFS($K$20:$K$25,$I$20:$I$25,$AY24,$K$20:$K$25,"&lt;&gt;",$L$20:$L$25,"&lt;&gt;",$N$20:$N$25,BE21)+SUMIFS($L$20:$L$25,$I$20:$I$25,BE21,$K$20:$K$25,"&lt;&gt;",$L$20:$L$25,"&lt;&gt;",$N$20:$N$25,$AY24)</f>
        <v>2</v>
      </c>
      <c r="BF24" s="917">
        <v>0</v>
      </c>
      <c r="BG24" s="917">
        <f t="array" aca="1" ref="BG24" ca="1">SUMIFS($K$20:$K$25,$I$20:$I$25,$AY24,$K$20:$K$25,"&lt;&gt;",$L$20:$L$25,"&lt;&gt;",$N$20:$N$25,BG21)+SUMIFS($L$20:$L$25,$I$20:$I$25,BG21,$K$20:$K$25,"&lt;&gt;",$L$20:$L$25,"&lt;&gt;",$N$20:$N$25,$AY24)</f>
        <v>0</v>
      </c>
      <c r="BH24" s="917">
        <f ca="1">RANK(BI24,BI22:BI25,1)</f>
        <v>1</v>
      </c>
      <c r="BI24" s="917">
        <f ca="1">SUM(IF(AND(AJ24=AJ25,AQ24=AQ25,AO24=AO25),BM24,0),IF(AND(AJ24=AJ22,AQ24=AQ22,AO24=AO22),BJ24,0),IF(AND(AJ24=AJ23,AQ24=AQ23,AO24=AO23),BK24,0))</f>
        <v>0</v>
      </c>
      <c r="BJ24" s="917">
        <f ca="1">BD24-BF22</f>
        <v>-2</v>
      </c>
      <c r="BK24" s="917">
        <f ca="1">BE24-BF23</f>
        <v>1</v>
      </c>
      <c r="BL24" s="917">
        <v>0</v>
      </c>
      <c r="BM24" s="917">
        <f ca="1">BG24-BF25</f>
        <v>0</v>
      </c>
      <c r="BN24" s="917">
        <f ca="1">RANK(BO24,BO22:BO25,1)</f>
        <v>1</v>
      </c>
      <c r="BO24" s="917">
        <f ca="1">SUM(IF(AND(AJ24=AJ25,AQ24=AQ25,AO24=AO25),BS24,0),IF(AND(AJ24=AJ22,AQ24=AQ22,AO24=AO22),BP24,0),IF(AND(AJ24=AJ23,AQ24=AQ23,AO24=AO23),BQ24,0))</f>
        <v>0</v>
      </c>
      <c r="BP24" s="917">
        <f t="array" aca="1" ref="BP24" ca="1">SUM((I$4:I$49=AY24)*(N$4:N$49=BP21)*(K$4:K$49&lt;&gt;"")*(L$4:L$49&lt;&gt;"")*(K$4:K$49&gt;L$4:L$49)*3,(N$4:N$49=AY24)*(I$4:I$49=BP21)*(K$4:K$49&lt;&gt;"")*(L$4:L$49&lt;&gt;"")*(K$4:K$49=L$4:L$49)*1,(N$4:N$49=AY24)*(I$4:I$49=BP21)*(K$4:K$49&lt;&gt;"")*(L$4:L$49&lt;&gt;"")*(K$4:K$49&lt;L$4:L$49)*3,(I$4:I$49=AY24)*(N$4:N$49=BP21)*(K$4:K$49&lt;&gt;"")*(L$4:L$49&lt;&gt;"")*(K$4:K$49=L$4:L$49)*1)</f>
        <v>0</v>
      </c>
      <c r="BQ24" s="917">
        <f t="array" aca="1" ref="BQ24" ca="1">SUM((I$4:I$49=AY24)*(N$4:N$49=BQ21)*(K$4:K$49&lt;&gt;"")*(L$4:L$49&lt;&gt;"")*(K$4:K$49&gt;L$4:L$49)*3,(N$4:N$49=AY24)*(I$4:I$49=BQ21)*(K$4:K$49&lt;&gt;"")*(L$4:L$49&lt;&gt;"")*(K$4:K$49=L$4:L$49)*1,(N$4:N$49=AY24)*(I$4:I$49=BQ21)*(K$4:K$49&lt;&gt;"")*(L$4:L$49&lt;&gt;"")*(K$4:K$49&lt;L$4:L$49)*3,(I$4:I$49=AY24)*(N$4:N$49=BQ21)*(K$4:K$49&lt;&gt;"")*(L$4:L$49&lt;&gt;"")*(K$4:K$49=L$4:L$49)*1)</f>
        <v>3</v>
      </c>
      <c r="BR24" s="917">
        <v>0</v>
      </c>
      <c r="BS24" s="917">
        <f t="array" aca="1" ref="BS24" ca="1">SUM((I$4:I$49=AY24)*(N$4:N$49=BS21)*(K$4:K$49&lt;&gt;"")*(L$4:L$49&lt;&gt;"")*(K$4:K$49&gt;L$4:L$49)*3,(N$4:N$49=AY24)*(I$4:I$49=BS21)*(K$4:K$49&lt;&gt;"")*(L$4:L$49&lt;&gt;"")*(K$4:K$49=L$4:L$49)*1,(N$4:N$49=AY24)*(I$4:I$49=BS21)*(K$4:K$49&lt;&gt;"")*(L$4:L$49&lt;&gt;"")*(K$4:K$49&lt;L$4:L$49)*3,(I$4:I$49=AY24)*(N$4:N$49=BS21)*(K$4:K$49&lt;&gt;"")*(L$4:L$49&lt;&gt;"")*(K$4:K$49=L$4:L$49)*1)</f>
        <v>1</v>
      </c>
      <c r="BT24" s="911">
        <v>3</v>
      </c>
      <c r="BU24" s="911">
        <f ca="1">RANK(BW24,$BW$22:$BW$25)</f>
        <v>3</v>
      </c>
      <c r="BV24" s="911" t="str">
        <f ca="1">A23</f>
        <v>México</v>
      </c>
      <c r="BW24" s="911">
        <f t="shared" ca="1" si="9"/>
        <v>4441210499.8900003</v>
      </c>
      <c r="BX24" s="911" t="str">
        <f ca="1">VLOOKUP(Q24,$AH$22:$AI$25,2,0)</f>
        <v>México</v>
      </c>
      <c r="BY24" s="911">
        <f ca="1">VLOOKUP($BX24,$AI$22:$AR$25,10,FALSE)</f>
        <v>4441210499.8900003</v>
      </c>
      <c r="CA24" s="911">
        <v>3</v>
      </c>
      <c r="CB24" s="911" t="str">
        <f ca="1">VLOOKUP(CA24,$AH$22:$AI$25,2,0)</f>
        <v>México</v>
      </c>
      <c r="CC24" s="911">
        <f ca="1">VLOOKUP(CB24,$AI$22:$AR$25,2,FALSE)</f>
        <v>4</v>
      </c>
      <c r="CD24" s="918">
        <f ca="1">IF(SUM($AK$22:$AK$25)=12,MIN(ABS(BY23-BY24),ABS(BY24-BY25)),100)</f>
        <v>4999999.9899997711</v>
      </c>
      <c r="CE24" s="911">
        <f ca="1">VLOOKUP($CB24,$AI$22:$AR$25,9,FALSE)</f>
        <v>-1</v>
      </c>
      <c r="CF24" s="911">
        <f ca="1">VLOOKUP($CB24,$AI$22:$AR$25,7,FALSE)</f>
        <v>2</v>
      </c>
      <c r="CH24" s="911">
        <f t="array" aca="1" ref="CH24" ca="1">IF($CI$22=$CL$21,$EC$21:$EC$24,IF($CI$22=$CM$21,$ED$21:$ED$23,IF(OR($CI$22=$CN$21,$CI$22=$CR$21),$EG$21:$EG$22,IF($CI$22=$CP$21,$EF$21:$EF$23,(IF($CI$22=$CQ$21,$EH$21:$EH$22,$EK$21))))))</f>
        <v>3</v>
      </c>
      <c r="CK24" s="909">
        <v>3</v>
      </c>
      <c r="CL24" s="909">
        <f t="array" aca="1" ref="CL24" ca="1">IF(AND($CC$22:$CC$25=$CC$24,$CD$22:$CD$25&lt;90,$AQ$22:$AQ$25=$AQ$24,$CF$22:$CF$25=$CF$24),1,0)</f>
        <v>0</v>
      </c>
      <c r="CM24" s="909">
        <f t="array" aca="1" ref="CM24" ca="1">IF(AND($CC$22:$CC$24=$CC$24,$CD$22:$CD$24&lt;90,$CC$24&lt;&gt;$CC$25),1,0)</f>
        <v>0</v>
      </c>
      <c r="CN24" s="909">
        <f t="array" aca="1" ref="CN24" ca="1">IF(AND($CC$24:$CC$25=$CC$24,$CD$24:$CD$25&lt;90,$CC$24&lt;&gt;$CC$23),1,0)</f>
        <v>0</v>
      </c>
      <c r="CO24" s="909">
        <f t="array" aca="1" ref="CO24" ca="1">IF(OR(AND($CC$24&lt;&gt;$CC$23,$CC$24&lt;&gt;$CC$25),AND($CC$24&lt;&gt;$CC$23,$CC$24=$CC$25,$CD$24&gt;90,$CD$25&gt;90)),1,0)</f>
        <v>0</v>
      </c>
      <c r="CP24" s="909">
        <f t="array" aca="1" ref="CP24" ca="1">IF(AND($CC$23:$CC$25=$CC$23,$CD$23:$CD$25&lt;90,$CC$22&lt;&gt;$CC$24),1,0)</f>
        <v>0</v>
      </c>
      <c r="CQ24" s="909">
        <f t="array" aca="1" ref="CQ24" ca="1">IF(AND($CC$23:$CC$24=$CC$24,$CD$23:$CD$24&lt;90,$CC$24&lt;&gt;$CC$22,$CC$24&lt;&gt;$CC$25),1,0)</f>
        <v>0</v>
      </c>
      <c r="CR24" s="909">
        <f t="array" aca="1" ref="CR24" ca="1">IF(AND($CC$24:$CC$25=$CC$24,$CD$24:$CD$25&lt;90,$CC$24&lt;&gt;$CC$23),1,0)</f>
        <v>0</v>
      </c>
      <c r="CS24" s="909">
        <f t="array" aca="1" ref="CS24" ca="1">IF(AND($CC$24&lt;&gt;$CC$23,$CC$24&lt;&gt;$CC$25),1,0)</f>
        <v>0</v>
      </c>
      <c r="CT24" s="909">
        <f t="array" aca="1" ref="CT24" ca="1">IF(AND($CC$22:$CC$25=$CC$22,$CD$22:$CD$25&lt;90,$CE$24:$CE$25=$CE$24,$CE$23&lt;&gt;$CE$24),1,0)</f>
        <v>0</v>
      </c>
      <c r="CU24" s="909">
        <f t="array" aca="1" ref="CU24" ca="1">IF(AND($CC$22:$CC$25=$CC$22,$CD$22:$CD$25&lt;90,$CE$22:$CE$25=$CE$22,$CF$24=$CF$25,$CF$23&lt;&gt;$CF$24),1,0)</f>
        <v>0</v>
      </c>
      <c r="CV24" s="909">
        <f t="array" aca="1" ref="CV24" ca="1">IF(AND($CC$22:$CC$24=$CC$24,$CD$22:$CD$23&lt;90,$CD$24&gt;90),1,0)</f>
        <v>0</v>
      </c>
      <c r="CW24" s="909">
        <f t="array" aca="1" ref="CW24" ca="1">IF(AND($CC$23&lt;&gt;$CC$22,$CC$23:$CC$25=$CC$24,$CD$23&gt;90,$CD$24:$CD$25&lt;90),1,0)</f>
        <v>0</v>
      </c>
      <c r="CX24" s="909">
        <f t="array" aca="1" ref="CX24" ca="1">IF(AND($CC$23&lt;&gt;$CC$22,$CC$23:$CC$25=$CC$23,$CD$25&gt;90,$CD$23:$CD$24&lt;90),1,0)</f>
        <v>0</v>
      </c>
      <c r="CY24" s="909">
        <f t="array" aca="1" ref="CY24" ca="1">IF(AND($CC$24&lt;&gt;$CC$25,$CC$22:$CC$24=$CC$24,$CD$22&gt;90,$CD$23:$CD$24&lt;90),1,0)</f>
        <v>0</v>
      </c>
      <c r="CZ24" s="909">
        <f t="array" aca="1" ref="CZ24" ca="1">IF(AND($CC$22:$CC$25=$CC$23,$CD$23:$CD$25&lt;90,$CD$22&lt;&gt;$CD$24),1,0)</f>
        <v>0</v>
      </c>
      <c r="DA24" s="909">
        <f t="array" aca="1" ref="DA24" ca="1">IF(AND($CC$22:$CC$25=$CC$24,$CD$22:$CD$24&lt;90,$CD$24&lt;&gt;$CD$25),1,0)</f>
        <v>0</v>
      </c>
      <c r="DB24" s="909">
        <f t="array" aca="1" ref="DB24" ca="1">IF(AND($CC$22:$CC$25=$CC$24,$CD$22:$CD$23&gt;90,$CD$24:$CD$25&lt;90,$CE$22:$CE$25=$CE$24,$CF$22&gt;$CF$23,$CF$23&gt;$CF$24,$CF$24=$CF$25),1,0)</f>
        <v>0</v>
      </c>
      <c r="DC24" s="909">
        <f t="array" aca="1" ref="DC24" ca="1">IF(AND($CC$22:$CC$25=$CC$24,$CD$22&gt;90,$CD$23:$CD$24&lt;90,$CD$25&gt;90,$CE$22:$CE$25=$CE$24,$CF$22&gt;$CF$23,$CF$23=$CF$24,$CF$24&gt;$CF$25),1,0)</f>
        <v>0</v>
      </c>
      <c r="DD24" s="909">
        <f t="array" aca="1" ref="DD24" ca="1">IF(AND($CC$22:$CC$25=$CC$24,$CD$22:$CD$23&lt;90,$CD$24:$CD$25&gt;90,$CE$22:$CE$25=$CE$24,$CF$22=$CF$23,$CF$23&gt;$CF$24,$CF$24&gt;$CF$25),1,0)</f>
        <v>0</v>
      </c>
      <c r="DE24" s="909">
        <f t="array" aca="1" ref="DE24" ca="1">IF(AND($CC$22:$CC$25=$CC$24,$CD$22:$CD$23&gt;90,$CD$24:$CD$25&lt;90,$CE$22:$CE$25=$CE$23,$CF$22&gt;$CF$24,$CF$23:$CF$25=$CF$24),1,0)</f>
        <v>0</v>
      </c>
      <c r="DF24" s="909">
        <f t="array" aca="1" ref="DF24" ca="1">IF(AND($CC$22:$CC$25=$CC$24,$CD$22:$CD$23&lt;90,$CD$24:$CD$25&gt;90,$CE$22:$CE$25=$CE$24,$CF$22:$CF$24=$CF$24,$CF$24&gt;$CF$25),1,0)</f>
        <v>0</v>
      </c>
      <c r="DG24" s="909">
        <f t="array" aca="1" ref="DG24" ca="1">IF(AND($CC$22:$CC$25=$CC$24,$CD$22&gt;90,$CD$25&gt;90,$CD$23:$CD$24&lt;90,$CE$22:$CE$25=$CE$24,$CF$22&gt;$CF$23:$CF$25,$CF$23:$CF$25=$CF$24),1,0)</f>
        <v>0</v>
      </c>
      <c r="EC24" s="911">
        <v>4</v>
      </c>
      <c r="ED24" s="911"/>
      <c r="EE24" s="911"/>
      <c r="EF24" s="911"/>
      <c r="EG24" s="911"/>
      <c r="EH24" s="911"/>
      <c r="EI24" s="911"/>
      <c r="EJ24" s="911"/>
      <c r="EK24" s="911"/>
      <c r="EL24" s="911"/>
      <c r="FI24" s="917"/>
      <c r="FK24" s="917"/>
      <c r="FM24" s="917"/>
    </row>
    <row r="25" spans="1:169" ht="16" thickBot="1">
      <c r="A25" s="875"/>
      <c r="B25" s="875"/>
      <c r="C25" s="875"/>
      <c r="D25" s="152"/>
      <c r="E25" s="969"/>
      <c r="F25" s="60">
        <f>Horarios!C25</f>
        <v>44895.916666666664</v>
      </c>
      <c r="G25" s="61">
        <f>Horarios!C25</f>
        <v>44895.916666666664</v>
      </c>
      <c r="H25" s="60" t="s">
        <v>71</v>
      </c>
      <c r="I25" s="62" t="str">
        <f ca="1">A22</f>
        <v>Arabia Saudita</v>
      </c>
      <c r="J25" s="63" t="str">
        <f ca="1">VLOOKUP(I25,Equipos!$H$2:$I$33,2,0)</f>
        <v>🇸🇦</v>
      </c>
      <c r="K25" s="64">
        <v>1</v>
      </c>
      <c r="L25" s="64">
        <v>2</v>
      </c>
      <c r="M25" s="336" t="str">
        <f ca="1">VLOOKUP(N25,Equipos!$H$2:$I$33,2,0)</f>
        <v>🇲🇽</v>
      </c>
      <c r="N25" s="65" t="str">
        <f ca="1">A23</f>
        <v>México</v>
      </c>
      <c r="O25" s="347">
        <f t="shared" si="13"/>
        <v>1</v>
      </c>
      <c r="P25" s="82"/>
      <c r="Q25" s="145">
        <v>4</v>
      </c>
      <c r="R25" s="146" t="str">
        <f ca="1">VLOOKUP(Q25,$AG$22:$AI$25,3,0)</f>
        <v>Arabia Saudita</v>
      </c>
      <c r="S25" s="147">
        <f ca="1">VLOOKUP(R25,$AI$22:$AR$25,2,FALSE)</f>
        <v>3</v>
      </c>
      <c r="T25" s="147">
        <f ca="1">VLOOKUP($R25,$AI$22:$AR$25,3,FALSE)</f>
        <v>3</v>
      </c>
      <c r="U25" s="147">
        <f ca="1">VLOOKUP($R25,$AI$22:$AR$25,4,FALSE)</f>
        <v>1</v>
      </c>
      <c r="V25" s="147">
        <f ca="1">VLOOKUP($R25,$AI$22:$AR$25,5,FALSE)</f>
        <v>0</v>
      </c>
      <c r="W25" s="147">
        <f ca="1">VLOOKUP($R25,$AI$22:$AR$25,6,FALSE)</f>
        <v>2</v>
      </c>
      <c r="X25" s="147">
        <f ca="1">VLOOKUP($R25,$AI$22:$AR$25,7,FALSE)</f>
        <v>3</v>
      </c>
      <c r="Y25" s="147">
        <f ca="1">VLOOKUP($R25,$AI$22:$AR$25,8,FALSE)</f>
        <v>5</v>
      </c>
      <c r="Z25" s="148">
        <f ca="1">VLOOKUP($R25,$AI$22:$AR$25,9,FALSE)</f>
        <v>-2</v>
      </c>
      <c r="AA25" s="357">
        <f ca="1">IF(SUM($AK$22:$AK$25)=12,MIN(ABS(BY24-BY25),ABS(BY25-BY26)),100)</f>
        <v>1114999999.9900002</v>
      </c>
      <c r="AB25" s="94" t="str">
        <f ca="1">IF(AND(AA25&gt;=0,AA25&lt;90),VLOOKUP(Q25,$BU$22:$BV$25,2,0),"")</f>
        <v/>
      </c>
      <c r="AC25" s="73"/>
      <c r="AD25" s="74"/>
      <c r="AE25" s="328"/>
      <c r="AF25" s="910">
        <f ca="1">VLOOKUP($R25,$AI$22:$AR$25,10,FALSE)</f>
        <v>3326210499.9000001</v>
      </c>
      <c r="AG25" s="909">
        <f ca="1">RANK(AU25,$AU$22:$AU$25)</f>
        <v>2</v>
      </c>
      <c r="AH25" s="909">
        <f ca="1">RANK(AR25,$AR$22:$AR$25)</f>
        <v>2</v>
      </c>
      <c r="AI25" s="911" t="str">
        <f ca="1">A24</f>
        <v>Polonia</v>
      </c>
      <c r="AJ25" s="909">
        <f ca="1">AL25*3+AM25*1+AN25*0</f>
        <v>4</v>
      </c>
      <c r="AK25" s="909">
        <f ca="1">COUNTIFS($I$4:$I$65,AI25,$K$4:$K$65,"&lt;&gt;",$L$4:$L$65,"&lt;&gt;")+COUNTIFS($N$4:$N$65,AI25,$L$4:$L$65,"&lt;&gt;",$K$4:$K$65,"&lt;&gt;")</f>
        <v>3</v>
      </c>
      <c r="AL25" s="909">
        <f t="array" aca="1" ref="AL25" ca="1">SUM(($I$4:$I$65=AI25)*($K$4:$K$65&lt;&gt;"")*($L$4:$L$65&lt;&gt;"")*($K$4:$K$65&gt;$L$4:$L$65),($N$4:$N$65=AI25)*($K$4:$K$65&lt;&gt;"")*($L$4:$L$65&lt;&gt;"")*($K$4:$K$65&lt;$L$4:$L$65))</f>
        <v>1</v>
      </c>
      <c r="AM25" s="909">
        <f t="array" aca="1" ref="AM25" ca="1">SUM(($I$4:$I$65=AI25)*($K$4:$K$65&lt;&gt;"")*($L$4:$L$65&lt;&gt;"")*($K$4:$K$65=$L$4:$L$65),($N$4:$N$65=AI25)*($K$4:$K$65&lt;&gt;"")*($L$4:$L$65&lt;&gt;"")*($K$4:$K$65=$L$4:$L$65))</f>
        <v>1</v>
      </c>
      <c r="AN25" s="909">
        <f t="array" aca="1" ref="AN25" ca="1">SUM(($I$4:$I$65=AI25)*($L$4:$L$65&lt;&gt;"")*($K$4:$K$65&lt;&gt;"")*($K$4:$K$65&lt;$L$4:$L$65),($K$4:$K$65&lt;&gt;"")*($N$4:$N$65=AI25)*($L$4:$L$65&lt;&gt;"")*($K$4:$K$65&gt;$L$4:$L$65))</f>
        <v>1</v>
      </c>
      <c r="AO25" s="909">
        <f t="array" aca="1" ref="AO25" ca="1">SUMIFS($K$4:$K$65,$I$4:$I$65,AI25,$K$4:$K$65,"&lt;&gt;",$L$4:$L$65,"&lt;&gt;")+SUMIFS($L$4:$L$65,$N$4:$N$65,AI25,$K$4:$K$65,"&lt;&gt;",$L$4:$L$65,"&lt;&gt;")</f>
        <v>2</v>
      </c>
      <c r="AP25" s="909">
        <f t="array" aca="1" ref="AP25" ca="1">SUMIFS($K$4:$K$65,$N$4:$N$65,AI25,$K$4:$K$65,"&lt;&gt;",$L$4:$L$65,"&lt;&gt;")+SUMIFS($L$4:$L$65,$I$4:$I$65,AI25,$K$4:$K$65,"&lt;&gt;",$L$4:$L$65,"&lt;&gt;")</f>
        <v>2</v>
      </c>
      <c r="AQ25" s="909">
        <f ca="1">AO25-AP25</f>
        <v>0</v>
      </c>
      <c r="AR25" s="909">
        <f ca="1">IF(AK25=0,-($AW$11*VLOOKUP(AI25,Tabla3[[NombreEquipo]:[Rank]],3,FALSE)),AJ25*$AW$4+AQ25*$AW$5+AO25*$AW$6+BA25-($AW$11*VLOOKUP(AI25,Tabla3[[NombreEquipo]:[Rank]],3,FALSE)/100))</f>
        <v>4446210499.8800001</v>
      </c>
      <c r="AS25" s="909">
        <f ca="1">AH25</f>
        <v>2</v>
      </c>
      <c r="AT25" s="909"/>
      <c r="AU25" s="909">
        <f ca="1">IFERROR(AR25-VLOOKUP(AI25,$AB$22:$AC$25,2,0),AR25)</f>
        <v>4446210499.8800001</v>
      </c>
      <c r="AV25" s="909"/>
      <c r="AW25" s="912"/>
      <c r="AX25" s="909"/>
      <c r="AY25" s="916" t="str">
        <f ca="1">AI25</f>
        <v>Polonia</v>
      </c>
      <c r="AZ25" s="909">
        <f ca="1">COUNTIF(AJ22:AJ25,AJ25)</f>
        <v>2</v>
      </c>
      <c r="BA25" s="909">
        <f t="shared" ca="1" si="8"/>
        <v>210500</v>
      </c>
      <c r="BB25" s="917">
        <f ca="1">RANK(BC25,BC22:BC25,1)</f>
        <v>1</v>
      </c>
      <c r="BC25" s="917">
        <f ca="1">SUM(IF(AND(AJ25=AJ22,AQ25=AQ22,AO25=AO22),BD25,0),IF(AND(AJ25=AJ23,AQ25=AQ23,AO25=AO23),BE25,0),IF(AND(AJ25=AJ24,AQ25=AQ24,AO25=AO24),BF25,0))</f>
        <v>0</v>
      </c>
      <c r="BD25" s="917">
        <f t="array" aca="1" ref="BD25" ca="1">SUMIFS($K$20:$K$25,$I$20:$I$25,$AY25,$K$20:$K$25,"&lt;&gt;",$L$20:$L$25,"&lt;&gt;",$N$20:$N$25,BD21)+SUMIFS($L$20:$L$25,$I$20:$I$25,BD21,$K$20:$K$25,"&lt;&gt;",$L$20:$L$25,"&lt;&gt;",$N$20:$N$25,$AY25)</f>
        <v>0</v>
      </c>
      <c r="BE25" s="917">
        <f t="array" aca="1" ref="BE25" ca="1">SUMIFS($K$20:$K$25,$I$20:$I$25,$AY25,$K$20:$K$25,"&lt;&gt;",$L$20:$L$25,"&lt;&gt;",$N$20:$N$25,BE21)+SUMIFS($L$20:$L$25,$I$20:$I$25,BE21,$K$20:$K$25,"&lt;&gt;",$L$20:$L$25,"&lt;&gt;",$N$20:$N$25,$AY25)</f>
        <v>2</v>
      </c>
      <c r="BF25" s="917">
        <f t="array" aca="1" ref="BF25" ca="1">SUMIFS($K$20:$K$25,$I$20:$I$25,$AY25,$K$20:$K$25,"&lt;&gt;",$L$20:$L$25,"&lt;&gt;",$N$20:$N$25,BF21)+SUMIFS($L$20:$L$25,$I$20:$I$25,BF21,$K$20:$K$25,"&lt;&gt;",$L$20:$L$25,"&lt;&gt;",$N$20:$N$25,$AY25)</f>
        <v>0</v>
      </c>
      <c r="BG25" s="917">
        <v>0</v>
      </c>
      <c r="BH25" s="917">
        <f ca="1">RANK(BI25,BI22:BI25,1)</f>
        <v>1</v>
      </c>
      <c r="BI25" s="917">
        <f ca="1">SUM(IF(AND(AJ25=AJ22,AQ25=AQ22,AO25=AO22),BJ25,0),IF(AND(AJ25=AJ23,AQ25=AQ23,AO25=AO23),BK25,0),IF(AND(AJ25=AJ24,AQ25=AQ24,AO25=AO24),BL25,0))</f>
        <v>0</v>
      </c>
      <c r="BJ25" s="917">
        <f ca="1">BD25-BG22</f>
        <v>-2</v>
      </c>
      <c r="BK25" s="917">
        <f ca="1">BE25-BG23</f>
        <v>2</v>
      </c>
      <c r="BL25" s="917">
        <f ca="1">BF25-BG24</f>
        <v>0</v>
      </c>
      <c r="BM25" s="917">
        <v>0</v>
      </c>
      <c r="BN25" s="917">
        <f ca="1">RANK(BO25,BO22:BO25,1)</f>
        <v>1</v>
      </c>
      <c r="BO25" s="917">
        <f ca="1">SUM(IF(AND(AJ25=AJ22,AQ25=AQ22,AO25=AO22),BP25,0),IF(AND(AJ25=AJ23,AQ25=AQ23,AO25=AO23),BQ25,0),IF(AND(AJ25=AJ24,AQ25=AQ24,AO25=AO24),BR25,0))</f>
        <v>0</v>
      </c>
      <c r="BP25" s="917">
        <f t="array" aca="1" ref="BP25" ca="1">SUM((I$4:I$49=AY25)*(N$4:N$49=BP21)*(K$4:K$49&lt;&gt;"")*(L$4:L$49&lt;&gt;"")*(K$4:K$49&gt;L$4:L$49)*3,(N$4:N$49=AY25)*(I$4:I$49=BP21)*(K$4:K$49&lt;&gt;"")*(L$4:L$49&lt;&gt;"")*(K$4:K$49=L$4:L$49)*1,(N$4:N$49=AY25)*(I$4:I$49=BP21)*(K$4:K$49&lt;&gt;"")*(L$4:L$49&lt;&gt;"")*(K$4:K$49&lt;L$4:L$49)*3,(I$4:I$49=AY25)*(N$4:N$49=BP21)*(K$4:K$49&lt;&gt;"")*(L$4:L$49&lt;&gt;"")*(K$4:K$49=L$4:L$49)*1)</f>
        <v>0</v>
      </c>
      <c r="BQ25" s="917">
        <f t="array" aca="1" ref="BQ25" ca="1">SUM((I$4:I$49=AY25)*(N$4:N$49=BQ21)*(K$4:K$49&lt;&gt;"")*(L$4:L$49&lt;&gt;"")*(K$4:K$49&gt;L$4:L$49)*3,(N$4:N$49=AY25)*(I$4:I$49=BQ21)*(K$4:K$49&lt;&gt;"")*(L$4:L$49&lt;&gt;"")*(K$4:K$49=L$4:L$49)*1,(N$4:N$49=AY25)*(I$4:I$49=BQ21)*(K$4:K$49&lt;&gt;"")*(L$4:L$49&lt;&gt;"")*(K$4:K$49&lt;L$4:L$49)*3,(I$4:I$49=AY25)*(N$4:N$49=BQ21)*(K$4:K$49&lt;&gt;"")*(L$4:L$49&lt;&gt;"")*(K$4:K$49=L$4:L$49)*1)</f>
        <v>3</v>
      </c>
      <c r="BR25" s="917">
        <f t="array" aca="1" ref="BR25" ca="1">SUM((I$4:I$49=AY25)*(N$4:N$49=BR21)*(K$4:K$49&lt;&gt;"")*(L$4:L$49&lt;&gt;"")*(K$4:K$49&gt;L$4:L$49)*3,(N$4:N$49=AY25)*(I$4:I$49=BR21)*(K$4:K$49&lt;&gt;"")*(L$4:L$49&lt;&gt;"")*(K$4:K$49=L$4:L$49)*1,(N$4:N$49=AY25)*(I$4:I$49=BR21)*(K$4:K$49&lt;&gt;"")*(L$4:L$49&lt;&gt;"")*(K$4:K$49&lt;L$4:L$49)*3,(I$4:I$49=AY25)*(N$4:N$49=BR21)*(K$4:K$49&lt;&gt;"")*(L$4:L$49&lt;&gt;"")*(K$4:K$49=L$4:L$49)*1)</f>
        <v>1</v>
      </c>
      <c r="BS25" s="917">
        <v>0</v>
      </c>
      <c r="BT25" s="911">
        <v>4</v>
      </c>
      <c r="BU25" s="911">
        <f ca="1">RANK(BW25,$BW$22:$BW$25)</f>
        <v>2</v>
      </c>
      <c r="BV25" s="911" t="str">
        <f ca="1">A24</f>
        <v>Polonia</v>
      </c>
      <c r="BW25" s="911">
        <f t="shared" ca="1" si="9"/>
        <v>4446210499.8800001</v>
      </c>
      <c r="BX25" s="911" t="str">
        <f ca="1">VLOOKUP(Q25,$AH$22:$AI$25,2,0)</f>
        <v>Arabia Saudita</v>
      </c>
      <c r="BY25" s="911">
        <f ca="1">VLOOKUP($BX25,$AI$22:$AR$25,10,FALSE)</f>
        <v>3326210499.9000001</v>
      </c>
      <c r="CA25" s="911">
        <v>4</v>
      </c>
      <c r="CB25" s="911" t="str">
        <f ca="1">VLOOKUP(CA25,$AH$22:$AI$25,2,0)</f>
        <v>Arabia Saudita</v>
      </c>
      <c r="CC25" s="911">
        <f ca="1">VLOOKUP(CB25,$AI$22:$AR$25,2,FALSE)</f>
        <v>3</v>
      </c>
      <c r="CD25" s="918">
        <f ca="1">IF(SUM($AK$22:$AK$25)=12,MIN(ABS(BY24-BY25),ABS(BY25-BY26)),100)</f>
        <v>1114999999.9900002</v>
      </c>
      <c r="CE25" s="911">
        <f ca="1">VLOOKUP($CB25,$AI$22:$AR$25,9,FALSE)</f>
        <v>-2</v>
      </c>
      <c r="CF25" s="911">
        <f ca="1">VLOOKUP($CB25,$AI$22:$AR$25,7,FALSE)</f>
        <v>3</v>
      </c>
      <c r="CH25" s="911">
        <f t="array" aca="1" ref="CH25" ca="1">IF($CI$22=$CL$21,$EC$21:$EC$24,IF(OR($CI$22=$CN$21,$CI$22=$CR$21),$EG$21:$EG$22,IF($CI$22=$CP$21,$EF$21:$EF$23,$EL$21)))</f>
        <v>4</v>
      </c>
      <c r="CK25" s="909">
        <v>4</v>
      </c>
      <c r="CL25" s="909">
        <f t="array" aca="1" ref="CL25" ca="1">IF(AND($CC$22:$CC$25=$CC$25,$CD$22:$CD$25&lt;90,$AQ$22:$AQ$25=$AQ$25,$CF$22:$CF$25=$CF$25),1,0)</f>
        <v>0</v>
      </c>
      <c r="CM25" s="909">
        <f t="array" aca="1" ref="CM25" ca="1">IF(AND($CC$22:$CC$24=$CC$22,$CD$22:$CD$24&lt;90,$CD$25&gt;90,$CC$22&lt;&gt;$CC$25),1,0)</f>
        <v>0</v>
      </c>
      <c r="CN25" s="909">
        <f t="array" aca="1" ref="CN25" ca="1">IF(AND($CC$24:$CC$25=$CC$24,$CD$24:$CD$25&lt;90,$CC$24&lt;&gt;$CC$23),1,0)</f>
        <v>0</v>
      </c>
      <c r="CO25" s="909">
        <f t="array" aca="1" ref="CO25" ca="1">IF(AND($CC$25&lt;&gt;$CC$23,$CC$25&lt;&gt;$CC$22),1,0)</f>
        <v>1</v>
      </c>
      <c r="CP25" s="909">
        <f t="array" aca="1" ref="CP25" ca="1">IF(AND($CC$23:$CC$25=$CC$23,$CD$23:$CD$25&lt;90,$CC$22&lt;&gt;$CC$25),1,0)</f>
        <v>0</v>
      </c>
      <c r="CQ25" s="909">
        <f t="array" aca="1" ref="CQ25" ca="1">IF(AND($CC$25&lt;&gt;$CC$23,$CC$25&lt;&gt;$CC$22),1,0)</f>
        <v>1</v>
      </c>
      <c r="CR25" s="909">
        <f t="array" aca="1" ref="CR25" ca="1">IF(AND($CC$24:$CC$25=$CC$24,$CD$24:$CD$25&lt;90,$CC$24&lt;&gt;$CC$23),1,0)</f>
        <v>0</v>
      </c>
      <c r="CS25" s="909">
        <f t="array" aca="1" ref="CS25" ca="1">IF(AND($CC$25&lt;&gt;$CC$23,$CC$25&lt;&gt;$CC$22),1,0)</f>
        <v>1</v>
      </c>
      <c r="CT25" s="909">
        <f t="array" aca="1" ref="CT25" ca="1">IF(AND($CC$22:$CC$25=$CC$22,$CD$22:$CD$25&lt;90,$CE$24:$CE$25=$CE$25,$CE$23&lt;&gt;$CE$25),1,0)</f>
        <v>0</v>
      </c>
      <c r="CU25" s="909">
        <f t="array" aca="1" ref="CU25" ca="1">IF(AND($CC$22:$CC$25=$CC$22,$CD$22:$CD$25&lt;90,$CE$22:$CE$25=$CE$22,$CF$24=$CF$25,$CF$23&lt;&gt;$CF$24),1,0)</f>
        <v>0</v>
      </c>
      <c r="CV25" s="909">
        <f t="array" aca="1" ref="CV25" ca="1">IF(AND($CC$22:$CC$24=$CC$22,$CD$22:$CD$23&lt;90,$CC$24&lt;&gt;$CC$25),1,0)</f>
        <v>0</v>
      </c>
      <c r="CW25" s="909">
        <f t="array" aca="1" ref="CW25" ca="1">IF(AND($CC$23&lt;&gt;$CC$22,$CC$23:$CC$25=$CC$24,$CD$23&gt;90,$CD$24:$CD$25&lt;90),1,0)</f>
        <v>0</v>
      </c>
      <c r="CX25" s="909">
        <f t="array" aca="1" ref="CX25" ca="1">IF(AND($CC$23&lt;&gt;$CC$22,$CC$23:$CC$25=$CC$23,$CD$25&gt;90,$CD$23:$CD$24&lt;90),1,0)</f>
        <v>0</v>
      </c>
      <c r="CY25" s="909">
        <f t="array" aca="1" ref="CY25" ca="1">IF(AND($CC$25&lt;&gt;$CC$23,$CC$25&lt;&gt;$CC$24),1,0)</f>
        <v>1</v>
      </c>
      <c r="CZ25" s="909">
        <f t="array" aca="1" ref="CZ25" ca="1">IF(AND($CC$22:$CC$25=$CC$23,$CD$23:$CD$25&lt;90,$CD$22&lt;&gt;$CD$25),1,0)</f>
        <v>0</v>
      </c>
      <c r="DA25" s="909">
        <f t="array" aca="1" ref="DA25" ca="1">IF(AND($CC$22:$CC$25=$CC$22,$CD$22:$CD$24&lt;90,$CD$24&lt;&gt;$CD$25),1,0)</f>
        <v>0</v>
      </c>
      <c r="DB25" s="909">
        <f t="array" aca="1" ref="DB25" ca="1">IF(AND($CC$22:$CC$25=$CC$25,$CD$22:$CD$23&gt;90,$CD$24:$CD$25&lt;90,$CE$22:$CE$25=$CE$25,$CF$22&gt;$CF$23,$CF$23&gt;$CF$25,$CF$24=$CF$25),1,0)</f>
        <v>0</v>
      </c>
      <c r="DC25" s="909">
        <f t="array" aca="1" ref="DC25" ca="1">IF(AND($CC$22:$CC$25=$CC$23,$CD$22&gt;90,$CD$23:$CD$24&lt;90,$CD$25&gt;90,$CE$22:$CE$25=$CE$25,$CF$22&gt;$CF$25,$CF$23=$CF$24,$CF$23&gt;$CF$25),1,0)</f>
        <v>0</v>
      </c>
      <c r="DD25" s="909">
        <f t="array" aca="1" ref="DD25" ca="1">IF(AND($CC$22:$CC$25=$CC$25,$CD$22:$CD$23&lt;90,$CD$24:$CD$25&gt;90,$CE$22:$CE$25=$CE$25,$CF$22=$CF$23,$CF$23&gt;$CF$24,$CF$24&gt;$CF$25),1,0)</f>
        <v>0</v>
      </c>
      <c r="DE25" s="909">
        <f t="array" aca="1" ref="DE25" ca="1">IF(AND($CC$22:$CC$25=$CC$25,$CD$22:$CD$23&gt;90,$CD$24:$CD$25&lt;90,$CE$22:$CE$25=$CE$25,$CF$22&gt;$CF$25,$CF$23:$CF$25=$CF$25),1,0)</f>
        <v>0</v>
      </c>
      <c r="DF25" s="909">
        <f t="array" aca="1" ref="DF25" ca="1">IF(AND($CC$22:$CC$25=$CC$25,$CD$22:$CD$23&lt;90,$CD$24:$CD$25&gt;90,$CE$22:$CE$25=$CE$25,$CF$22:$CF$24=$CF$24,$CF$22:$CF$24&gt;$CF$25),1,0)</f>
        <v>0</v>
      </c>
      <c r="DG25" s="909">
        <f t="array" aca="1" ref="DG25" ca="1">IF(AND($CC$22:$CC$25=$CC$25,$CD$22&gt;90,$CD$25&gt;90,$CD$23:$CD$24&lt;90,$CE$22:$CE$25=$CE$25,$CF$22&gt;$CF$23:$CF$25,$CF$23:$CF$25=$CF$25),1,0)</f>
        <v>0</v>
      </c>
      <c r="FI25" s="917"/>
      <c r="FK25" s="917"/>
      <c r="FM25" s="917"/>
    </row>
    <row r="26" spans="1:169">
      <c r="A26" s="875"/>
      <c r="B26" s="875"/>
      <c r="C26" s="875"/>
      <c r="D26" s="152"/>
      <c r="E26" s="66"/>
      <c r="F26" s="77"/>
      <c r="G26" s="66"/>
      <c r="H26" s="66"/>
      <c r="I26" s="66"/>
      <c r="J26" s="66"/>
      <c r="K26" s="66"/>
      <c r="L26" s="66"/>
      <c r="M26" s="89"/>
      <c r="N26" s="66"/>
      <c r="O26" s="348"/>
      <c r="P26" s="66"/>
      <c r="Q26" s="66"/>
      <c r="R26" s="66"/>
      <c r="S26" s="66"/>
      <c r="T26" s="66"/>
      <c r="U26" s="66"/>
      <c r="V26" s="66"/>
      <c r="W26" s="66"/>
      <c r="X26" s="66"/>
      <c r="Y26" s="66"/>
      <c r="Z26" s="66"/>
      <c r="AA26" s="77"/>
      <c r="AB26" s="66"/>
      <c r="AC26" s="75"/>
      <c r="AD26" s="74"/>
      <c r="AE26" s="328"/>
      <c r="AF26" s="910"/>
      <c r="AG26" s="909"/>
      <c r="AH26" s="909"/>
      <c r="AJ26" s="909"/>
      <c r="AK26" s="909"/>
      <c r="AL26" s="909"/>
      <c r="AM26" s="909"/>
      <c r="AN26" s="909"/>
      <c r="AO26" s="909"/>
      <c r="AP26" s="909"/>
      <c r="AQ26" s="909"/>
      <c r="AR26" s="909"/>
      <c r="AS26" s="909"/>
      <c r="AT26" s="909"/>
      <c r="AU26" s="909"/>
      <c r="AV26" s="909"/>
      <c r="AW26" s="912"/>
      <c r="AX26" s="909"/>
      <c r="AY26" s="916"/>
      <c r="AZ26" s="909"/>
      <c r="BA26" s="909"/>
      <c r="BB26" s="917"/>
      <c r="BC26" s="917"/>
      <c r="BD26" s="917"/>
      <c r="BE26" s="917"/>
      <c r="BF26" s="917"/>
      <c r="BG26" s="917"/>
      <c r="BH26" s="917"/>
      <c r="BI26" s="917"/>
      <c r="BJ26" s="917"/>
      <c r="BK26" s="917"/>
      <c r="BL26" s="917"/>
      <c r="BM26" s="917"/>
      <c r="BN26" s="917"/>
      <c r="BO26" s="917"/>
      <c r="BP26" s="917"/>
      <c r="BQ26" s="917"/>
      <c r="BR26" s="917"/>
      <c r="BS26" s="917"/>
      <c r="CD26" s="918"/>
      <c r="FI26" s="917"/>
      <c r="FK26" s="917"/>
      <c r="FM26" s="917"/>
    </row>
    <row r="27" spans="1:169" ht="16" thickBot="1">
      <c r="A27" s="875"/>
      <c r="B27" s="872"/>
      <c r="C27" s="875"/>
      <c r="D27" s="66"/>
      <c r="E27" s="84"/>
      <c r="F27" s="83" t="str">
        <f>F11</f>
        <v>Fecha</v>
      </c>
      <c r="G27" s="83" t="str">
        <f t="shared" ref="G27:I27" si="16">G11</f>
        <v>Hora</v>
      </c>
      <c r="H27" s="85" t="str">
        <f t="shared" si="16"/>
        <v>Jor.</v>
      </c>
      <c r="I27" s="86" t="str">
        <f t="shared" si="16"/>
        <v>Casa</v>
      </c>
      <c r="J27" s="83"/>
      <c r="K27" s="87" t="s">
        <v>22</v>
      </c>
      <c r="L27" s="87" t="s">
        <v>22</v>
      </c>
      <c r="M27" s="87"/>
      <c r="N27" s="88" t="str">
        <f t="shared" ref="N27" si="17">N11</f>
        <v>Fuera</v>
      </c>
      <c r="O27" s="349"/>
      <c r="P27" s="69"/>
      <c r="Q27" s="69"/>
      <c r="R27" s="69"/>
      <c r="S27" s="69"/>
      <c r="T27" s="69"/>
      <c r="U27" s="69"/>
      <c r="V27" s="69"/>
      <c r="W27" s="69"/>
      <c r="X27" s="69"/>
      <c r="Y27" s="69"/>
      <c r="Z27" s="69"/>
      <c r="AA27" s="358"/>
      <c r="AB27" s="70"/>
      <c r="AC27" s="70"/>
      <c r="AD27" s="70"/>
      <c r="AE27" s="327"/>
      <c r="AF27" s="910"/>
      <c r="AG27" s="909"/>
      <c r="AH27" s="909"/>
      <c r="AI27" s="909"/>
      <c r="AJ27" s="909"/>
      <c r="AK27" s="909"/>
      <c r="AL27" s="909"/>
      <c r="AM27" s="909"/>
      <c r="AN27" s="909"/>
      <c r="AO27" s="909"/>
      <c r="AP27" s="909"/>
      <c r="AQ27" s="909"/>
      <c r="AR27" s="909"/>
      <c r="AS27" s="909"/>
      <c r="AT27" s="909"/>
      <c r="AU27" s="909"/>
      <c r="AV27" s="909"/>
      <c r="AW27" s="912"/>
      <c r="AX27" s="909"/>
      <c r="AY27" s="909"/>
      <c r="AZ27" s="909"/>
      <c r="BA27" s="909"/>
      <c r="BB27" s="909"/>
      <c r="BC27" s="909"/>
      <c r="BD27" s="909"/>
      <c r="BE27" s="909"/>
      <c r="BF27" s="909"/>
      <c r="BG27" s="909"/>
      <c r="BH27" s="909"/>
      <c r="BI27" s="909"/>
      <c r="BJ27" s="909"/>
      <c r="BK27" s="909"/>
      <c r="BL27" s="909"/>
      <c r="BM27" s="909"/>
      <c r="BN27" s="909"/>
      <c r="BO27" s="909"/>
      <c r="BP27" s="909"/>
      <c r="BQ27" s="909"/>
      <c r="BR27" s="909"/>
      <c r="BS27" s="909"/>
      <c r="BT27" s="909"/>
      <c r="BU27" s="909"/>
      <c r="BV27" s="909"/>
      <c r="BW27" s="909"/>
      <c r="BX27" s="909"/>
      <c r="BY27" s="909"/>
      <c r="BZ27" s="909"/>
      <c r="CA27" s="909"/>
      <c r="CB27" s="909"/>
      <c r="CC27" s="909"/>
      <c r="CD27" s="909"/>
      <c r="CE27" s="909"/>
      <c r="CF27" s="909"/>
      <c r="CG27" s="909"/>
      <c r="CL27" s="910">
        <v>1</v>
      </c>
      <c r="CM27" s="910">
        <v>12</v>
      </c>
      <c r="CN27" s="910">
        <v>18</v>
      </c>
      <c r="CO27" s="910">
        <v>19</v>
      </c>
      <c r="CP27" s="910">
        <v>13</v>
      </c>
      <c r="CQ27" s="910">
        <v>20</v>
      </c>
      <c r="CR27" s="910">
        <v>21</v>
      </c>
      <c r="CS27" s="910">
        <v>22</v>
      </c>
      <c r="CT27" s="910">
        <v>3</v>
      </c>
      <c r="CU27" s="910">
        <v>2</v>
      </c>
      <c r="CV27" s="910">
        <v>14</v>
      </c>
      <c r="CW27" s="910">
        <v>17</v>
      </c>
      <c r="CX27" s="910">
        <v>16</v>
      </c>
      <c r="CY27" s="910">
        <v>15</v>
      </c>
      <c r="CZ27" s="910">
        <v>4</v>
      </c>
      <c r="DA27" s="910">
        <v>5</v>
      </c>
      <c r="DB27" s="910">
        <v>10</v>
      </c>
      <c r="DC27" s="910">
        <v>8</v>
      </c>
      <c r="DD27" s="910">
        <v>6</v>
      </c>
      <c r="DE27" s="910">
        <v>11</v>
      </c>
      <c r="DF27" s="910">
        <v>7</v>
      </c>
      <c r="DG27" s="910">
        <v>9</v>
      </c>
      <c r="DH27" s="910"/>
      <c r="DI27" s="910"/>
      <c r="EC27" s="911" t="s">
        <v>41</v>
      </c>
      <c r="ED27" s="911" t="s">
        <v>42</v>
      </c>
      <c r="EE27" s="911" t="s">
        <v>44</v>
      </c>
      <c r="EF27" s="911" t="s">
        <v>45</v>
      </c>
      <c r="EG27" s="911" t="s">
        <v>46</v>
      </c>
      <c r="EH27" s="911" t="s">
        <v>47</v>
      </c>
      <c r="EI27" s="911" t="s">
        <v>48</v>
      </c>
      <c r="EJ27" s="911" t="s">
        <v>49</v>
      </c>
      <c r="EK27" s="911" t="s">
        <v>50</v>
      </c>
      <c r="EL27" s="911" t="s">
        <v>51</v>
      </c>
    </row>
    <row r="28" spans="1:169">
      <c r="A28" s="871" t="s">
        <v>74</v>
      </c>
      <c r="B28" s="872" t="s">
        <v>105</v>
      </c>
      <c r="C28" s="873">
        <f>COUNTIF(Equipos!$C$2:$C$33,MUNDIAL!B28)</f>
        <v>4</v>
      </c>
      <c r="D28" s="152"/>
      <c r="E28" s="970" t="s">
        <v>105</v>
      </c>
      <c r="F28" s="235">
        <f>Horarios!C28</f>
        <v>44887.666666666664</v>
      </c>
      <c r="G28" s="236">
        <f>Horarios!C28</f>
        <v>44887.666666666664</v>
      </c>
      <c r="H28" s="235" t="s">
        <v>69</v>
      </c>
      <c r="I28" s="237" t="str">
        <f ca="1">A30</f>
        <v>Dinamarca</v>
      </c>
      <c r="J28" s="238" t="str">
        <f ca="1">VLOOKUP(I28,Equipos!$H$2:$I$33,2,0)</f>
        <v>🇩🇰</v>
      </c>
      <c r="K28" s="239">
        <v>0</v>
      </c>
      <c r="L28" s="239">
        <v>0</v>
      </c>
      <c r="M28" s="337" t="str">
        <f ca="1">VLOOKUP(N28,Equipos!$H$2:$I$33,2,0)</f>
        <v>🇹🇳</v>
      </c>
      <c r="N28" s="240" t="str">
        <f ca="1">A31</f>
        <v>Túnez</v>
      </c>
      <c r="O28" s="347">
        <f>IF(NOT(OR(ISBLANK(K28),ISBLANK(L28))),1,0)</f>
        <v>1</v>
      </c>
      <c r="P28" s="82"/>
      <c r="Q28" s="266" t="str">
        <f>CONCATENATE("Grupo"," ",B28)</f>
        <v>Grupo D</v>
      </c>
      <c r="R28" s="267"/>
      <c r="S28" s="267"/>
      <c r="T28" s="267"/>
      <c r="U28" s="267"/>
      <c r="V28" s="267"/>
      <c r="W28" s="267"/>
      <c r="X28" s="267"/>
      <c r="Y28" s="267"/>
      <c r="Z28" s="268"/>
      <c r="AA28" s="359"/>
      <c r="AB28" s="1015" t="s">
        <v>65</v>
      </c>
      <c r="AC28" s="1015"/>
      <c r="AD28" s="1015"/>
      <c r="AE28" s="327"/>
      <c r="AF28" s="910"/>
      <c r="AG28" s="909"/>
      <c r="AH28" s="909" t="str">
        <f>CONCATENATE("Auxiliar - ",Q28)</f>
        <v>Auxiliar - Grupo D</v>
      </c>
      <c r="AI28" s="909"/>
      <c r="AJ28" s="909"/>
      <c r="AK28" s="909"/>
      <c r="AL28" s="909"/>
      <c r="AM28" s="909"/>
      <c r="AN28" s="909"/>
      <c r="AO28" s="909"/>
      <c r="AP28" s="909"/>
      <c r="AQ28" s="909"/>
      <c r="AR28" s="909"/>
      <c r="AS28" s="909"/>
      <c r="AT28" s="909"/>
      <c r="AU28" s="909" t="s">
        <v>38</v>
      </c>
      <c r="AV28" s="909"/>
      <c r="AW28" s="912"/>
      <c r="AX28" s="909"/>
      <c r="AY28" s="910" t="str">
        <f>CONCATENATE(Q28," - GOLAVERAGE")</f>
        <v>Grupo D - GOLAVERAGE</v>
      </c>
      <c r="AZ28" s="909"/>
      <c r="BA28" s="909"/>
      <c r="BB28" s="909" t="s">
        <v>28</v>
      </c>
      <c r="BC28" s="909"/>
      <c r="BD28" s="909"/>
      <c r="BE28" s="909"/>
      <c r="BF28" s="909"/>
      <c r="BG28" s="909"/>
      <c r="BH28" s="909" t="s">
        <v>27</v>
      </c>
      <c r="BI28" s="909"/>
      <c r="BJ28" s="909"/>
      <c r="BK28" s="909"/>
      <c r="BL28" s="909"/>
      <c r="BM28" s="909"/>
      <c r="BN28" s="909" t="s">
        <v>123</v>
      </c>
      <c r="BO28" s="917"/>
      <c r="BP28" s="917"/>
      <c r="BQ28" s="917"/>
      <c r="BR28" s="917"/>
      <c r="BS28" s="917"/>
      <c r="CI28" s="909" t="s">
        <v>62</v>
      </c>
      <c r="CK28" s="909" t="s">
        <v>63</v>
      </c>
      <c r="CL28" s="909">
        <f t="shared" ref="CL28:DG28" ca="1" si="18">SUM(CL30:CL33)</f>
        <v>0</v>
      </c>
      <c r="CM28" s="909">
        <f t="shared" ca="1" si="18"/>
        <v>0</v>
      </c>
      <c r="CN28" s="909">
        <f t="shared" ca="1" si="18"/>
        <v>0</v>
      </c>
      <c r="CO28" s="909">
        <f t="shared" ca="1" si="18"/>
        <v>2</v>
      </c>
      <c r="CP28" s="909">
        <f t="shared" ca="1" si="18"/>
        <v>0</v>
      </c>
      <c r="CQ28" s="909">
        <f t="shared" ca="1" si="18"/>
        <v>2</v>
      </c>
      <c r="CR28" s="909">
        <f t="shared" ca="1" si="18"/>
        <v>2</v>
      </c>
      <c r="CS28" s="909">
        <f t="shared" ca="1" si="18"/>
        <v>4</v>
      </c>
      <c r="CT28" s="909">
        <f t="shared" ca="1" si="18"/>
        <v>0</v>
      </c>
      <c r="CU28" s="909">
        <f t="shared" ca="1" si="18"/>
        <v>0</v>
      </c>
      <c r="CV28" s="909">
        <f t="shared" ca="1" si="18"/>
        <v>0</v>
      </c>
      <c r="CW28" s="909">
        <f t="shared" ca="1" si="18"/>
        <v>1</v>
      </c>
      <c r="CX28" s="909">
        <f t="shared" ca="1" si="18"/>
        <v>1</v>
      </c>
      <c r="CY28" s="909">
        <f t="shared" ca="1" si="18"/>
        <v>1</v>
      </c>
      <c r="CZ28" s="909">
        <f t="shared" ca="1" si="18"/>
        <v>0</v>
      </c>
      <c r="DA28" s="909">
        <f t="shared" ca="1" si="18"/>
        <v>0</v>
      </c>
      <c r="DB28" s="909">
        <f t="shared" ca="1" si="18"/>
        <v>0</v>
      </c>
      <c r="DC28" s="909">
        <f t="shared" ca="1" si="18"/>
        <v>0</v>
      </c>
      <c r="DD28" s="909">
        <f t="shared" ca="1" si="18"/>
        <v>0</v>
      </c>
      <c r="DE28" s="909">
        <f t="shared" ca="1" si="18"/>
        <v>0</v>
      </c>
      <c r="DF28" s="909">
        <f t="shared" ca="1" si="18"/>
        <v>0</v>
      </c>
      <c r="DG28" s="909">
        <f t="shared" ca="1" si="18"/>
        <v>0</v>
      </c>
      <c r="EC28" s="911">
        <v>1234</v>
      </c>
      <c r="ED28" s="911">
        <v>123</v>
      </c>
      <c r="EE28" s="911">
        <v>12</v>
      </c>
      <c r="EF28" s="911">
        <v>234</v>
      </c>
      <c r="EG28" s="911">
        <v>34</v>
      </c>
      <c r="EH28" s="911">
        <v>23</v>
      </c>
      <c r="EI28" s="911">
        <v>1</v>
      </c>
      <c r="EJ28" s="911">
        <v>2</v>
      </c>
      <c r="EK28" s="911">
        <v>3</v>
      </c>
      <c r="EL28" s="911">
        <v>4</v>
      </c>
      <c r="FM28" s="917"/>
    </row>
    <row r="29" spans="1:169" ht="16" thickBot="1">
      <c r="A29" s="871" t="str">
        <f t="array" aca="1" ref="A29" ca="1">IF(ROWS(A$29:A29)&lt;=$C$28,INDEX(INDIRECT(A$28),SMALL(IF(Nivell=$B$28,ROW(Nivell)-ROW(Equipos!$C$2)+1),ROWS(B$28:B28))),"")</f>
        <v>Francia</v>
      </c>
      <c r="B29" s="872"/>
      <c r="C29" s="872"/>
      <c r="D29" s="152"/>
      <c r="E29" s="971"/>
      <c r="F29" s="230">
        <f>Horarios!C29</f>
        <v>44887.916666666664</v>
      </c>
      <c r="G29" s="231">
        <f>Horarios!C29</f>
        <v>44887.916666666664</v>
      </c>
      <c r="H29" s="230" t="s">
        <v>69</v>
      </c>
      <c r="I29" s="232" t="str">
        <f ca="1">A29</f>
        <v>Francia</v>
      </c>
      <c r="J29" s="233" t="str">
        <f ca="1">VLOOKUP(I29,Equipos!$H$2:$I$33,2,0)</f>
        <v>🇫🇷</v>
      </c>
      <c r="K29" s="234">
        <v>4</v>
      </c>
      <c r="L29" s="234">
        <v>1</v>
      </c>
      <c r="M29" s="338" t="str">
        <f ca="1">VLOOKUP(N29,Equipos!$H$2:$I$33,2,0)</f>
        <v>🇦🇺</v>
      </c>
      <c r="N29" s="241" t="str">
        <f ca="1">A32</f>
        <v>Australia</v>
      </c>
      <c r="O29" s="347">
        <f t="shared" ref="O29:O33" si="19">IF(NOT(OR(ISBLANK(K29),ISBLANK(L29))),1,0)</f>
        <v>1</v>
      </c>
      <c r="P29" s="82"/>
      <c r="Q29" s="284" t="s">
        <v>17</v>
      </c>
      <c r="R29" s="285" t="s">
        <v>100</v>
      </c>
      <c r="S29" s="286" t="s">
        <v>76</v>
      </c>
      <c r="T29" s="286" t="s">
        <v>6</v>
      </c>
      <c r="U29" s="286" t="s">
        <v>7</v>
      </c>
      <c r="V29" s="286" t="s">
        <v>3</v>
      </c>
      <c r="W29" s="286" t="s">
        <v>8</v>
      </c>
      <c r="X29" s="286" t="s">
        <v>9</v>
      </c>
      <c r="Y29" s="286" t="s">
        <v>10</v>
      </c>
      <c r="Z29" s="287" t="s">
        <v>99</v>
      </c>
      <c r="AA29" s="359">
        <f ca="1">COUNTIF(AA30:AA33,"&lt;100")</f>
        <v>0</v>
      </c>
      <c r="AB29" s="1015"/>
      <c r="AC29" s="1015"/>
      <c r="AD29" s="1015"/>
      <c r="AE29" s="327"/>
      <c r="AF29" s="910"/>
      <c r="AG29" s="913" t="s">
        <v>38</v>
      </c>
      <c r="AH29" s="913" t="s">
        <v>13</v>
      </c>
      <c r="AI29" s="913" t="s">
        <v>5</v>
      </c>
      <c r="AJ29" s="913" t="s">
        <v>14</v>
      </c>
      <c r="AK29" s="913" t="s">
        <v>6</v>
      </c>
      <c r="AL29" s="913" t="s">
        <v>7</v>
      </c>
      <c r="AM29" s="913" t="s">
        <v>3</v>
      </c>
      <c r="AN29" s="913" t="s">
        <v>8</v>
      </c>
      <c r="AO29" s="913" t="s">
        <v>9</v>
      </c>
      <c r="AP29" s="913" t="s">
        <v>10</v>
      </c>
      <c r="AQ29" s="913" t="s">
        <v>11</v>
      </c>
      <c r="AR29" s="913" t="s">
        <v>15</v>
      </c>
      <c r="AS29" s="913" t="s">
        <v>13</v>
      </c>
      <c r="AT29" s="909"/>
      <c r="AU29" s="909"/>
      <c r="AV29" s="909"/>
      <c r="AW29" s="912"/>
      <c r="AX29" s="909"/>
      <c r="AY29" s="913" t="s">
        <v>5</v>
      </c>
      <c r="AZ29" s="913" t="s">
        <v>29</v>
      </c>
      <c r="BA29" s="913" t="s">
        <v>32</v>
      </c>
      <c r="BB29" s="913" t="s">
        <v>31</v>
      </c>
      <c r="BC29" s="913" t="s">
        <v>26</v>
      </c>
      <c r="BD29" s="913" t="str">
        <f ca="1">AY30</f>
        <v>Francia</v>
      </c>
      <c r="BE29" s="913" t="str">
        <f ca="1">AY31</f>
        <v>Dinamarca</v>
      </c>
      <c r="BF29" s="913" t="str">
        <f ca="1">AY32</f>
        <v>Túnez</v>
      </c>
      <c r="BG29" s="913" t="str">
        <f ca="1">AY33</f>
        <v>Australia</v>
      </c>
      <c r="BH29" s="913" t="s">
        <v>31</v>
      </c>
      <c r="BI29" s="913" t="s">
        <v>26</v>
      </c>
      <c r="BJ29" s="913" t="str">
        <f ca="1">BD29</f>
        <v>Francia</v>
      </c>
      <c r="BK29" s="913" t="str">
        <f ca="1">BE29</f>
        <v>Dinamarca</v>
      </c>
      <c r="BL29" s="913" t="str">
        <f ca="1">BF29</f>
        <v>Túnez</v>
      </c>
      <c r="BM29" s="913" t="str">
        <f ca="1">BG29</f>
        <v>Australia</v>
      </c>
      <c r="BN29" s="913" t="s">
        <v>31</v>
      </c>
      <c r="BO29" s="913" t="s">
        <v>26</v>
      </c>
      <c r="BP29" s="913" t="str">
        <f ca="1">BD29</f>
        <v>Francia</v>
      </c>
      <c r="BQ29" s="913" t="str">
        <f ca="1">BE29</f>
        <v>Dinamarca</v>
      </c>
      <c r="BR29" s="913" t="str">
        <f ca="1">BF29</f>
        <v>Túnez</v>
      </c>
      <c r="BS29" s="913" t="str">
        <f ca="1">BG29</f>
        <v>Australia</v>
      </c>
      <c r="BU29" s="914"/>
      <c r="BV29" s="914" t="s">
        <v>39</v>
      </c>
      <c r="BW29" s="914"/>
      <c r="BX29" s="914" t="s">
        <v>40</v>
      </c>
      <c r="BY29" s="914"/>
      <c r="CA29" s="914"/>
      <c r="CB29" s="914" t="s">
        <v>5</v>
      </c>
      <c r="CC29" s="914" t="s">
        <v>14</v>
      </c>
      <c r="CD29" s="914" t="s">
        <v>59</v>
      </c>
      <c r="CE29" s="914" t="s">
        <v>11</v>
      </c>
      <c r="CF29" s="914" t="s">
        <v>60</v>
      </c>
      <c r="CG29" s="914"/>
      <c r="CK29" s="909" t="s">
        <v>64</v>
      </c>
      <c r="CL29" s="909" t="s">
        <v>43</v>
      </c>
      <c r="CM29" s="909" t="s">
        <v>52</v>
      </c>
      <c r="CN29" s="909" t="s">
        <v>53</v>
      </c>
      <c r="CO29" s="909" t="s">
        <v>54</v>
      </c>
      <c r="CP29" s="909" t="s">
        <v>55</v>
      </c>
      <c r="CQ29" s="909" t="s">
        <v>56</v>
      </c>
      <c r="CR29" s="909" t="s">
        <v>57</v>
      </c>
      <c r="CS29" s="909" t="s">
        <v>58</v>
      </c>
      <c r="CT29" s="909" t="s">
        <v>53</v>
      </c>
      <c r="CU29" s="909" t="s">
        <v>53</v>
      </c>
      <c r="CV29" s="909" t="s">
        <v>54</v>
      </c>
      <c r="CW29" s="909" t="s">
        <v>57</v>
      </c>
      <c r="CX29" s="909" t="s">
        <v>56</v>
      </c>
      <c r="CY29" s="909" t="s">
        <v>56</v>
      </c>
      <c r="CZ29" s="909" t="s">
        <v>55</v>
      </c>
      <c r="DA29" s="909" t="s">
        <v>52</v>
      </c>
      <c r="DB29" s="909" t="s">
        <v>57</v>
      </c>
      <c r="DC29" s="909" t="s">
        <v>56</v>
      </c>
      <c r="DD29" s="909" t="s">
        <v>54</v>
      </c>
      <c r="DE29" s="909" t="s">
        <v>57</v>
      </c>
      <c r="DF29" s="909" t="s">
        <v>54</v>
      </c>
      <c r="DG29" s="909" t="s">
        <v>56</v>
      </c>
      <c r="EC29" s="911">
        <v>1</v>
      </c>
      <c r="ED29" s="911">
        <v>1</v>
      </c>
      <c r="EE29" s="911">
        <v>1</v>
      </c>
      <c r="EF29" s="911">
        <v>2</v>
      </c>
      <c r="EG29" s="911">
        <v>3</v>
      </c>
      <c r="EH29" s="911">
        <v>2</v>
      </c>
      <c r="EI29" s="911">
        <v>1</v>
      </c>
      <c r="EJ29" s="911">
        <v>2</v>
      </c>
      <c r="EK29" s="911">
        <v>3</v>
      </c>
      <c r="EL29" s="911">
        <v>4</v>
      </c>
      <c r="FI29" s="913"/>
      <c r="FK29" s="913"/>
      <c r="FM29" s="913"/>
    </row>
    <row r="30" spans="1:169">
      <c r="A30" s="871" t="str">
        <f t="array" aca="1" ref="A30" ca="1">IF(ROWS(A$29:A30)&lt;=$C$28,INDEX(INDIRECT(A$28),SMALL(IF(Nivell=$B$28,ROW(Nivell)-ROW(Equipos!$C$2)+1),ROWS(B$28:B29))),"")</f>
        <v>Dinamarca</v>
      </c>
      <c r="B30" s="872"/>
      <c r="C30" s="874"/>
      <c r="D30" s="152"/>
      <c r="E30" s="971"/>
      <c r="F30" s="230">
        <f>Horarios!C30</f>
        <v>44891.541666666664</v>
      </c>
      <c r="G30" s="231">
        <f>Horarios!C30</f>
        <v>44891.541666666664</v>
      </c>
      <c r="H30" s="230" t="s">
        <v>70</v>
      </c>
      <c r="I30" s="232" t="str">
        <f ca="1">A31</f>
        <v>Túnez</v>
      </c>
      <c r="J30" s="233" t="str">
        <f ca="1">VLOOKUP(I30,Equipos!$H$2:$I$33,2,0)</f>
        <v>🇹🇳</v>
      </c>
      <c r="K30" s="234">
        <v>0</v>
      </c>
      <c r="L30" s="234">
        <v>1</v>
      </c>
      <c r="M30" s="338" t="str">
        <f ca="1">VLOOKUP(N30,Equipos!$H$2:$I$33,2,0)</f>
        <v>🇦🇺</v>
      </c>
      <c r="N30" s="241" t="str">
        <f ca="1">A32</f>
        <v>Australia</v>
      </c>
      <c r="O30" s="347">
        <f t="shared" si="19"/>
        <v>1</v>
      </c>
      <c r="P30" s="82"/>
      <c r="Q30" s="288">
        <v>1</v>
      </c>
      <c r="R30" s="289" t="str">
        <f ca="1">VLOOKUP(Q30,$AG$30:$AI$33,3,0)</f>
        <v>Francia</v>
      </c>
      <c r="S30" s="290">
        <f ca="1">VLOOKUP(R30,$AI$30:$AR$33,2,FALSE)</f>
        <v>7</v>
      </c>
      <c r="T30" s="290">
        <f ca="1">VLOOKUP($R30,$AI$30:$AR$33,3,FALSE)</f>
        <v>3</v>
      </c>
      <c r="U30" s="290">
        <f ca="1">VLOOKUP($R30,$AI$30:$AR$33,4,FALSE)</f>
        <v>2</v>
      </c>
      <c r="V30" s="290">
        <f ca="1">VLOOKUP($R30,$AI$30:$AR$33,5,FALSE)</f>
        <v>1</v>
      </c>
      <c r="W30" s="290">
        <f ca="1">VLOOKUP($R30,$AI$30:$AR$33,6,FALSE)</f>
        <v>0</v>
      </c>
      <c r="X30" s="290">
        <f ca="1">VLOOKUP($R30,$AI$30:$AR$33,7,FALSE)</f>
        <v>7</v>
      </c>
      <c r="Y30" s="290">
        <f ca="1">VLOOKUP($R30,$AI$30:$AR$33,8,FALSE)</f>
        <v>3</v>
      </c>
      <c r="Z30" s="291">
        <f ca="1">VLOOKUP($R30,$AI$30:$AR$33,9,FALSE)</f>
        <v>4</v>
      </c>
      <c r="AA30" s="357">
        <f ca="1">IF(SUM($AK$30:$AK$33)=12,MIN(ABS(BY29-BY30),ABS(BY30-BY31)),100)</f>
        <v>1140000000.0299997</v>
      </c>
      <c r="AB30" s="94" t="str">
        <f ca="1">IF(AND(AA30&gt;=0,AA30&lt;90),VLOOKUP(Q30,$BU$30:$BV$33,2,0),"")</f>
        <v/>
      </c>
      <c r="AC30" s="73"/>
      <c r="AD30" s="74"/>
      <c r="AE30" s="328"/>
      <c r="AF30" s="910">
        <f ca="1">VLOOKUP($R30,$AI$30:$AR$33,10,FALSE)</f>
        <v>7804210499.8699999</v>
      </c>
      <c r="AG30" s="909">
        <f ca="1">RANK(AU30,$AU$30:$AU$33)</f>
        <v>1</v>
      </c>
      <c r="AH30" s="909">
        <f ca="1">RANK(AR30,$AR$30:$AR$33)</f>
        <v>1</v>
      </c>
      <c r="AI30" s="911" t="str">
        <f ca="1">A29</f>
        <v>Francia</v>
      </c>
      <c r="AJ30" s="909">
        <f ca="1">AL30*3+AM30*1+AN30*0</f>
        <v>7</v>
      </c>
      <c r="AK30" s="909">
        <f ca="1">COUNTIFS($I$4:$I$65,AI30,$K$4:$K$65,"&lt;&gt;",$L$4:$L$65,"&lt;&gt;")+COUNTIFS($N$4:$N$65,AI30,$L$4:$L$65,"&lt;&gt;",$K$4:$K$65,"&lt;&gt;")</f>
        <v>3</v>
      </c>
      <c r="AL30" s="909">
        <f t="array" aca="1" ref="AL30" ca="1">SUM(($I$4:$I$65=AI30)*($K$4:$K$65&lt;&gt;"")*($L$4:$L$65&lt;&gt;"")*($K$4:$K$65&gt;$L$4:$L$65),($N$4:$N$65=AI30)*($K$4:$K$65&lt;&gt;"")*($L$4:$L$65&lt;&gt;"")*($K$4:$K$65&lt;$L$4:$L$65))</f>
        <v>2</v>
      </c>
      <c r="AM30" s="909">
        <f t="array" aca="1" ref="AM30" ca="1">SUM(($I$4:$I$65=AI30)*($K$4:$K$65&lt;&gt;"")*($L$4:$L$65&lt;&gt;"")*($K$4:$K$65=$L$4:$L$65),($N$4:$N$65=AI30)*($K$4:$K$65&lt;&gt;"")*($L$4:$L$65&lt;&gt;"")*($K$4:$K$65=$L$4:$L$65))</f>
        <v>1</v>
      </c>
      <c r="AN30" s="909">
        <f t="array" aca="1" ref="AN30" ca="1">SUM(($I$4:$I$65=AI30)*($L$4:$L$65&lt;&gt;"")*($K$4:$K$65&lt;&gt;"")*($K$4:$K$65&lt;$L$4:$L$65),($K$4:$K$65&lt;&gt;"")*($N$4:$N$65=AI30)*($L$4:$L$65&lt;&gt;"")*($K$4:$K$65&gt;$L$4:$L$65))</f>
        <v>0</v>
      </c>
      <c r="AO30" s="909">
        <f t="array" aca="1" ref="AO30" ca="1">SUMIFS($K$4:$K$65,$I$4:$I$65,AI30,$K$4:$K$65,"&lt;&gt;",$L$4:$L$65,"&lt;&gt;")+SUMIFS($L$4:$L$65,$N$4:$N$65,AI30,$K$4:$K$65,"&lt;&gt;",$L$4:$L$65,"&lt;&gt;")</f>
        <v>7</v>
      </c>
      <c r="AP30" s="909">
        <f t="array" aca="1" ref="AP30" ca="1">SUMIFS($K$4:$K$65,$N$4:$N$65,AI30,$K$4:$K$65,"&lt;&gt;",$L$4:$L$65,"&lt;&gt;")+SUMIFS($L$4:$L$65,$I$4:$I$65,AI30,$K$4:$K$65,"&lt;&gt;",$L$4:$L$65,"&lt;&gt;")</f>
        <v>3</v>
      </c>
      <c r="AQ30" s="909">
        <f ca="1">AO30-AP30</f>
        <v>4</v>
      </c>
      <c r="AR30" s="909">
        <f ca="1">IF(AK30=0,-($AW$11*VLOOKUP(AI30,Tabla3[[NombreEquipo]:[Rank]],3,FALSE)),AJ30*$AW$4+AQ30*$AW$5+AO30*$AW$6+BA30-($AW$11*VLOOKUP(AI30,Tabla3[[NombreEquipo]:[Rank]],3,FALSE)/100))</f>
        <v>7804210499.8699999</v>
      </c>
      <c r="AS30" s="909">
        <f ca="1">AH30</f>
        <v>1</v>
      </c>
      <c r="AT30" s="909"/>
      <c r="AU30" s="909">
        <f ca="1">IFERROR(AR30-VLOOKUP(AI30,$AB$30:$AC$33,2,0),AR30)</f>
        <v>7804210499.8699999</v>
      </c>
      <c r="AV30" s="909"/>
      <c r="AW30" s="912"/>
      <c r="AX30" s="909"/>
      <c r="AY30" s="916" t="str">
        <f ca="1">AI30</f>
        <v>Francia</v>
      </c>
      <c r="AZ30" s="909">
        <f ca="1">COUNTIF(AJ30:AJ33,AJ30)</f>
        <v>1</v>
      </c>
      <c r="BA30" s="909">
        <f t="shared" ref="BA30:BA31" ca="1" si="20">(BB30*$AW$9)+(BH30*$AW$8)+(BN30*$AW$7)</f>
        <v>210500</v>
      </c>
      <c r="BB30" s="917">
        <f ca="1">RANK(BC30,BC30:BC33,1)</f>
        <v>1</v>
      </c>
      <c r="BC30" s="917">
        <f ca="1">SUM(IF(AND(AJ30=AJ31,AQ30=AQ31,AO30=AO31),BE30,0),IF(AND(AJ30=AJ32,AQ30=AQ32,AO30=AO32),BF30,0),IF(AND(AJ30=AJ33,AQ30=AQ33,AO30=AO33),BG30,0))</f>
        <v>0</v>
      </c>
      <c r="BD30" s="917">
        <v>0</v>
      </c>
      <c r="BE30" s="917">
        <f t="array" aca="1" ref="BE30" ca="1">SUMIFS($K$28:$K$33,$I$28:$I$33,$AY30,$K$28:$K$33,"&lt;&gt;",$L$28:$L$33,"&lt;&gt;",$N$28:$N$33,BE29)+SUMIFS($L$28:$L$33,$I$28:$I$33,BE29,$K$28:$K$33,"&lt;&gt;",$L$28:$L$33,"&lt;&gt;",$N$28:$N$33,$AY30)</f>
        <v>2</v>
      </c>
      <c r="BF30" s="917">
        <f t="array" aca="1" ref="BF30" ca="1">SUMIFS($K$28:$K$33,$I$28:$I$33,$AY30,$K$28:$K$33,"&lt;&gt;",$L$28:$L$33,"&lt;&gt;",$N$28:$N$33,BF29)+SUMIFS($L$28:$L$33,$I$28:$I$33,BF29,$K$28:$K$33,"&lt;&gt;",$L$28:$L$33,"&lt;&gt;",$N$28:$N$33,$AY30)</f>
        <v>1</v>
      </c>
      <c r="BG30" s="917">
        <f t="array" aca="1" ref="BG30" ca="1">SUMIFS($K$28:$K$33,$I$28:$I$33,$AY30,$K$28:$K$33,"&lt;&gt;",$L$28:$L$33,"&lt;&gt;",$N$28:$N$33,BG29)+SUMIFS($L$28:$L$33,$I$28:$I$33,BG29,$K$28:$K$33,"&lt;&gt;",$L$28:$L$33,"&lt;&gt;",$N$28:$N$33,$AY30)</f>
        <v>4</v>
      </c>
      <c r="BH30" s="917">
        <f ca="1">RANK(BI30,BI30:BI33,1)</f>
        <v>1</v>
      </c>
      <c r="BI30" s="917">
        <f ca="1">SUM(IF(AND(AJ30=AJ31,AQ30=AQ31,AO30=AO31),BK30,0),IF(AND(AJ30=AJ32,AQ30=AQ32,AO30=AO32),BL30,0),IF(AND(AJ30=AJ33,AQ30=AQ33,AO30=AO33),BM30,0))</f>
        <v>0</v>
      </c>
      <c r="BJ30" s="917">
        <v>0</v>
      </c>
      <c r="BK30" s="917">
        <f ca="1">BE30-BD31</f>
        <v>1</v>
      </c>
      <c r="BL30" s="917">
        <f ca="1">BF30-BD32</f>
        <v>0</v>
      </c>
      <c r="BM30" s="917">
        <f ca="1">BG30-BD33</f>
        <v>3</v>
      </c>
      <c r="BN30" s="917">
        <f ca="1">RANK(BO30,BO30:BO33,1)</f>
        <v>1</v>
      </c>
      <c r="BO30" s="917">
        <f ca="1">SUM(IF(AND(AJ30=AJ31,AQ30=AQ31,AO30=AO31),BQ30,0),IF(AND(AJ30=AJ32,AQ30=AQ32,AO30=AO32),BR30,0),IF(AND(AJ30=AJ33,AQ30=AQ33,AO30=AO33),BS30,0))</f>
        <v>0</v>
      </c>
      <c r="BP30" s="917">
        <v>0</v>
      </c>
      <c r="BQ30" s="917">
        <f t="array" aca="1" ref="BQ30" ca="1">SUM((I$4:I$49=AY30)*(N$4:N$49=BQ29)*(K$4:K$49&lt;&gt;"")*(L$4:L$49&lt;&gt;"")*(K$4:K$49&gt;L$4:L$49)*3,(N$4:N$49=AY30)*(I$4:I$49=BQ29)*(K$4:K$49&lt;&gt;"")*(L$4:L$49&lt;&gt;"")*(K$4:K$49=L$4:L$49)*1,(N$4:N$49=AY30)*(I$4:I$49=BQ29)*(K$4:K$49&lt;&gt;"")*(L$4:L$49&lt;&gt;"")*(K$4:K$49&lt;L$4:L$49)*3,(I$4:I$49=AY30)*(N$4:N$49=BQ29)*(K$4:K$49&lt;&gt;"")*(L$4:L$49&lt;&gt;"")*(K$4:K$49=L$4:L$49)*1)</f>
        <v>3</v>
      </c>
      <c r="BR30" s="917">
        <f t="array" aca="1" ref="BR30" ca="1">SUM((I$4:I$49=AY30)*(N$4:N$49=BR29)*(K$4:K$49&lt;&gt;"")*(L$4:L$49&lt;&gt;"")*(K$4:K$49&gt;L$4:L$49)*3,(N$4:N$49=AY30)*(I$4:I$49=BR29)*(K$4:K$49&lt;&gt;"")*(L$4:L$49&lt;&gt;"")*(K$4:K$49=L$4:L$49)*1,(N$4:N$49=AY30)*(I$4:I$49=BR29)*(K$4:K$49&lt;&gt;"")*(L$4:L$49&lt;&gt;"")*(K$4:K$49&lt;L$4:L$49)*3,(I$4:I$49=AY30)*(N$4:N$49=BR29)*(K$4:K$49&lt;&gt;"")*(L$4:L$49&lt;&gt;"")*(K$4:K$49=L$4:L$49)*1)</f>
        <v>1</v>
      </c>
      <c r="BS30" s="917">
        <f t="array" aca="1" ref="BS30" ca="1">SUM((I$4:I$49=AY30)*(N$4:N$49=BS29)*(K$4:K$49&lt;&gt;"")*(L$4:L$49&lt;&gt;"")*(K$4:K$49&gt;L$4:L$49)*3,(N$4:N$49=AY30)*(I$4:I$49=BS29)*(K$4:K$49&lt;&gt;"")*(L$4:L$49&lt;&gt;"")*(K$4:K$49=L$4:L$49)*1,(N$4:N$49=AY30)*(I$4:I$49=BS29)*(K$4:K$49&lt;&gt;"")*(L$4:L$49&lt;&gt;"")*(K$4:K$49&lt;L$4:L$49)*3,(I$4:I$49=AY30)*(N$4:N$49=BS29)*(K$4:K$49&lt;&gt;"")*(L$4:L$49&lt;&gt;"")*(K$4:K$49=L$4:L$49)*1)</f>
        <v>3</v>
      </c>
      <c r="BT30" s="911">
        <v>1</v>
      </c>
      <c r="BU30" s="911">
        <f ca="1">RANK(BW30,$BW$30:$BW$33)</f>
        <v>1</v>
      </c>
      <c r="BV30" s="911" t="str">
        <f ca="1">A29</f>
        <v>Francia</v>
      </c>
      <c r="BW30" s="911">
        <f t="shared" ref="BW30" ca="1" si="21">AR30</f>
        <v>7804210499.8699999</v>
      </c>
      <c r="BX30" s="911" t="str">
        <f ca="1">VLOOKUP(Q30,$AH$30:$AI$33,2,0)</f>
        <v>Francia</v>
      </c>
      <c r="BY30" s="911">
        <f ca="1">VLOOKUP($BX30,$AI$30:$AR$33,10,FALSE)</f>
        <v>7804210499.8699999</v>
      </c>
      <c r="CA30" s="911">
        <v>1</v>
      </c>
      <c r="CB30" s="911" t="str">
        <f ca="1">VLOOKUP(CA30,$AH$30:$AI$33,2,0)</f>
        <v>Francia</v>
      </c>
      <c r="CC30" s="911">
        <f ca="1">VLOOKUP(CB30,$AI$30:$AR$33,2,FALSE)</f>
        <v>7</v>
      </c>
      <c r="CD30" s="918">
        <f ca="1">IF(SUM($AK$30:$AK$33)=12,MIN(ABS(BY29-BY30),ABS(BY30-BY31)),100)</f>
        <v>1140000000.0299997</v>
      </c>
      <c r="CE30" s="911">
        <f ca="1">VLOOKUP($CB30,$AI$30:$AR$33,9,FALSE)</f>
        <v>4</v>
      </c>
      <c r="CF30" s="911">
        <f ca="1">VLOOKUP($CB30,$AI$30:$AR$33,7,FALSE)</f>
        <v>7</v>
      </c>
      <c r="CH30" s="911">
        <f t="array" aca="1" ref="CH30" ca="1">IF($CI$30=$CL$29,$EC$29:$EC$32,IF($CI$30=$CM$29,$ED$29:$ED$31,IF(OR($CI$30=$CN$29,$CI$30=$CO$29),$EE$29:$EE$30,$EI$29)))</f>
        <v>1</v>
      </c>
      <c r="CI30" s="909" t="str">
        <f ca="1">IFERROR(HLOOKUP(4,CL28:DI29,2,0),CS29)</f>
        <v>COM_8</v>
      </c>
      <c r="CK30" s="909">
        <v>1</v>
      </c>
      <c r="CL30" s="909">
        <f t="array" aca="1" ref="CL30" ca="1">IF(AND($CC$30:$CC$33=$CC$30,$CD$30:$CD$33&lt;90,$AQ$30:$AQ$33=$AQ$30,$CF$30:$CF$33=$CF$30),1,0)</f>
        <v>0</v>
      </c>
      <c r="CM30" s="909">
        <f t="array" aca="1" ref="CM30" ca="1">IF(AND($CC$30:$CC$32=$CC$30,$CD$30:$CD$32&lt;90,$CC$30&lt;&gt;$CC$33),1,0)</f>
        <v>0</v>
      </c>
      <c r="CN30" s="909">
        <f t="array" aca="1" ref="CN30" ca="1">IF(AND($CC$30:$CC$31=$CC$30,$CD$30:$CD$31&lt;90,$CC$30&lt;&gt;$CC$32),1,0)</f>
        <v>0</v>
      </c>
      <c r="CO30" s="909">
        <f t="array" aca="1" ref="CO30" ca="1">IF(AND($CC$30:$CC$31=$CC$30,$CD$30:$CD$31&lt;90,$CC$30&lt;&gt;$CC$32),1,0)</f>
        <v>0</v>
      </c>
      <c r="CP30" s="909">
        <f t="array" aca="1" ref="CP30" ca="1">IF(AND($CC$31:$CC$33=$CC$31,$CD$31:$CD$33&lt;90,$CC$30&lt;&gt;$CC$31),1,0)</f>
        <v>0</v>
      </c>
      <c r="CQ30" s="909">
        <f t="array" aca="1" ref="CQ30" ca="1">IF(AND($CC$30&lt;&gt;$CC$31,$CC$30&lt;&gt;$CC$33),1,0)</f>
        <v>1</v>
      </c>
      <c r="CR30" s="909">
        <f t="array" aca="1" ref="CR30" ca="1">IF(AND($CC$30&lt;&gt;$CC$31,$CC$30&lt;&gt;$CC$33),1,0)</f>
        <v>1</v>
      </c>
      <c r="CS30" s="909">
        <f t="array" aca="1" ref="CS30" ca="1">IF(AND($CC$30&lt;&gt;$CC$31,$CC$30&lt;&gt;$CC$33),1,0)</f>
        <v>1</v>
      </c>
      <c r="CT30" s="909">
        <f t="array" aca="1" ref="CT30" ca="1">IF(AND($CC$30:$CC$33=$CC$30,$CD$30:$CD$33&lt;90,$CE$30:$CE$31=$CE$30,$CE$30&lt;&gt;$CE$32),1,0)</f>
        <v>0</v>
      </c>
      <c r="CU30" s="909">
        <f t="array" aca="1" ref="CU30" ca="1">IF(AND($CC$30:$CC$33=$CC$30,$CD$30:$CD$33&lt;90,$CE$30:$CE$33=$CE$30,$CF$30=$CF$31,$CF$30&lt;&gt;$CF$32),1,0)</f>
        <v>0</v>
      </c>
      <c r="CV30" s="909">
        <f t="array" aca="1" ref="CV30" ca="1">IF(AND($CC$30:$CC$32=$CC$30,$CD$30:$CD$31&lt;90,$CD$32&gt;90),1,0)</f>
        <v>0</v>
      </c>
      <c r="CW30" s="909">
        <f t="array" aca="1" ref="CW30" ca="1">IF(AND($CC$30&lt;&gt;$CC$31,$CC$30&lt;&gt;$CC$32),1,0)</f>
        <v>1</v>
      </c>
      <c r="CX30" s="909">
        <f t="array" aca="1" ref="CX30" ca="1">IF(AND($CC$30&lt;&gt;$CC$31,$CC$30&lt;&gt;$CC$32),1,0)</f>
        <v>1</v>
      </c>
      <c r="CY30" s="909">
        <f t="array" aca="1" ref="CY30" ca="1">IF(AND($CC$30&lt;&gt;$CC$33,$CC$30:$CC$32=$CC$30,$CD$30&gt;90,$CD$31:$CD$32&lt;90),1,0)</f>
        <v>0</v>
      </c>
      <c r="CZ30" s="909">
        <f t="array" aca="1" ref="CZ30" ca="1">IF(AND($CC$30:$CC$33=$CC$30,$CD$31:$CD$33&lt;90,$CD$30&lt;&gt;$CD$31),1,0)</f>
        <v>0</v>
      </c>
      <c r="DA30" s="909">
        <f t="array" aca="1" ref="DA30" ca="1">IF(AND($CC$30:$CC$33=$CC$30,$CD$30:$CD$32&lt;90,$CD$30&lt;&gt;$CD$33),1,0)</f>
        <v>0</v>
      </c>
      <c r="DB30" s="909">
        <f t="array" aca="1" ref="DB30" ca="1">IF(AND($CC$30:$CC$33=$CC$30,$CD$30:$CD$31&gt;90,$CD$32:$CD$33&lt;90,$CE$30:$CE$33=$CE$30,$CF$30&gt;$CF$31,$CF$30&gt;$CF$32,$CF$30&gt;$CF$33),1,0)</f>
        <v>0</v>
      </c>
      <c r="DC30" s="909">
        <f t="array" aca="1" ref="DC30" ca="1">IF(AND($CC$30:$CC$33=$CC$30,$CD$30&gt;90,$CD$31:$CD$32&lt;90,$CD$33&gt;90,$CE$30:$CE$33=$CE$30,$CF$30&gt;$CF$31,$CF$30&gt;$CF$32,$CF$30&gt;$CF$33),1,0)</f>
        <v>0</v>
      </c>
      <c r="DD30" s="909">
        <f t="array" aca="1" ref="DD30" ca="1">IF(AND($CC$30:$CC$33=$CC$30,$CD$30:$CD$31&lt;90,$CD$32:$CD$33&gt;90,$CE$30:$CE$33=$CE$30,$CF$30=$CF$31,$CF$30&gt;$CF$32,$CF$30&gt;$CF$33),1,0)</f>
        <v>0</v>
      </c>
      <c r="DE30" s="909">
        <f t="array" aca="1" ref="DE30" ca="1">IF(AND($CC$30:$CC$33=$CC$30,$CD$30:$CD$31&gt;90,$CD$32:$CD$33&lt;90,$CE$30:$CE$33=$CE$30,$CF$30&gt;$CF$31,$CF$31:$CF$33=$CF$31),1,0)</f>
        <v>0</v>
      </c>
      <c r="DF30" s="909">
        <f t="array" aca="1" ref="DF30" ca="1">IF(AND($CC$30:$CC$33=$CC$30,$CD$30:$CD$31&lt;90,$CD$32:$CD$33&gt;90,$CE$30:$CE$33=$CE$30,$CF$30:$CF$32=$CF$30,$CF$30&gt;$CF$33),1,0)</f>
        <v>0</v>
      </c>
      <c r="DG30" s="909">
        <f t="array" aca="1" ref="DG30" ca="1">IF(AND($CC$30:$CC$33=$CC$30,$CD$30&gt;90,$CD$33&gt;90,$CD$31:$CD$32&lt;90,$CE$30:$CE$33=$CE$30,$CF$30&gt;$CF$31:$CF$33),1,0)</f>
        <v>0</v>
      </c>
      <c r="EC30" s="911">
        <v>2</v>
      </c>
      <c r="ED30" s="911">
        <v>2</v>
      </c>
      <c r="EE30" s="911">
        <v>2</v>
      </c>
      <c r="EF30" s="911">
        <v>3</v>
      </c>
      <c r="EG30" s="911">
        <v>4</v>
      </c>
      <c r="EH30" s="911">
        <v>3</v>
      </c>
      <c r="EI30" s="911"/>
      <c r="EJ30" s="911"/>
      <c r="EK30" s="911"/>
      <c r="EL30" s="911"/>
      <c r="FI30" s="917"/>
      <c r="FK30" s="917"/>
      <c r="FM30" s="917"/>
    </row>
    <row r="31" spans="1:169">
      <c r="A31" s="871" t="str">
        <f t="array" aca="1" ref="A31" ca="1">IF(ROWS(A$29:A31)&lt;=$C$28,INDEX(INDIRECT(A$28),SMALL(IF(Nivell=$B$28,ROW(Nivell)-ROW(Equipos!$C$2)+1),ROWS(B$28:B30))),"")</f>
        <v>Túnez</v>
      </c>
      <c r="B31" s="872"/>
      <c r="C31" s="857"/>
      <c r="D31" s="152"/>
      <c r="E31" s="971"/>
      <c r="F31" s="230">
        <f>Horarios!C31</f>
        <v>44891.791666666664</v>
      </c>
      <c r="G31" s="231">
        <f>Horarios!C31</f>
        <v>44891.791666666664</v>
      </c>
      <c r="H31" s="230" t="s">
        <v>70</v>
      </c>
      <c r="I31" s="232" t="str">
        <f ca="1">A29</f>
        <v>Francia</v>
      </c>
      <c r="J31" s="233" t="str">
        <f ca="1">VLOOKUP(I31,Equipos!$H$2:$I$33,2,0)</f>
        <v>🇫🇷</v>
      </c>
      <c r="K31" s="234">
        <v>2</v>
      </c>
      <c r="L31" s="234">
        <v>1</v>
      </c>
      <c r="M31" s="338" t="str">
        <f ca="1">VLOOKUP(N31,Equipos!$H$2:$I$33,2,0)</f>
        <v>🇩🇰</v>
      </c>
      <c r="N31" s="241" t="str">
        <f ca="1">A30</f>
        <v>Dinamarca</v>
      </c>
      <c r="O31" s="347">
        <f t="shared" si="19"/>
        <v>1</v>
      </c>
      <c r="P31" s="82"/>
      <c r="Q31" s="269">
        <v>2</v>
      </c>
      <c r="R31" s="5" t="str">
        <f ca="1">VLOOKUP(Q31,$AG$30:$AI$33,3,0)</f>
        <v>Australia</v>
      </c>
      <c r="S31" s="4">
        <f ca="1">VLOOKUP(R31,$AI$30:$AR$33,2,FALSE)</f>
        <v>6</v>
      </c>
      <c r="T31" s="4">
        <f ca="1">VLOOKUP($R31,$AI$30:$AR$33,3,FALSE)</f>
        <v>3</v>
      </c>
      <c r="U31" s="4">
        <f ca="1">VLOOKUP($R31,$AI$30:$AR$33,4,FALSE)</f>
        <v>2</v>
      </c>
      <c r="V31" s="4">
        <f ca="1">VLOOKUP($R31,$AI$30:$AR$33,5,FALSE)</f>
        <v>0</v>
      </c>
      <c r="W31" s="4">
        <f ca="1">VLOOKUP($R31,$AI$30:$AR$33,6,FALSE)</f>
        <v>1</v>
      </c>
      <c r="X31" s="4">
        <f ca="1">VLOOKUP($R31,$AI$30:$AR$33,7,FALSE)</f>
        <v>3</v>
      </c>
      <c r="Y31" s="4">
        <f ca="1">VLOOKUP($R31,$AI$30:$AR$33,8,FALSE)</f>
        <v>4</v>
      </c>
      <c r="Z31" s="270">
        <f ca="1">VLOOKUP($R31,$AI$30:$AR$33,9,FALSE)</f>
        <v>-1</v>
      </c>
      <c r="AA31" s="357">
        <f ca="1">IF(SUM($AK$30:$AK$33)=12,MIN(ABS(BY30-BY31),ABS(BY31-BY32)),100)</f>
        <v>1140000000.0299997</v>
      </c>
      <c r="AB31" s="94" t="str">
        <f ca="1">IF(AND(AA31&gt;=0,AA31&lt;90),VLOOKUP(Q31,$BU$30:$BV$33,2,0),"")</f>
        <v/>
      </c>
      <c r="AC31" s="73"/>
      <c r="AD31" s="74"/>
      <c r="AE31" s="328"/>
      <c r="AF31" s="910">
        <f ca="1">VLOOKUP($R31,$AI$30:$AR$33,10,FALSE)</f>
        <v>6664210499.8400002</v>
      </c>
      <c r="AG31" s="909">
        <f ca="1">RANK(AU31,$AU$30:$AU$33)</f>
        <v>4</v>
      </c>
      <c r="AH31" s="909">
        <f ca="1">RANK(AR31,$AR$30:$AR$33)</f>
        <v>4</v>
      </c>
      <c r="AI31" s="911" t="str">
        <f ca="1">A30</f>
        <v>Dinamarca</v>
      </c>
      <c r="AJ31" s="909">
        <f ca="1">AL31*3+AM31*1+AN31*0</f>
        <v>1</v>
      </c>
      <c r="AK31" s="909">
        <f ca="1">COUNTIFS($I$4:$I$65,AI31,$K$4:$K$65,"&lt;&gt;",$L$4:$L$65,"&lt;&gt;")+COUNTIFS($N$4:$N$65,AI31,$L$4:$L$65,"&lt;&gt;",$K$4:$K$65,"&lt;&gt;")</f>
        <v>3</v>
      </c>
      <c r="AL31" s="909">
        <f t="array" aca="1" ref="AL31" ca="1">SUM(($I$4:$I$65=AI31)*($K$4:$K$65&lt;&gt;"")*($L$4:$L$65&lt;&gt;"")*($K$4:$K$65&gt;$L$4:$L$65),($N$4:$N$65=AI31)*($K$4:$K$65&lt;&gt;"")*($L$4:$L$65&lt;&gt;"")*($K$4:$K$65&lt;$L$4:$L$65))</f>
        <v>0</v>
      </c>
      <c r="AM31" s="909">
        <f t="array" aca="1" ref="AM31" ca="1">SUM(($I$4:$I$65=AI31)*($K$4:$K$65&lt;&gt;"")*($L$4:$L$65&lt;&gt;"")*($K$4:$K$65=$L$4:$L$65),($N$4:$N$65=AI31)*($K$4:$K$65&lt;&gt;"")*($L$4:$L$65&lt;&gt;"")*($K$4:$K$65=$L$4:$L$65))</f>
        <v>1</v>
      </c>
      <c r="AN31" s="909">
        <f t="array" aca="1" ref="AN31" ca="1">SUM(($I$4:$I$65=AI31)*($L$4:$L$65&lt;&gt;"")*($K$4:$K$65&lt;&gt;"")*($K$4:$K$65&lt;$L$4:$L$65),($K$4:$K$65&lt;&gt;"")*($N$4:$N$65=AI31)*($L$4:$L$65&lt;&gt;"")*($K$4:$K$65&gt;$L$4:$L$65))</f>
        <v>2</v>
      </c>
      <c r="AO31" s="909">
        <f t="array" aca="1" ref="AO31" ca="1">SUMIFS($K$4:$K$65,$I$4:$I$65,AI31,$K$4:$K$65,"&lt;&gt;",$L$4:$L$65,"&lt;&gt;")+SUMIFS($L$4:$L$65,$N$4:$N$65,AI31,$K$4:$K$65,"&lt;&gt;",$L$4:$L$65,"&lt;&gt;")</f>
        <v>1</v>
      </c>
      <c r="AP31" s="909">
        <f t="array" aca="1" ref="AP31" ca="1">SUMIFS($K$4:$K$65,$N$4:$N$65,AI31,$K$4:$K$65,"&lt;&gt;",$L$4:$L$65,"&lt;&gt;")+SUMIFS($L$4:$L$65,$I$4:$I$65,AI31,$K$4:$K$65,"&lt;&gt;",$L$4:$L$65,"&lt;&gt;")</f>
        <v>3</v>
      </c>
      <c r="AQ31" s="909">
        <f ca="1">AO31-AP31</f>
        <v>-2</v>
      </c>
      <c r="AR31" s="909">
        <f ca="1">IF(AK31=0,-($AW$11*VLOOKUP(AI31,Tabla3[[NombreEquipo]:[Rank]],3,FALSE)),AJ31*$AW$4+AQ31*$AW$5+AO31*$AW$6+BA31-($AW$11*VLOOKUP(AI31,Tabla3[[NombreEquipo]:[Rank]],3,FALSE)/100))</f>
        <v>1102210499.8599999</v>
      </c>
      <c r="AS31" s="909">
        <f ca="1">AH31</f>
        <v>4</v>
      </c>
      <c r="AT31" s="909"/>
      <c r="AU31" s="909">
        <f ca="1">IFERROR(AR31-VLOOKUP(AI31,$AB$30:$AC$33,2,0),AR31)</f>
        <v>1102210499.8599999</v>
      </c>
      <c r="AV31" s="909"/>
      <c r="AW31" s="912"/>
      <c r="AX31" s="909"/>
      <c r="AY31" s="916" t="str">
        <f ca="1">AI31</f>
        <v>Dinamarca</v>
      </c>
      <c r="AZ31" s="909">
        <f ca="1">COUNTIF(AJ30:AJ33,AJ31)</f>
        <v>1</v>
      </c>
      <c r="BA31" s="909">
        <f t="shared" ca="1" si="20"/>
        <v>210500</v>
      </c>
      <c r="BB31" s="917">
        <f ca="1">RANK(BC31,BC30:BC33,1)</f>
        <v>1</v>
      </c>
      <c r="BC31" s="917">
        <f ca="1">SUM(IF(AND(AJ31=AJ32,AQ31=AQ32,AO31=AO32),BF31,0),IF(AND(AJ31=AJ33,AQ31=AQ33,AO31=AO33),BG31,0),IF(AND(AJ31=AJ30,AQ31=AQ30,AO31=AO30),BD31,0))</f>
        <v>0</v>
      </c>
      <c r="BD31" s="917">
        <f t="array" aca="1" ref="BD31" ca="1">SUMIFS($K$28:$K$33,$I$28:$I$33,$AY31,$K$28:$K$33,"&lt;&gt;",$L$28:$L$33,"&lt;&gt;",$N$28:$N$33,BD29)+SUMIFS($L$28:$L$33,$I$28:$I$33,BD29,$K$28:$K$33,"&lt;&gt;",$L$28:$L$33,"&lt;&gt;",$N$28:$N$33,$AY31)</f>
        <v>1</v>
      </c>
      <c r="BE31" s="917">
        <v>0</v>
      </c>
      <c r="BF31" s="917">
        <f t="array" aca="1" ref="BF31" ca="1">SUMIFS($K$28:$K$33,$I$28:$I$33,$AY31,$K$28:$K$33,"&lt;&gt;",$L$28:$L$33,"&lt;&gt;",$N$28:$N$33,BF29)+SUMIFS($L$28:$L$33,$I$28:$I$33,BF29,$K$28:$K$33,"&lt;&gt;",$L$28:$L$33,"&lt;&gt;",$N$28:$N$33,$AY31)</f>
        <v>0</v>
      </c>
      <c r="BG31" s="917">
        <f t="array" aca="1" ref="BG31" ca="1">SUMIFS($K$28:$K$33,$I$28:$I$33,$AY31,$K$28:$K$33,"&lt;&gt;",$L$28:$L$33,"&lt;&gt;",$N$28:$N$33,BG29)+SUMIFS($L$28:$L$33,$I$28:$I$33,BG29,$K$28:$K$33,"&lt;&gt;",$L$28:$L$33,"&lt;&gt;",$N$28:$N$33,$AY31)</f>
        <v>0</v>
      </c>
      <c r="BH31" s="917">
        <f ca="1">RANK(BI31,BI30:BI33,1)</f>
        <v>1</v>
      </c>
      <c r="BI31" s="917">
        <f ca="1">SUM(IF(AND(AJ31=AJ32,AQ31=AQ32,AO31=AO32),BL31,0),IF(AND(AJ31=AJ33,AQ31=AQ33,AO31=AO33),BM31,0),IF(AND(AJ31=AJ30,AQ31=AQ30,AO31=AO30),BJ31,0))</f>
        <v>0</v>
      </c>
      <c r="BJ31" s="917">
        <f ca="1">BD31-BE30</f>
        <v>-1</v>
      </c>
      <c r="BK31" s="917">
        <v>0</v>
      </c>
      <c r="BL31" s="917">
        <f ca="1">BF31-BE32</f>
        <v>0</v>
      </c>
      <c r="BM31" s="917">
        <f ca="1">BG31-BE33</f>
        <v>-1</v>
      </c>
      <c r="BN31" s="917">
        <f ca="1">RANK(BO31,BO30:BO33,1)</f>
        <v>1</v>
      </c>
      <c r="BO31" s="917">
        <f ca="1">SUM(IF(AND(AJ31=AJ32,AQ31=AQ32,AO31=AO32),BR31,0),IF(AND(AJ31=AJ33,AQ31=AQ33,AO31=AO33),BS31,0),IF(AND(AJ31=AJ30,AQ31=AQ30,AO31=AO30),BP31,0))</f>
        <v>0</v>
      </c>
      <c r="BP31" s="917">
        <f t="array" aca="1" ref="BP31" ca="1">SUM((I$4:I$49=AY31)*(N$4:N$49=BP29)*(K$4:K$49&lt;&gt;"")*(L$4:L$49&lt;&gt;"")*(K$4:K$49&gt;L$4:L$49)*3,(N$4:N$49=AY31)*(I$4:I$49=BP29)*(K$4:K$49&lt;&gt;"")*(L$4:L$49&lt;&gt;"")*(K$4:K$49=L$4:L$49)*1,(N$4:N$49=AY31)*(I$4:I$49=BP29)*(K$4:K$49&lt;&gt;"")*(L$4:L$49&lt;&gt;"")*(K$4:K$49&lt;L$4:L$49)*3,(I$4:I$49=AY31)*(N$4:N$49=BP29)*(K$4:K$49&lt;&gt;"")*(L$4:L$49&lt;&gt;"")*(K$4:K$49=L$4:L$49)*1)</f>
        <v>0</v>
      </c>
      <c r="BQ31" s="917">
        <v>0</v>
      </c>
      <c r="BR31" s="917">
        <f t="array" aca="1" ref="BR31" ca="1">SUM((I$4:I$49=AY31)*(N$4:N$49=BR29)*(K$4:K$49&lt;&gt;"")*(L$4:L$49&lt;&gt;"")*(K$4:K$49&gt;L$4:L$49)*3,(N$4:N$49=AY31)*(I$4:I$49=BR29)*(K$4:K$49&lt;&gt;"")*(L$4:L$49&lt;&gt;"")*(K$4:K$49=L$4:L$49)*1,(N$4:N$49=AY31)*(I$4:I$49=BR29)*(K$4:K$49&lt;&gt;"")*(L$4:L$49&lt;&gt;"")*(K$4:K$49&lt;L$4:L$49)*3,(I$4:I$49=AY31)*(N$4:N$49=BR29)*(K$4:K$49&lt;&gt;"")*(L$4:L$49&lt;&gt;"")*(K$4:K$49=L$4:L$49)*1)</f>
        <v>1</v>
      </c>
      <c r="BS31" s="917">
        <f t="array" aca="1" ref="BS31" ca="1">SUM((I$4:I$49=AY31)*(N$4:N$49=BS29)*(K$4:K$49&lt;&gt;"")*(L$4:L$49&lt;&gt;"")*(K$4:K$49&gt;L$4:L$49)*3,(N$4:N$49=AY31)*(I$4:I$49=BS29)*(K$4:K$49&lt;&gt;"")*(L$4:L$49&lt;&gt;"")*(K$4:K$49=L$4:L$49)*1,(N$4:N$49=AY31)*(I$4:I$49=BS29)*(K$4:K$49&lt;&gt;"")*(L$4:L$49&lt;&gt;"")*(K$4:K$49&lt;L$4:L$49)*3,(I$4:I$49=AY31)*(N$4:N$49=BS29)*(K$4:K$49&lt;&gt;"")*(L$4:L$49&lt;&gt;"")*(K$4:K$49=L$4:L$49)*1)</f>
        <v>0</v>
      </c>
      <c r="BT31" s="911">
        <v>2</v>
      </c>
      <c r="BU31" s="911">
        <f ca="1">RANK(BW31,$BW$30:$BW$33)</f>
        <v>4</v>
      </c>
      <c r="BV31" s="911" t="str">
        <f ca="1">A30</f>
        <v>Dinamarca</v>
      </c>
      <c r="BW31" s="911">
        <f t="shared" ca="1" si="9"/>
        <v>1102210499.8599999</v>
      </c>
      <c r="BX31" s="911" t="str">
        <f ca="1">VLOOKUP(Q31,$AH$30:$AI$33,2,0)</f>
        <v>Australia</v>
      </c>
      <c r="BY31" s="911">
        <f ca="1">VLOOKUP($BX31,$AI$30:$AR$33,10,FALSE)</f>
        <v>6664210499.8400002</v>
      </c>
      <c r="CA31" s="911">
        <v>2</v>
      </c>
      <c r="CB31" s="911" t="str">
        <f ca="1">VLOOKUP(CA31,$AH$30:$AI$33,2,0)</f>
        <v>Australia</v>
      </c>
      <c r="CC31" s="911">
        <f ca="1">VLOOKUP(CB31,$AI$30:$AR$33,2,FALSE)</f>
        <v>6</v>
      </c>
      <c r="CD31" s="918">
        <f ca="1">IF(SUM($AK$30:$AK$33)=12,MIN(ABS(BY30-BY31),ABS(BY31-BY32)),100)</f>
        <v>1140000000.0299997</v>
      </c>
      <c r="CE31" s="911">
        <f ca="1">VLOOKUP($CB31,$AI$30:$AR$33,9,FALSE)</f>
        <v>-1</v>
      </c>
      <c r="CF31" s="911">
        <f ca="1">VLOOKUP($CB31,$AI$30:$AR$33,7,FALSE)</f>
        <v>3</v>
      </c>
      <c r="CH31" s="911">
        <f t="array" aca="1" ref="CH31" ca="1">IF($CI$30=$CL$29,$EC$29:$EC$32,IF($CI$30=$CM$29,$ED$29:$ED$31,IF(OR($CI$30=$CN$29,$CI$30=$CO$29),$EE$29:$EE$30,IF($CI$30=$CP$29,$EF$29:$EF$31,(IF($CI$30=$CQ$29,$EH$29:$EH$30,$EJ$29))))))</f>
        <v>2</v>
      </c>
      <c r="CK31" s="909">
        <v>2</v>
      </c>
      <c r="CL31" s="909">
        <f t="array" aca="1" ref="CL31" ca="1">IF(AND($CC$30:$CC$33=$CC$31,$CD$30:$CD$33&lt;90,$AQ$30:$AQ$33=$AQ$31,$CF$30:$CF$33=$CF$31),1,0)</f>
        <v>0</v>
      </c>
      <c r="CM31" s="909">
        <f t="array" aca="1" ref="CM31" ca="1">IF(AND($CC$30:$CC$32=$CC$31,$CD$30:$CD$32&lt;90,$CC$31&lt;&gt;$CC$33),1,0)</f>
        <v>0</v>
      </c>
      <c r="CN31" s="909">
        <f t="array" aca="1" ref="CN31" ca="1">IF(AND($CC$30:$CC$31=$CC$30,$CD$30:$CD$31&lt;90,$CC$30&lt;&gt;$CC$32),1,0)</f>
        <v>0</v>
      </c>
      <c r="CO31" s="909">
        <f t="array" aca="1" ref="CO31" ca="1">IF(AND($CC$30:$CC$31=$CC$30,$CD$30:$CD$31&lt;90,$CC$30&lt;&gt;$CC$32),1,0)</f>
        <v>0</v>
      </c>
      <c r="CP31" s="909">
        <f t="array" aca="1" ref="CP31" ca="1">IF(AND($CC$31:$CC$33=$CC$31,$CD$31:$CD$33&lt;90,$CC$30&lt;&gt;$CC$31),1,0)</f>
        <v>0</v>
      </c>
      <c r="CQ31" s="909">
        <f t="array" aca="1" ref="CQ31" ca="1">IF(AND($CC$31:$CC$32=$CC$31,$CD$31:$CD$32&lt;90,$CC$31&lt;&gt;$CC$30,$CC$31&lt;&gt;$CC$33),1,0)</f>
        <v>0</v>
      </c>
      <c r="CR31" s="909">
        <f t="array" aca="1" ref="CR31" ca="1">IF(AND($CC$31&lt;&gt;$CC$30,$CC$31&lt;&gt;$CC$32),1,0)</f>
        <v>1</v>
      </c>
      <c r="CS31" s="909">
        <f t="array" aca="1" ref="CS31" ca="1">IF(AND($CC$31&lt;&gt;$CC$30,$CC$31&lt;&gt;$CC$32),1,0)</f>
        <v>1</v>
      </c>
      <c r="CT31" s="909">
        <f t="array" aca="1" ref="CT31" ca="1">IF(AND($CC$30:$CC$33=$CC$30,$CD$30:$CD$33&lt;90,$CE$30:$CE$31=$CE$30,$CE$31&lt;&gt;$CE$32),1,0)</f>
        <v>0</v>
      </c>
      <c r="CU31" s="909">
        <f t="array" aca="1" ref="CU31" ca="1">IF(AND($CC$30:$CC$33=$CC$30,$CD$30:$CD$33&lt;90,$CE$30:$CE$33=$CE$30,$CF$30=$CF$31,$CF$31&lt;&gt;$CF$32),1,0)</f>
        <v>0</v>
      </c>
      <c r="CV31" s="909">
        <f t="array" aca="1" ref="CV31" ca="1">IF(AND($CC$30:$CC$32=$CC$31,$CD$30:$CD$31&lt;90,$CD$32&gt;90),1,0)</f>
        <v>0</v>
      </c>
      <c r="CW31" s="909">
        <f t="array" aca="1" ref="CW31" ca="1">IF(AND($CC$31&lt;&gt;$CC$30,$CC$31:$CC$33=$CC$31,$CD$31&gt;90,$CD$32:$CD$33&lt;90),1,0)</f>
        <v>0</v>
      </c>
      <c r="CX31" s="909">
        <f t="array" aca="1" ref="CX31" ca="1">IF(AND($CC$31&lt;&gt;$CC$30,$CC$31:$CC$33=$CC$31,$CD$33&gt;90,$CD$31:$CD$32&lt;90),1,0)</f>
        <v>0</v>
      </c>
      <c r="CY31" s="909">
        <f t="array" aca="1" ref="CY31" ca="1">IF(AND($CC$31&lt;&gt;$CC$33,$CC$30:$CC$32=$CC$31,$CD$30&gt;90,$CD$31:$CD$32&lt;90),1,0)</f>
        <v>0</v>
      </c>
      <c r="CZ31" s="909">
        <f t="array" aca="1" ref="CZ31" ca="1">IF(AND($CC$30:$CC$33=$CC$31,$CD$31:$CD$33&lt;90,$CD$30&lt;&gt;$CD$31),1,0)</f>
        <v>0</v>
      </c>
      <c r="DA31" s="909">
        <f t="array" aca="1" ref="DA31" ca="1">IF(AND($CC$30:$CC$33=$CC$31,$CD$30:$CD$32&lt;90,$CD$31&lt;&gt;$CD$33),1,0)</f>
        <v>0</v>
      </c>
      <c r="DB31" s="909">
        <f t="array" aca="1" ref="DB31" ca="1">IF(AND($CC$30:$CC$33=$CC$31,$CD$30:$CD$31&gt;90,$CD$32:$CD$33&lt;90,$CE$30:$CE$33=$CE$31,$CF$30&gt;$CF$31,$CF$31&gt;$CF$32,$CF$31&gt;$CF$33),1,0)</f>
        <v>0</v>
      </c>
      <c r="DC31" s="909">
        <f t="array" aca="1" ref="DC31" ca="1">IF(AND($CC$30:$CC$33=$CC$31,$CD$30&gt;90,$CD$31:$CD$32&lt;90,$CD$33&gt;90,$CE$30:$CE$33=$CE$31,$CF$30&gt;$CF$31,$CF$31=$CF$32,$CF$31&gt;$CF$33),1,0)</f>
        <v>0</v>
      </c>
      <c r="DD31" s="909">
        <f t="array" aca="1" ref="DD31" ca="1">IF(AND($CC$30:$CC$33=$CC$31,$CD$30:$CD$31&lt;90,$CD$32:$CD$33&gt;90,$CE$30:$CE$33=$CE$31,$CF$30=$CF$31,$CF$31&gt;$CF$32,$CF$31&gt;$CF$33),1,0)</f>
        <v>0</v>
      </c>
      <c r="DE31" s="909">
        <f t="array" aca="1" ref="DE31" ca="1">IF(AND($CC$30:$CC$33=$CC$31,$CD$30:$CD$31&gt;90,$CD$32:$CD$33&lt;90,$CE$30:$CE$33=$CE$31,$CF$30&gt;$CF$31,$CF$31:$CF$33=$CF$31),1,0)</f>
        <v>0</v>
      </c>
      <c r="DF31" s="909">
        <f t="array" aca="1" ref="DF31" ca="1">IF(AND($CC$30:$CC$33=$CC$31,$CD$30:$CD$31&lt;90,$CD$32:$CD$33&gt;90,$CE$30:$CE$33=$CE$31,$CF$30:$CF$32=$CF$31,$CF$31&gt;$CF$33),1,0)</f>
        <v>0</v>
      </c>
      <c r="DG31" s="909">
        <f t="array" aca="1" ref="DG31" ca="1">IF(AND($CC$30:$CC$33=$CC$31,$CD$30&gt;90,$CD$33&gt;90,$CD$31:$CD$32&lt;90,$CE$30:$CE$33=$CE$31,$CF$30&gt;$CF$31:$CF$33,$CF$31:$CF$33=$CF$31),1,0)</f>
        <v>0</v>
      </c>
      <c r="EC31" s="911">
        <v>3</v>
      </c>
      <c r="ED31" s="911">
        <v>3</v>
      </c>
      <c r="EE31" s="911"/>
      <c r="EF31" s="911">
        <v>4</v>
      </c>
      <c r="EG31" s="911"/>
      <c r="EH31" s="911"/>
      <c r="EI31" s="911"/>
      <c r="EJ31" s="911"/>
      <c r="EK31" s="911"/>
      <c r="EL31" s="911"/>
      <c r="FI31" s="917"/>
      <c r="FK31" s="917"/>
      <c r="FM31" s="917"/>
    </row>
    <row r="32" spans="1:169">
      <c r="A32" s="871" t="str">
        <f t="array" aca="1" ref="A32" ca="1">IF(ROWS(A$29:A32)&lt;=$C$28,INDEX(INDIRECT(A$28),SMALL(IF(Nivell=$B$28,ROW(Nivell)-ROW(Equipos!$C$2)+1),ROWS(B$28:B31))),"")</f>
        <v>Australia</v>
      </c>
      <c r="B32" s="872"/>
      <c r="C32" s="857"/>
      <c r="D32" s="152"/>
      <c r="E32" s="971"/>
      <c r="F32" s="230">
        <f>Horarios!C32</f>
        <v>44895.75</v>
      </c>
      <c r="G32" s="231">
        <f>Horarios!C32</f>
        <v>44895.75</v>
      </c>
      <c r="H32" s="230" t="s">
        <v>71</v>
      </c>
      <c r="I32" s="232" t="str">
        <f ca="1">A32</f>
        <v>Australia</v>
      </c>
      <c r="J32" s="233" t="str">
        <f ca="1">VLOOKUP(I32,Equipos!$H$2:$I$33,2,0)</f>
        <v>🇦🇺</v>
      </c>
      <c r="K32" s="234">
        <v>1</v>
      </c>
      <c r="L32" s="234">
        <v>0</v>
      </c>
      <c r="M32" s="338" t="str">
        <f ca="1">VLOOKUP(N32,Equipos!$H$2:$I$33,2,0)</f>
        <v>🇩🇰</v>
      </c>
      <c r="N32" s="241" t="str">
        <f ca="1">A30</f>
        <v>Dinamarca</v>
      </c>
      <c r="O32" s="347">
        <f t="shared" si="19"/>
        <v>1</v>
      </c>
      <c r="P32" s="82"/>
      <c r="Q32" s="269">
        <v>3</v>
      </c>
      <c r="R32" s="5" t="str">
        <f ca="1">VLOOKUP(Q32,$AG$30:$AI$33,3,0)</f>
        <v>Túnez</v>
      </c>
      <c r="S32" s="4">
        <f ca="1">VLOOKUP(R32,$AI$30:$AR$33,2,FALSE)</f>
        <v>2</v>
      </c>
      <c r="T32" s="4">
        <f ca="1">VLOOKUP($R32,$AI$30:$AR$33,3,FALSE)</f>
        <v>3</v>
      </c>
      <c r="U32" s="4">
        <f ca="1">VLOOKUP($R32,$AI$30:$AR$33,4,FALSE)</f>
        <v>0</v>
      </c>
      <c r="V32" s="4">
        <f ca="1">VLOOKUP($R32,$AI$30:$AR$33,5,FALSE)</f>
        <v>2</v>
      </c>
      <c r="W32" s="4">
        <f ca="1">VLOOKUP($R32,$AI$30:$AR$33,6,FALSE)</f>
        <v>1</v>
      </c>
      <c r="X32" s="4">
        <f ca="1">VLOOKUP($R32,$AI$30:$AR$33,7,FALSE)</f>
        <v>1</v>
      </c>
      <c r="Y32" s="4">
        <f ca="1">VLOOKUP($R32,$AI$30:$AR$33,8,FALSE)</f>
        <v>2</v>
      </c>
      <c r="Z32" s="270">
        <f ca="1">VLOOKUP($R32,$AI$30:$AR$33,9,FALSE)</f>
        <v>-1</v>
      </c>
      <c r="AA32" s="357">
        <f ca="1">IF(SUM($AK$30:$AK$33)=12,MIN(ABS(BY31-BY32),ABS(BY32-BY33)),100)</f>
        <v>1115999999.99</v>
      </c>
      <c r="AB32" s="94" t="str">
        <f ca="1">IF(AND(AA32&gt;=0,AA32&lt;90),VLOOKUP(Q32,$BU$30:$BV$33,2,0),"")</f>
        <v/>
      </c>
      <c r="AC32" s="73"/>
      <c r="AD32" s="74"/>
      <c r="AE32" s="328"/>
      <c r="AF32" s="910">
        <f ca="1">VLOOKUP($R32,$AI$30:$AR$33,10,FALSE)</f>
        <v>2218210499.8499999</v>
      </c>
      <c r="AG32" s="909">
        <f ca="1">RANK(AU32,$AU$30:$AU$33)</f>
        <v>3</v>
      </c>
      <c r="AH32" s="909">
        <f ca="1">RANK(AR32,$AR$30:$AR$33)</f>
        <v>3</v>
      </c>
      <c r="AI32" s="911" t="str">
        <f ca="1">A31</f>
        <v>Túnez</v>
      </c>
      <c r="AJ32" s="909">
        <f ca="1">AL32*3+AM32*1+AN32*0</f>
        <v>2</v>
      </c>
      <c r="AK32" s="909">
        <f ca="1">COUNTIFS($I$4:$I$65,AI32,$K$4:$K$65,"&lt;&gt;",$L$4:$L$65,"&lt;&gt;")+COUNTIFS($N$4:$N$65,AI32,$L$4:$L$65,"&lt;&gt;",$K$4:$K$65,"&lt;&gt;")</f>
        <v>3</v>
      </c>
      <c r="AL32" s="909">
        <f t="array" aca="1" ref="AL32" ca="1">SUM(($I$4:$I$65=AI32)*($K$4:$K$65&lt;&gt;"")*($L$4:$L$65&lt;&gt;"")*($K$4:$K$65&gt;$L$4:$L$65),($N$4:$N$65=AI32)*($K$4:$K$65&lt;&gt;"")*($L$4:$L$65&lt;&gt;"")*($K$4:$K$65&lt;$L$4:$L$65))</f>
        <v>0</v>
      </c>
      <c r="AM32" s="909">
        <f t="array" aca="1" ref="AM32" ca="1">SUM(($I$4:$I$65=AI32)*($K$4:$K$65&lt;&gt;"")*($L$4:$L$65&lt;&gt;"")*($K$4:$K$65=$L$4:$L$65),($N$4:$N$65=AI32)*($K$4:$K$65&lt;&gt;"")*($L$4:$L$65&lt;&gt;"")*($K$4:$K$65=$L$4:$L$65))</f>
        <v>2</v>
      </c>
      <c r="AN32" s="909">
        <f t="array" aca="1" ref="AN32" ca="1">SUM(($I$4:$I$65=AI32)*($L$4:$L$65&lt;&gt;"")*($K$4:$K$65&lt;&gt;"")*($K$4:$K$65&lt;$L$4:$L$65),($K$4:$K$65&lt;&gt;"")*($N$4:$N$65=AI32)*($L$4:$L$65&lt;&gt;"")*($K$4:$K$65&gt;$L$4:$L$65))</f>
        <v>1</v>
      </c>
      <c r="AO32" s="909">
        <f t="array" aca="1" ref="AO32" ca="1">SUMIFS($K$4:$K$65,$I$4:$I$65,AI32,$K$4:$K$65,"&lt;&gt;",$L$4:$L$65,"&lt;&gt;")+SUMIFS($L$4:$L$65,$N$4:$N$65,AI32,$K$4:$K$65,"&lt;&gt;",$L$4:$L$65,"&lt;&gt;")</f>
        <v>1</v>
      </c>
      <c r="AP32" s="909">
        <f t="array" aca="1" ref="AP32" ca="1">SUMIFS($K$4:$K$65,$N$4:$N$65,AI32,$K$4:$K$65,"&lt;&gt;",$L$4:$L$65,"&lt;&gt;")+SUMIFS($L$4:$L$65,$I$4:$I$65,AI32,$K$4:$K$65,"&lt;&gt;",$L$4:$L$65,"&lt;&gt;")</f>
        <v>2</v>
      </c>
      <c r="AQ32" s="909">
        <f ca="1">AO32-AP32</f>
        <v>-1</v>
      </c>
      <c r="AR32" s="909">
        <f ca="1">IF(AK32=0,-($AW$11*VLOOKUP(AI32,Tabla3[[NombreEquipo]:[Rank]],3,FALSE)),AJ32*$AW$4+AQ32*$AW$5+AO32*$AW$6+BA32-($AW$11*VLOOKUP(AI32,Tabla3[[NombreEquipo]:[Rank]],3,FALSE)/100))</f>
        <v>2218210499.8499999</v>
      </c>
      <c r="AS32" s="909">
        <f ca="1">AH32</f>
        <v>3</v>
      </c>
      <c r="AT32" s="909"/>
      <c r="AU32" s="909">
        <f ca="1">IFERROR(AR32-VLOOKUP(AI32,$AB$30:$AC$33,2,0),AR32)</f>
        <v>2218210499.8499999</v>
      </c>
      <c r="AV32" s="909"/>
      <c r="AW32" s="912"/>
      <c r="AX32" s="909"/>
      <c r="AY32" s="916" t="str">
        <f ca="1">AI32</f>
        <v>Túnez</v>
      </c>
      <c r="AZ32" s="909">
        <f ca="1">COUNTIF(AJ30:AJ33,AJ32)</f>
        <v>1</v>
      </c>
      <c r="BA32" s="909">
        <f t="shared" ca="1" si="8"/>
        <v>210500</v>
      </c>
      <c r="BB32" s="917">
        <f ca="1">RANK(BC32,BC30:BC33,1)</f>
        <v>1</v>
      </c>
      <c r="BC32" s="917">
        <f ca="1">SUM(IF(AND(AJ32=AJ33,AQ32=AQ33,AO32=AO33),BG32,0),IF(AND(AJ32=AJ30,AQ32=AQ30,AO32=AO30),BD32,0),IF(AND(AJ32=AJ31,AQ32=AQ31,AO32=AO31),BE32,0))</f>
        <v>0</v>
      </c>
      <c r="BD32" s="917">
        <f t="array" aca="1" ref="BD32" ca="1">SUMIFS($K$28:$K$33,$I$28:$I$33,$AY32,$K$28:$K$33,"&lt;&gt;",$L$28:$L$33,"&lt;&gt;",$N$28:$N$33,BD29)+SUMIFS($L$28:$L$33,$I$28:$I$33,BD29,$K$28:$K$33,"&lt;&gt;",$L$28:$L$33,"&lt;&gt;",$N$28:$N$33,$AY32)</f>
        <v>1</v>
      </c>
      <c r="BE32" s="917">
        <f t="array" aca="1" ref="BE32" ca="1">SUMIFS($K$28:$K$33,$I$28:$I$33,$AY32,$K$28:$K$33,"&lt;&gt;",$L$28:$L$33,"&lt;&gt;",$N$28:$N$33,BE29)+SUMIFS($L$28:$L$33,$I$28:$I$33,BE29,$K$28:$K$33,"&lt;&gt;",$L$28:$L$33,"&lt;&gt;",$N$28:$N$33,$AY32)</f>
        <v>0</v>
      </c>
      <c r="BF32" s="917">
        <v>0</v>
      </c>
      <c r="BG32" s="917">
        <f t="array" aca="1" ref="BG32" ca="1">SUMIFS($K$28:$K$33,$I$28:$I$33,$AY32,$K$28:$K$33,"&lt;&gt;",$L$28:$L$33,"&lt;&gt;",$N$28:$N$33,BG29)+SUMIFS($L$28:$L$33,$I$28:$I$33,BG29,$K$28:$K$33,"&lt;&gt;",$L$28:$L$33,"&lt;&gt;",$N$28:$N$33,$AY32)</f>
        <v>0</v>
      </c>
      <c r="BH32" s="917">
        <f ca="1">RANK(BI32,BI30:BI33,1)</f>
        <v>1</v>
      </c>
      <c r="BI32" s="917">
        <f ca="1">SUM(IF(AND(AJ32=AJ33,AQ32=AQ33,AO32=AO33),BM32,0),IF(AND(AJ32=AJ30,AQ32=AQ30,AO32=AO30),BJ32,0),IF(AND(AJ32=AJ31,AQ32=AQ31,AO32=AO31),BK32,0))</f>
        <v>0</v>
      </c>
      <c r="BJ32" s="917">
        <f ca="1">BD32-BF30</f>
        <v>0</v>
      </c>
      <c r="BK32" s="917">
        <f ca="1">BE32-BF31</f>
        <v>0</v>
      </c>
      <c r="BL32" s="917">
        <v>0</v>
      </c>
      <c r="BM32" s="917">
        <f ca="1">BG32-BF33</f>
        <v>-1</v>
      </c>
      <c r="BN32" s="917">
        <f ca="1">RANK(BO32,BO30:BO33,1)</f>
        <v>1</v>
      </c>
      <c r="BO32" s="917">
        <f ca="1">SUM(IF(AND(AJ32=AJ33,AQ32=AQ33,AO32=AO33),BS32,0),IF(AND(AJ32=AJ30,AQ32=AQ30,AO32=AO30),BP32,0),IF(AND(AJ32=AJ31,AQ32=AQ31,AO32=AO31),BQ32,0))</f>
        <v>0</v>
      </c>
      <c r="BP32" s="917">
        <f t="array" aca="1" ref="BP32" ca="1">SUM((I$4:I$49=AY32)*(N$4:N$49=BP29)*(K$4:K$49&lt;&gt;"")*(L$4:L$49&lt;&gt;"")*(K$4:K$49&gt;L$4:L$49)*3,(N$4:N$49=AY32)*(I$4:I$49=BP29)*(K$4:K$49&lt;&gt;"")*(L$4:L$49&lt;&gt;"")*(K$4:K$49=L$4:L$49)*1,(N$4:N$49=AY32)*(I$4:I$49=BP29)*(K$4:K$49&lt;&gt;"")*(L$4:L$49&lt;&gt;"")*(K$4:K$49&lt;L$4:L$49)*3,(I$4:I$49=AY32)*(N$4:N$49=BP29)*(K$4:K$49&lt;&gt;"")*(L$4:L$49&lt;&gt;"")*(K$4:K$49=L$4:L$49)*1)</f>
        <v>1</v>
      </c>
      <c r="BQ32" s="917">
        <f t="array" aca="1" ref="BQ32" ca="1">SUM((I$4:I$49=AY32)*(N$4:N$49=BQ29)*(K$4:K$49&lt;&gt;"")*(L$4:L$49&lt;&gt;"")*(K$4:K$49&gt;L$4:L$49)*3,(N$4:N$49=AY32)*(I$4:I$49=BQ29)*(K$4:K$49&lt;&gt;"")*(L$4:L$49&lt;&gt;"")*(K$4:K$49=L$4:L$49)*1,(N$4:N$49=AY32)*(I$4:I$49=BQ29)*(K$4:K$49&lt;&gt;"")*(L$4:L$49&lt;&gt;"")*(K$4:K$49&lt;L$4:L$49)*3,(I$4:I$49=AY32)*(N$4:N$49=BQ29)*(K$4:K$49&lt;&gt;"")*(L$4:L$49&lt;&gt;"")*(K$4:K$49=L$4:L$49)*1)</f>
        <v>1</v>
      </c>
      <c r="BR32" s="917">
        <v>0</v>
      </c>
      <c r="BS32" s="917">
        <f t="array" aca="1" ref="BS32" ca="1">SUM((I$4:I$49=AY32)*(N$4:N$49=BS29)*(K$4:K$49&lt;&gt;"")*(L$4:L$49&lt;&gt;"")*(K$4:K$49&gt;L$4:L$49)*3,(N$4:N$49=AY32)*(I$4:I$49=BS29)*(K$4:K$49&lt;&gt;"")*(L$4:L$49&lt;&gt;"")*(K$4:K$49=L$4:L$49)*1,(N$4:N$49=AY32)*(I$4:I$49=BS29)*(K$4:K$49&lt;&gt;"")*(L$4:L$49&lt;&gt;"")*(K$4:K$49&lt;L$4:L$49)*3,(I$4:I$49=AY32)*(N$4:N$49=BS29)*(K$4:K$49&lt;&gt;"")*(L$4:L$49&lt;&gt;"")*(K$4:K$49=L$4:L$49)*1)</f>
        <v>0</v>
      </c>
      <c r="BT32" s="911">
        <v>3</v>
      </c>
      <c r="BU32" s="911">
        <f ca="1">RANK(BW32,$BW$30:$BW$33)</f>
        <v>3</v>
      </c>
      <c r="BV32" s="911" t="str">
        <f ca="1">A31</f>
        <v>Túnez</v>
      </c>
      <c r="BW32" s="911">
        <f t="shared" ca="1" si="9"/>
        <v>2218210499.8499999</v>
      </c>
      <c r="BX32" s="911" t="str">
        <f ca="1">VLOOKUP(Q32,$AH$30:$AI$33,2,0)</f>
        <v>Túnez</v>
      </c>
      <c r="BY32" s="911">
        <f ca="1">VLOOKUP($BX32,$AI$30:$AR$33,10,FALSE)</f>
        <v>2218210499.8499999</v>
      </c>
      <c r="CA32" s="911">
        <v>3</v>
      </c>
      <c r="CB32" s="911" t="str">
        <f ca="1">VLOOKUP(CA32,$AH$30:$AI$33,2,0)</f>
        <v>Túnez</v>
      </c>
      <c r="CC32" s="911">
        <f ca="1">VLOOKUP(CB32,$AI$30:$AR$33,2,FALSE)</f>
        <v>2</v>
      </c>
      <c r="CD32" s="918">
        <f ca="1">IF(SUM($AK$30:$AK$33)=12,MIN(ABS(BY31-BY32),ABS(BY32-BY33)),100)</f>
        <v>1115999999.99</v>
      </c>
      <c r="CE32" s="911">
        <f ca="1">VLOOKUP($CB32,$AI$30:$AR$33,9,FALSE)</f>
        <v>-1</v>
      </c>
      <c r="CF32" s="911">
        <f ca="1">VLOOKUP($CB32,$AI$30:$AR$33,7,FALSE)</f>
        <v>1</v>
      </c>
      <c r="CH32" s="911">
        <f t="array" aca="1" ref="CH32" ca="1">IF($CI$30=$CL$29,$EC$29:$EC$32,IF($CI$30=$CM$29,$ED$29:$ED$31,IF(OR($CI$30=$CN$29,$CI$30=$CR$29),$EG$29:$EG$30,IF($CI$30=$CP$29,$EF$29:$EF$31,(IF($CI$30=$CQ$29,$EH$29:$EH$30,$EK$29))))))</f>
        <v>3</v>
      </c>
      <c r="CK32" s="909">
        <v>3</v>
      </c>
      <c r="CL32" s="909">
        <f t="array" aca="1" ref="CL32" ca="1">IF(AND($CC$30:$CC$33=$CC$32,$CD$30:$CD$33&lt;90,$AQ$30:$AQ$33=$AQ$32,$CF$30:$CF$33=$CF$32),1,0)</f>
        <v>0</v>
      </c>
      <c r="CM32" s="909">
        <f t="array" aca="1" ref="CM32" ca="1">IF(AND($CC$30:$CC$32=$CC$32,$CD$30:$CD$32&lt;90,$CC$32&lt;&gt;$CC$33),1,0)</f>
        <v>0</v>
      </c>
      <c r="CN32" s="909">
        <f t="array" aca="1" ref="CN32" ca="1">IF(AND($CC$32:$CC$33=$CC$32,$CD$32:$CD$33&lt;90,$CC$32&lt;&gt;$CC$31),1,0)</f>
        <v>0</v>
      </c>
      <c r="CO32" s="909">
        <f t="array" aca="1" ref="CO32" ca="1">IF(OR(AND($CC$32&lt;&gt;$CC$31,$CC$32&lt;&gt;$CC$33),AND($CC$32&lt;&gt;$CC$31,$CC$32=$CC$33,$CD$32&gt;90,$CD$33&gt;90)),1,0)</f>
        <v>1</v>
      </c>
      <c r="CP32" s="909">
        <f t="array" aca="1" ref="CP32" ca="1">IF(AND($CC$31:$CC$33=$CC$31,$CD$31:$CD$33&lt;90,$CC$30&lt;&gt;$CC$32),1,0)</f>
        <v>0</v>
      </c>
      <c r="CQ32" s="909">
        <f t="array" aca="1" ref="CQ32" ca="1">IF(AND($CC$31:$CC$32=$CC$32,$CD$31:$CD$32&lt;90,$CC$32&lt;&gt;$CC$30,$CC$32&lt;&gt;$CC$33),1,0)</f>
        <v>0</v>
      </c>
      <c r="CR32" s="909">
        <f t="array" aca="1" ref="CR32" ca="1">IF(AND($CC$32:$CC$33=$CC$32,$CD$32:$CD$33&lt;90,$CC$32&lt;&gt;$CC$31),1,0)</f>
        <v>0</v>
      </c>
      <c r="CS32" s="909">
        <f t="array" aca="1" ref="CS32" ca="1">IF(AND($CC$32&lt;&gt;$CC$31,$CC$32&lt;&gt;$CC$33),1,0)</f>
        <v>1</v>
      </c>
      <c r="CT32" s="909">
        <f t="array" aca="1" ref="CT32" ca="1">IF(AND($CC$30:$CC$33=$CC$30,$CD$30:$CD$33&lt;90,$CE$32:$CE$33=$CE$32,$CE$31&lt;&gt;$CE$32),1,0)</f>
        <v>0</v>
      </c>
      <c r="CU32" s="909">
        <f t="array" aca="1" ref="CU32" ca="1">IF(AND($CC$30:$CC$33=$CC$30,$CD$30:$CD$33&lt;90,$CE$30:$CE$33=$CE$30,$CF$32=$CF$33,$CF$31&lt;&gt;$CF$32),1,0)</f>
        <v>0</v>
      </c>
      <c r="CV32" s="909">
        <f t="array" aca="1" ref="CV32" ca="1">IF(AND($CC$30:$CC$32=$CC$32,$CD$30:$CD$31&lt;90,$CD$32&gt;90),1,0)</f>
        <v>0</v>
      </c>
      <c r="CW32" s="909">
        <f t="array" aca="1" ref="CW32" ca="1">IF(AND($CC$31&lt;&gt;$CC$30,$CC$31:$CC$33=$CC$32,$CD$31&gt;90,$CD$32:$CD$33&lt;90),1,0)</f>
        <v>0</v>
      </c>
      <c r="CX32" s="909">
        <f t="array" aca="1" ref="CX32" ca="1">IF(AND($CC$31&lt;&gt;$CC$30,$CC$31:$CC$33=$CC$31,$CD$33&gt;90,$CD$31:$CD$32&lt;90),1,0)</f>
        <v>0</v>
      </c>
      <c r="CY32" s="909">
        <f t="array" aca="1" ref="CY32" ca="1">IF(AND($CC$32&lt;&gt;$CC$33,$CC$30:$CC$32=$CC$32,$CD$30&gt;90,$CD$31:$CD$32&lt;90),1,0)</f>
        <v>0</v>
      </c>
      <c r="CZ32" s="909">
        <f t="array" aca="1" ref="CZ32" ca="1">IF(AND($CC$30:$CC$33=$CC$31,$CD$31:$CD$33&lt;90,$CD$30&lt;&gt;$CD$32),1,0)</f>
        <v>0</v>
      </c>
      <c r="DA32" s="909">
        <f t="array" aca="1" ref="DA32" ca="1">IF(AND($CC$30:$CC$33=$CC$32,$CD$30:$CD$32&lt;90,$CD$32&lt;&gt;$CD$33),1,0)</f>
        <v>0</v>
      </c>
      <c r="DB32" s="909">
        <f t="array" aca="1" ref="DB32" ca="1">IF(AND($CC$30:$CC$33=$CC$32,$CD$30:$CD$31&gt;90,$CD$32:$CD$33&lt;90,$CE$30:$CE$33=$CE$32,$CF$30&gt;$CF$31,$CF$31&gt;$CF$32,$CF$32=$CF$33),1,0)</f>
        <v>0</v>
      </c>
      <c r="DC32" s="909">
        <f t="array" aca="1" ref="DC32" ca="1">IF(AND($CC$30:$CC$33=$CC$32,$CD$30&gt;90,$CD$31:$CD$32&lt;90,$CD$33&gt;90,$CE$30:$CE$33=$CE$32,$CF$30&gt;$CF$31,$CF$31=$CF$32,$CF$32&gt;$CF$33),1,0)</f>
        <v>0</v>
      </c>
      <c r="DD32" s="909">
        <f t="array" aca="1" ref="DD32" ca="1">IF(AND($CC$30:$CC$33=$CC$32,$CD$30:$CD$31&lt;90,$CD$32:$CD$33&gt;90,$CE$30:$CE$33=$CE$32,$CF$30=$CF$31,$CF$31&gt;$CF$32,$CF$32&gt;$CF$33),1,0)</f>
        <v>0</v>
      </c>
      <c r="DE32" s="909">
        <f t="array" aca="1" ref="DE32" ca="1">IF(AND($CC$30:$CC$33=$CC$32,$CD$30:$CD$31&gt;90,$CD$32:$CD$33&lt;90,$CE$30:$CE$33=$CE$31,$CF$30&gt;$CF$32,$CF$31:$CF$33=$CF$32),1,0)</f>
        <v>0</v>
      </c>
      <c r="DF32" s="909">
        <f t="array" aca="1" ref="DF32" ca="1">IF(AND($CC$30:$CC$33=$CC$32,$CD$30:$CD$31&lt;90,$CD$32:$CD$33&gt;90,$CE$30:$CE$33=$CE$32,$CF$30:$CF$32=$CF$32,$CF$32&gt;$CF$33),1,0)</f>
        <v>0</v>
      </c>
      <c r="DG32" s="909">
        <f t="array" aca="1" ref="DG32" ca="1">IF(AND($CC$30:$CC$33=$CC$32,$CD$30&gt;90,$CD$33&gt;90,$CD$31:$CD$32&lt;90,$CE$30:$CE$33=$CE$32,$CF$30&gt;$CF$31:$CF$33,$CF$31:$CF$33=$CF$32),1,0)</f>
        <v>0</v>
      </c>
      <c r="EC32" s="911">
        <v>4</v>
      </c>
      <c r="ED32" s="911"/>
      <c r="EE32" s="911"/>
      <c r="EF32" s="911"/>
      <c r="EG32" s="911"/>
      <c r="EH32" s="911"/>
      <c r="EI32" s="911"/>
      <c r="EJ32" s="911"/>
      <c r="EK32" s="911"/>
      <c r="EL32" s="911"/>
      <c r="FI32" s="917"/>
      <c r="FK32" s="917"/>
      <c r="FM32" s="917"/>
    </row>
    <row r="33" spans="1:169" ht="16" thickBot="1">
      <c r="A33" s="875"/>
      <c r="B33" s="875"/>
      <c r="C33" s="875"/>
      <c r="D33" s="152"/>
      <c r="E33" s="972"/>
      <c r="F33" s="242">
        <f>Horarios!C33</f>
        <v>44895.75</v>
      </c>
      <c r="G33" s="243">
        <f>Horarios!C33</f>
        <v>44895.75</v>
      </c>
      <c r="H33" s="242" t="s">
        <v>71</v>
      </c>
      <c r="I33" s="244" t="str">
        <f ca="1">A31</f>
        <v>Túnez</v>
      </c>
      <c r="J33" s="245" t="str">
        <f ca="1">VLOOKUP(I33,Equipos!$H$2:$I$33,2,0)</f>
        <v>🇹🇳</v>
      </c>
      <c r="K33" s="246">
        <v>1</v>
      </c>
      <c r="L33" s="246">
        <v>1</v>
      </c>
      <c r="M33" s="339" t="str">
        <f ca="1">VLOOKUP(N33,Equipos!$H$2:$I$33,2,0)</f>
        <v>🇫🇷</v>
      </c>
      <c r="N33" s="247" t="str">
        <f ca="1">A29</f>
        <v>Francia</v>
      </c>
      <c r="O33" s="347">
        <f t="shared" si="19"/>
        <v>1</v>
      </c>
      <c r="P33" s="82"/>
      <c r="Q33" s="271">
        <v>4</v>
      </c>
      <c r="R33" s="272" t="str">
        <f ca="1">VLOOKUP(Q33,$AG$30:$AI$33,3,0)</f>
        <v>Dinamarca</v>
      </c>
      <c r="S33" s="273">
        <f ca="1">VLOOKUP(R33,$AI$30:$AR$33,2,FALSE)</f>
        <v>1</v>
      </c>
      <c r="T33" s="273">
        <f ca="1">VLOOKUP($R33,$AI$30:$AR$33,3,FALSE)</f>
        <v>3</v>
      </c>
      <c r="U33" s="273">
        <f ca="1">VLOOKUP($R33,$AI$30:$AR$33,4,FALSE)</f>
        <v>0</v>
      </c>
      <c r="V33" s="273">
        <f ca="1">VLOOKUP($R33,$AI$30:$AR$33,5,FALSE)</f>
        <v>1</v>
      </c>
      <c r="W33" s="273">
        <f ca="1">VLOOKUP($R33,$AI$30:$AR$33,6,FALSE)</f>
        <v>2</v>
      </c>
      <c r="X33" s="273">
        <f ca="1">VLOOKUP($R33,$AI$30:$AR$33,7,FALSE)</f>
        <v>1</v>
      </c>
      <c r="Y33" s="273">
        <f ca="1">VLOOKUP($R33,$AI$30:$AR$33,8,FALSE)</f>
        <v>3</v>
      </c>
      <c r="Z33" s="274">
        <f ca="1">VLOOKUP($R33,$AI$30:$AR$33,9,FALSE)</f>
        <v>-2</v>
      </c>
      <c r="AA33" s="357">
        <f ca="1">IF(SUM($AK$30:$AK$33)=12,MIN(ABS(BY32-BY33),ABS(BY33-BY34)),100)</f>
        <v>1102210499.8599999</v>
      </c>
      <c r="AB33" s="94" t="str">
        <f ca="1">IF(AND(AA33&gt;=0,AA33&lt;90),VLOOKUP(Q33,$BU$30:$BV$33,2,0),"")</f>
        <v/>
      </c>
      <c r="AC33" s="73"/>
      <c r="AD33" s="74"/>
      <c r="AE33" s="328"/>
      <c r="AF33" s="910">
        <f ca="1">VLOOKUP($R33,$AI$30:$AR$33,10,FALSE)</f>
        <v>1102210499.8599999</v>
      </c>
      <c r="AG33" s="909">
        <f ca="1">RANK(AU33,$AU$30:$AU$33)</f>
        <v>2</v>
      </c>
      <c r="AH33" s="909">
        <f ca="1">RANK(AR33,$AR$30:$AR$33)</f>
        <v>2</v>
      </c>
      <c r="AI33" s="911" t="str">
        <f ca="1">A32</f>
        <v>Australia</v>
      </c>
      <c r="AJ33" s="909">
        <f ca="1">AL33*3+AM33*1+AN33*0</f>
        <v>6</v>
      </c>
      <c r="AK33" s="909">
        <f ca="1">COUNTIFS($I$4:$I$65,AI33,$K$4:$K$65,"&lt;&gt;",$L$4:$L$65,"&lt;&gt;")+COUNTIFS($N$4:$N$65,AI33,$L$4:$L$65,"&lt;&gt;",$K$4:$K$65,"&lt;&gt;")</f>
        <v>3</v>
      </c>
      <c r="AL33" s="909">
        <f t="array" aca="1" ref="AL33" ca="1">SUM(($I$4:$I$65=AI33)*($K$4:$K$65&lt;&gt;"")*($L$4:$L$65&lt;&gt;"")*($K$4:$K$65&gt;$L$4:$L$65),($N$4:$N$65=AI33)*($K$4:$K$65&lt;&gt;"")*($L$4:$L$65&lt;&gt;"")*($K$4:$K$65&lt;$L$4:$L$65))</f>
        <v>2</v>
      </c>
      <c r="AM33" s="909">
        <f t="array" aca="1" ref="AM33" ca="1">SUM(($I$4:$I$65=AI33)*($K$4:$K$65&lt;&gt;"")*($L$4:$L$65&lt;&gt;"")*($K$4:$K$65=$L$4:$L$65),($N$4:$N$65=AI33)*($K$4:$K$65&lt;&gt;"")*($L$4:$L$65&lt;&gt;"")*($K$4:$K$65=$L$4:$L$65))</f>
        <v>0</v>
      </c>
      <c r="AN33" s="909">
        <f t="array" aca="1" ref="AN33" ca="1">SUM(($I$4:$I$65=AI33)*($L$4:$L$65&lt;&gt;"")*($K$4:$K$65&lt;&gt;"")*($K$4:$K$65&lt;$L$4:$L$65),($K$4:$K$65&lt;&gt;"")*($N$4:$N$65=AI33)*($L$4:$L$65&lt;&gt;"")*($K$4:$K$65&gt;$L$4:$L$65))</f>
        <v>1</v>
      </c>
      <c r="AO33" s="909">
        <f t="array" aca="1" ref="AO33" ca="1">SUMIFS($K$4:$K$65,$I$4:$I$65,AI33,$K$4:$K$65,"&lt;&gt;",$L$4:$L$65,"&lt;&gt;")+SUMIFS($L$4:$L$65,$N$4:$N$65,AI33,$K$4:$K$65,"&lt;&gt;",$L$4:$L$65,"&lt;&gt;")</f>
        <v>3</v>
      </c>
      <c r="AP33" s="909">
        <f t="array" aca="1" ref="AP33" ca="1">SUMIFS($K$4:$K$65,$N$4:$N$65,AI33,$K$4:$K$65,"&lt;&gt;",$L$4:$L$65,"&lt;&gt;")+SUMIFS($L$4:$L$65,$I$4:$I$65,AI33,$K$4:$K$65,"&lt;&gt;",$L$4:$L$65,"&lt;&gt;")</f>
        <v>4</v>
      </c>
      <c r="AQ33" s="909">
        <f ca="1">AO33-AP33</f>
        <v>-1</v>
      </c>
      <c r="AR33" s="909">
        <f ca="1">IF(AK33=0,-($AW$11*VLOOKUP(AI33,Tabla3[[NombreEquipo]:[Rank]],3,FALSE)),AJ33*$AW$4+AQ33*$AW$5+AO33*$AW$6+BA33-($AW$11*VLOOKUP(AI33,Tabla3[[NombreEquipo]:[Rank]],3,FALSE)/100))</f>
        <v>6664210499.8400002</v>
      </c>
      <c r="AS33" s="909">
        <f ca="1">AH33</f>
        <v>2</v>
      </c>
      <c r="AT33" s="909"/>
      <c r="AU33" s="909">
        <f ca="1">IFERROR(AR33-VLOOKUP(AI33,$AB$30:$AC$33,2,0),AR33)</f>
        <v>6664210499.8400002</v>
      </c>
      <c r="AV33" s="909"/>
      <c r="AW33" s="912"/>
      <c r="AX33" s="909"/>
      <c r="AY33" s="916" t="str">
        <f ca="1">AI33</f>
        <v>Australia</v>
      </c>
      <c r="AZ33" s="909">
        <f ca="1">COUNTIF(AJ30:AJ33,AJ33)</f>
        <v>1</v>
      </c>
      <c r="BA33" s="909">
        <f t="shared" ca="1" si="8"/>
        <v>210500</v>
      </c>
      <c r="BB33" s="917">
        <f ca="1">RANK(BC33,BC30:BC33,1)</f>
        <v>1</v>
      </c>
      <c r="BC33" s="917">
        <f ca="1">SUM(IF(AND(AJ33=AJ30,AQ33=AQ30,AO33=AO30),BD33,0),IF(AND(AJ33=AJ31,AQ33=AQ31,AO33=AO31),BE33,0),IF(AND(AJ33=AJ32,AQ33=AQ32,AO33=AO32),BF33,0))</f>
        <v>0</v>
      </c>
      <c r="BD33" s="917">
        <f t="array" aca="1" ref="BD33" ca="1">SUMIFS($K$28:$K$33,$I$28:$I$33,$AY33,$K$28:$K$33,"&lt;&gt;",$L$28:$L$33,"&lt;&gt;",$N$28:$N$33,BD29)+SUMIFS($L$28:$L$33,$I$28:$I$33,BD29,$K$28:$K$33,"&lt;&gt;",$L$28:$L$33,"&lt;&gt;",$N$28:$N$33,$AY33)</f>
        <v>1</v>
      </c>
      <c r="BE33" s="917">
        <f t="array" aca="1" ref="BE33" ca="1">SUMIFS($K$28:$K$33,$I$28:$I$33,$AY33,$K$28:$K$33,"&lt;&gt;",$L$28:$L$33,"&lt;&gt;",$N$28:$N$33,BE29)+SUMIFS($L$28:$L$33,$I$28:$I$33,BE29,$K$28:$K$33,"&lt;&gt;",$L$28:$L$33,"&lt;&gt;",$N$28:$N$33,$AY33)</f>
        <v>1</v>
      </c>
      <c r="BF33" s="917">
        <f t="array" aca="1" ref="BF33" ca="1">SUMIFS($K$28:$K$33,$I$28:$I$33,$AY33,$K$28:$K$33,"&lt;&gt;",$L$28:$L$33,"&lt;&gt;",$N$28:$N$33,BF29)+SUMIFS($L$28:$L$33,$I$28:$I$33,BF29,$K$28:$K$33,"&lt;&gt;",$L$28:$L$33,"&lt;&gt;",$N$28:$N$33,$AY33)</f>
        <v>1</v>
      </c>
      <c r="BG33" s="917">
        <v>0</v>
      </c>
      <c r="BH33" s="917">
        <f ca="1">RANK(BI33,BI30:BI33,1)</f>
        <v>1</v>
      </c>
      <c r="BI33" s="917">
        <f ca="1">SUM(IF(AND(AJ33=AJ30,AQ33=AQ30,AO33=AO30),BJ33,0),IF(AND(AJ33=AJ31,AQ33=AQ31,AO33=AO31),BK33,0),IF(AND(AJ33=AJ32,AQ33=AQ32,AO33=AO32),BL33,0))</f>
        <v>0</v>
      </c>
      <c r="BJ33" s="917">
        <f ca="1">BD33-BG30</f>
        <v>-3</v>
      </c>
      <c r="BK33" s="917">
        <f ca="1">BE33-BG31</f>
        <v>1</v>
      </c>
      <c r="BL33" s="917">
        <f ca="1">BF33-BG32</f>
        <v>1</v>
      </c>
      <c r="BM33" s="917">
        <v>0</v>
      </c>
      <c r="BN33" s="917">
        <f ca="1">RANK(BO33,BO30:BO33,1)</f>
        <v>1</v>
      </c>
      <c r="BO33" s="917">
        <f ca="1">SUM(IF(AND(AJ33=AJ30,AQ33=AQ30,AO33=AO30),BP33,0),IF(AND(AJ33=AJ31,AQ33=AQ31,AO33=AO31),BQ33,0),IF(AND(AJ33=AJ32,AQ33=AQ32,AO33=AO32),BR33,0))</f>
        <v>0</v>
      </c>
      <c r="BP33" s="917">
        <f t="array" aca="1" ref="BP33" ca="1">SUM((I$4:I$49=AY33)*(N$4:N$49=BP29)*(K$4:K$49&lt;&gt;"")*(L$4:L$49&lt;&gt;"")*(K$4:K$49&gt;L$4:L$49)*3,(N$4:N$49=AY33)*(I$4:I$49=BP29)*(K$4:K$49&lt;&gt;"")*(L$4:L$49&lt;&gt;"")*(K$4:K$49=L$4:L$49)*1,(N$4:N$49=AY33)*(I$4:I$49=BP29)*(K$4:K$49&lt;&gt;"")*(L$4:L$49&lt;&gt;"")*(K$4:K$49&lt;L$4:L$49)*3,(I$4:I$49=AY33)*(N$4:N$49=BP29)*(K$4:K$49&lt;&gt;"")*(L$4:L$49&lt;&gt;"")*(K$4:K$49=L$4:L$49)*1)</f>
        <v>0</v>
      </c>
      <c r="BQ33" s="917">
        <f t="array" aca="1" ref="BQ33" ca="1">SUM((I$4:I$49=AY33)*(N$4:N$49=BQ29)*(K$4:K$49&lt;&gt;"")*(L$4:L$49&lt;&gt;"")*(K$4:K$49&gt;L$4:L$49)*3,(N$4:N$49=AY33)*(I$4:I$49=BQ29)*(K$4:K$49&lt;&gt;"")*(L$4:L$49&lt;&gt;"")*(K$4:K$49=L$4:L$49)*1,(N$4:N$49=AY33)*(I$4:I$49=BQ29)*(K$4:K$49&lt;&gt;"")*(L$4:L$49&lt;&gt;"")*(K$4:K$49&lt;L$4:L$49)*3,(I$4:I$49=AY33)*(N$4:N$49=BQ29)*(K$4:K$49&lt;&gt;"")*(L$4:L$49&lt;&gt;"")*(K$4:K$49=L$4:L$49)*1)</f>
        <v>3</v>
      </c>
      <c r="BR33" s="917">
        <f t="array" aca="1" ref="BR33" ca="1">SUM((I$4:I$49=AY33)*(N$4:N$49=BR29)*(K$4:K$49&lt;&gt;"")*(L$4:L$49&lt;&gt;"")*(K$4:K$49&gt;L$4:L$49)*3,(N$4:N$49=AY33)*(I$4:I$49=BR29)*(K$4:K$49&lt;&gt;"")*(L$4:L$49&lt;&gt;"")*(K$4:K$49=L$4:L$49)*1,(N$4:N$49=AY33)*(I$4:I$49=BR29)*(K$4:K$49&lt;&gt;"")*(L$4:L$49&lt;&gt;"")*(K$4:K$49&lt;L$4:L$49)*3,(I$4:I$49=AY33)*(N$4:N$49=BR29)*(K$4:K$49&lt;&gt;"")*(L$4:L$49&lt;&gt;"")*(K$4:K$49=L$4:L$49)*1)</f>
        <v>3</v>
      </c>
      <c r="BS33" s="917">
        <v>0</v>
      </c>
      <c r="BT33" s="911">
        <v>4</v>
      </c>
      <c r="BU33" s="911">
        <f ca="1">RANK(BW33,$BW$30:$BW$33)</f>
        <v>2</v>
      </c>
      <c r="BV33" s="911" t="str">
        <f ca="1">A32</f>
        <v>Australia</v>
      </c>
      <c r="BW33" s="911">
        <f t="shared" ca="1" si="9"/>
        <v>6664210499.8400002</v>
      </c>
      <c r="BX33" s="911" t="str">
        <f ca="1">VLOOKUP(Q33,$AH$30:$AI$33,2,0)</f>
        <v>Dinamarca</v>
      </c>
      <c r="BY33" s="911">
        <f ca="1">VLOOKUP($BX33,$AI$30:$AR$33,10,FALSE)</f>
        <v>1102210499.8599999</v>
      </c>
      <c r="CA33" s="911">
        <v>4</v>
      </c>
      <c r="CB33" s="911" t="str">
        <f ca="1">VLOOKUP(CA33,$AH$30:$AI$33,2,0)</f>
        <v>Dinamarca</v>
      </c>
      <c r="CC33" s="911">
        <f ca="1">VLOOKUP(CB33,$AI$30:$AR$33,2,FALSE)</f>
        <v>1</v>
      </c>
      <c r="CD33" s="918">
        <f ca="1">IF(SUM($AK$30:$AK$33)=12,MIN(ABS(BY32-BY33),ABS(BY33-BY34)),100)</f>
        <v>1102210499.8599999</v>
      </c>
      <c r="CE33" s="911">
        <f ca="1">VLOOKUP($CB33,$AI$30:$AR$33,9,FALSE)</f>
        <v>-2</v>
      </c>
      <c r="CF33" s="911">
        <f ca="1">VLOOKUP($CB33,$AI$30:$AR$33,7,FALSE)</f>
        <v>1</v>
      </c>
      <c r="CH33" s="911">
        <f t="array" aca="1" ref="CH33" ca="1">IF($CI$30=$CL$29,$EC$29:$EC$32,IF(OR($CI$30=$CN$29,$CI$30=$CR$29),$EG$29:$EG$30,IF($CI$30=$CP$29,$EF$29:$EF$31,$EL$29)))</f>
        <v>4</v>
      </c>
      <c r="CK33" s="909">
        <v>4</v>
      </c>
      <c r="CL33" s="909">
        <f t="array" aca="1" ref="CL33" ca="1">IF(AND($CC$30:$CC$33=$CC$33,$CD$30:$CD$33&lt;90,$AQ$30:$AQ$33=$AQ$33,$CF$30:$CF$33=$CF$33),1,0)</f>
        <v>0</v>
      </c>
      <c r="CM33" s="909">
        <f t="array" aca="1" ref="CM33" ca="1">IF(AND($CC$30:$CC$32=$CC$30,$CD$30:$CD$32&lt;90,$CD$33&gt;90,$CC$30&lt;&gt;$CC$33),1,0)</f>
        <v>0</v>
      </c>
      <c r="CN33" s="909">
        <f t="array" aca="1" ref="CN33" ca="1">IF(AND($CC$32:$CC$33=$CC$32,$CD$32:$CD$33&lt;90,$CC$32&lt;&gt;$CC$31),1,0)</f>
        <v>0</v>
      </c>
      <c r="CO33" s="909">
        <f t="array" aca="1" ref="CO33" ca="1">IF(AND($CC$33&lt;&gt;$CC$31,$CC$33&lt;&gt;$CC$30),1,0)</f>
        <v>1</v>
      </c>
      <c r="CP33" s="909">
        <f t="array" aca="1" ref="CP33" ca="1">IF(AND($CC$31:$CC$33=$CC$31,$CD$31:$CD$33&lt;90,$CC$30&lt;&gt;$CC$33),1,0)</f>
        <v>0</v>
      </c>
      <c r="CQ33" s="909">
        <f t="array" aca="1" ref="CQ33" ca="1">IF(AND($CC$33&lt;&gt;$CC$31,$CC$33&lt;&gt;$CC$30),1,0)</f>
        <v>1</v>
      </c>
      <c r="CR33" s="909">
        <f t="array" aca="1" ref="CR33" ca="1">IF(AND($CC$32:$CC$33=$CC$32,$CD$32:$CD$33&lt;90,$CC$32&lt;&gt;$CC$31),1,0)</f>
        <v>0</v>
      </c>
      <c r="CS33" s="909">
        <f t="array" aca="1" ref="CS33" ca="1">IF(AND($CC$33&lt;&gt;$CC$31,$CC$33&lt;&gt;$CC$30),1,0)</f>
        <v>1</v>
      </c>
      <c r="CT33" s="909">
        <f t="array" aca="1" ref="CT33" ca="1">IF(AND($CC$30:$CC$33=$CC$30,$CD$30:$CD$33&lt;90,$CE$32:$CE$33=$CE$33,$CE$31&lt;&gt;$CE$33),1,0)</f>
        <v>0</v>
      </c>
      <c r="CU33" s="909">
        <f t="array" aca="1" ref="CU33" ca="1">IF(AND($CC$30:$CC$33=$CC$30,$CD$30:$CD$33&lt;90,$CE$30:$CE$33=$CE$30,$CF$32=$CF$33,$CF$31&lt;&gt;$CF$32),1,0)</f>
        <v>0</v>
      </c>
      <c r="CV33" s="909">
        <f t="array" aca="1" ref="CV33" ca="1">IF(AND($CC$30:$CC$32=$CC$30,$CD$30:$CD$31&lt;90,$CC$32&lt;&gt;$CC$33),1,0)</f>
        <v>0</v>
      </c>
      <c r="CW33" s="909">
        <f t="array" aca="1" ref="CW33" ca="1">IF(AND($CC$31&lt;&gt;$CC$30,$CC$31:$CC$33=$CC$32,$CD$31&gt;90,$CD$32:$CD$33&lt;90),1,0)</f>
        <v>0</v>
      </c>
      <c r="CX33" s="909">
        <f t="array" aca="1" ref="CX33" ca="1">IF(AND($CC$31&lt;&gt;$CC$30,$CC$31:$CC$33=$CC$31,$CD$33&gt;90,$CD$31:$CD$32&lt;90),1,0)</f>
        <v>0</v>
      </c>
      <c r="CY33" s="909">
        <f t="array" aca="1" ref="CY33" ca="1">IF(AND($CC$33&lt;&gt;$CC$31,$CC$33&lt;&gt;$CC$32),1,0)</f>
        <v>1</v>
      </c>
      <c r="CZ33" s="909">
        <f t="array" aca="1" ref="CZ33" ca="1">IF(AND($CC$30:$CC$33=$CC$31,$CD$31:$CD$33&lt;90,$CD$30&lt;&gt;$CD$33),1,0)</f>
        <v>0</v>
      </c>
      <c r="DA33" s="909">
        <f t="array" aca="1" ref="DA33" ca="1">IF(AND($CC$30:$CC$33=$CC$30,$CD$30:$CD$32&lt;90,$CD$32&lt;&gt;$CD$33),1,0)</f>
        <v>0</v>
      </c>
      <c r="DB33" s="909">
        <f t="array" aca="1" ref="DB33" ca="1">IF(AND($CC$30:$CC$33=$CC$33,$CD$30:$CD$31&gt;90,$CD$32:$CD$33&lt;90,$CE$30:$CE$33=$CE$33,$CF$30&gt;$CF$31,$CF$31&gt;$CF$33,$CF$32=$CF$33),1,0)</f>
        <v>0</v>
      </c>
      <c r="DC33" s="909">
        <f t="array" aca="1" ref="DC33" ca="1">IF(AND($CC$30:$CC$33=$CC$31,$CD$30&gt;90,$CD$31:$CD$32&lt;90,$CD$33&gt;90,$CE$30:$CE$33=$CE$33,$CF$30&gt;$CF$33,$CF$31=$CF$32,$CF$31&gt;$CF$33),1,0)</f>
        <v>0</v>
      </c>
      <c r="DD33" s="909">
        <f t="array" aca="1" ref="DD33" ca="1">IF(AND($CC$30:$CC$33=$CC$33,$CD$30:$CD$31&lt;90,$CD$32:$CD$33&gt;90,$CE$30:$CE$33=$CE$33,$CF$30=$CF$31,$CF$31&gt;$CF$32,$CF$32&gt;$CF$33),1,0)</f>
        <v>0</v>
      </c>
      <c r="DE33" s="909">
        <f t="array" aca="1" ref="DE33" ca="1">IF(AND($CC$30:$CC$33=$CC$33,$CD$30:$CD$31&gt;90,$CD$32:$CD$33&lt;90,$CE$30:$CE$33=$CE$33,$CF$30&gt;$CF$33,$CF$31:$CF$33=$CF$33),1,0)</f>
        <v>0</v>
      </c>
      <c r="DF33" s="909">
        <f t="array" aca="1" ref="DF33" ca="1">IF(AND($CC$30:$CC$33=$CC$33,$CD$30:$CD$31&lt;90,$CD$32:$CD$33&gt;90,$CE$30:$CE$33=$CE$33,$CF$30:$CF$32=$CF$32,$CF$30:$CF$32&gt;$CF$33),1,0)</f>
        <v>0</v>
      </c>
      <c r="DG33" s="909">
        <f t="array" aca="1" ref="DG33" ca="1">IF(AND($CC$30:$CC$33=$CC$33,$CD$30&gt;90,$CD$33&gt;90,$CD$31:$CD$32&lt;90,$CE$30:$CE$33=$CE$33,$CF$30&gt;$CF$31:$CF$33,$CF$31:$CF$33=$CF$33),1,0)</f>
        <v>0</v>
      </c>
      <c r="FI33" s="917"/>
      <c r="FK33" s="917"/>
      <c r="FM33" s="917"/>
    </row>
    <row r="34" spans="1:169">
      <c r="A34" s="875"/>
      <c r="B34" s="875"/>
      <c r="C34" s="875"/>
      <c r="D34" s="152"/>
      <c r="E34" s="66"/>
      <c r="F34" s="77"/>
      <c r="G34" s="66"/>
      <c r="H34" s="66"/>
      <c r="I34" s="66"/>
      <c r="J34" s="66"/>
      <c r="K34" s="66"/>
      <c r="L34" s="66"/>
      <c r="M34" s="89"/>
      <c r="N34" s="66"/>
      <c r="O34" s="348"/>
      <c r="P34" s="66"/>
      <c r="Q34" s="66"/>
      <c r="R34" s="66"/>
      <c r="S34" s="66"/>
      <c r="T34" s="66"/>
      <c r="U34" s="66"/>
      <c r="V34" s="66"/>
      <c r="W34" s="66"/>
      <c r="X34" s="66"/>
      <c r="Y34" s="66"/>
      <c r="Z34" s="66"/>
      <c r="AA34" s="77"/>
      <c r="AB34" s="66"/>
      <c r="AC34" s="75"/>
      <c r="AD34" s="74"/>
      <c r="AE34" s="328"/>
      <c r="AF34" s="910"/>
      <c r="AG34" s="909"/>
      <c r="AH34" s="909"/>
      <c r="AJ34" s="909"/>
      <c r="AK34" s="909"/>
      <c r="AL34" s="909"/>
      <c r="AM34" s="909"/>
      <c r="AN34" s="909"/>
      <c r="AO34" s="909"/>
      <c r="AP34" s="909"/>
      <c r="AQ34" s="909"/>
      <c r="AR34" s="909"/>
      <c r="AS34" s="909"/>
      <c r="AT34" s="909"/>
      <c r="AU34" s="909"/>
      <c r="AV34" s="909"/>
      <c r="AW34" s="912"/>
      <c r="AX34" s="909"/>
      <c r="AY34" s="916"/>
      <c r="AZ34" s="909"/>
      <c r="BA34" s="909"/>
      <c r="BB34" s="917"/>
      <c r="BC34" s="917"/>
      <c r="BD34" s="917"/>
      <c r="BE34" s="917"/>
      <c r="BF34" s="917"/>
      <c r="BG34" s="917"/>
      <c r="BH34" s="917"/>
      <c r="BI34" s="917"/>
      <c r="BJ34" s="917"/>
      <c r="BK34" s="917"/>
      <c r="BL34" s="917"/>
      <c r="BM34" s="917"/>
      <c r="BN34" s="917"/>
      <c r="BO34" s="917"/>
      <c r="BP34" s="917"/>
      <c r="BQ34" s="917"/>
      <c r="BR34" s="917"/>
      <c r="BS34" s="917"/>
      <c r="CD34" s="918"/>
      <c r="FI34" s="917"/>
      <c r="FK34" s="917"/>
      <c r="FM34" s="917"/>
    </row>
    <row r="35" spans="1:169" ht="16" thickBot="1">
      <c r="A35" s="875"/>
      <c r="B35" s="872"/>
      <c r="C35" s="875"/>
      <c r="D35" s="66"/>
      <c r="E35" s="84"/>
      <c r="F35" s="83" t="str">
        <f>F19</f>
        <v>Fecha</v>
      </c>
      <c r="G35" s="83" t="str">
        <f t="shared" ref="G35:I35" si="22">G19</f>
        <v>Hora</v>
      </c>
      <c r="H35" s="85" t="str">
        <f t="shared" si="22"/>
        <v>Jor.</v>
      </c>
      <c r="I35" s="86" t="str">
        <f t="shared" si="22"/>
        <v>Casa</v>
      </c>
      <c r="J35" s="83"/>
      <c r="K35" s="87" t="s">
        <v>22</v>
      </c>
      <c r="L35" s="87" t="s">
        <v>22</v>
      </c>
      <c r="M35" s="87"/>
      <c r="N35" s="88" t="str">
        <f t="shared" ref="N35" si="23">N19</f>
        <v>Fuera</v>
      </c>
      <c r="O35" s="349"/>
      <c r="P35" s="69"/>
      <c r="Q35" s="69"/>
      <c r="R35" s="69"/>
      <c r="S35" s="69"/>
      <c r="T35" s="69"/>
      <c r="U35" s="69"/>
      <c r="V35" s="69"/>
      <c r="W35" s="69"/>
      <c r="X35" s="69"/>
      <c r="Y35" s="69"/>
      <c r="Z35" s="69"/>
      <c r="AA35" s="358"/>
      <c r="AB35" s="70"/>
      <c r="AC35" s="70"/>
      <c r="AD35" s="70"/>
      <c r="AE35" s="327"/>
      <c r="AF35" s="910"/>
      <c r="AG35" s="909"/>
      <c r="AH35" s="909"/>
      <c r="AI35" s="909"/>
      <c r="AJ35" s="909"/>
      <c r="AK35" s="909"/>
      <c r="AL35" s="909"/>
      <c r="AM35" s="909"/>
      <c r="AN35" s="909"/>
      <c r="AO35" s="909"/>
      <c r="AP35" s="909"/>
      <c r="AQ35" s="909"/>
      <c r="AR35" s="909"/>
      <c r="AS35" s="909"/>
      <c r="AT35" s="909"/>
      <c r="AU35" s="909"/>
      <c r="AV35" s="909"/>
      <c r="AW35" s="912"/>
      <c r="AX35" s="909"/>
      <c r="AY35" s="909"/>
      <c r="AZ35" s="909"/>
      <c r="BA35" s="909"/>
      <c r="BB35" s="909"/>
      <c r="BC35" s="909"/>
      <c r="BD35" s="909"/>
      <c r="BE35" s="909"/>
      <c r="BF35" s="909"/>
      <c r="BG35" s="909"/>
      <c r="BH35" s="909"/>
      <c r="BI35" s="909"/>
      <c r="BJ35" s="909"/>
      <c r="BK35" s="909"/>
      <c r="BL35" s="909"/>
      <c r="BM35" s="909"/>
      <c r="BN35" s="909"/>
      <c r="BO35" s="909"/>
      <c r="BP35" s="909"/>
      <c r="BQ35" s="909"/>
      <c r="BR35" s="909"/>
      <c r="BS35" s="909"/>
      <c r="BT35" s="909"/>
      <c r="BU35" s="909"/>
      <c r="BV35" s="909"/>
      <c r="BW35" s="909"/>
      <c r="BX35" s="909"/>
      <c r="BY35" s="909"/>
      <c r="BZ35" s="909"/>
      <c r="CA35" s="909"/>
      <c r="CB35" s="909"/>
      <c r="CC35" s="909"/>
      <c r="CD35" s="909"/>
      <c r="CE35" s="909"/>
      <c r="CF35" s="909"/>
      <c r="CG35" s="909"/>
      <c r="CL35" s="910">
        <v>1</v>
      </c>
      <c r="CM35" s="910">
        <v>12</v>
      </c>
      <c r="CN35" s="910">
        <v>18</v>
      </c>
      <c r="CO35" s="910">
        <v>19</v>
      </c>
      <c r="CP35" s="910">
        <v>13</v>
      </c>
      <c r="CQ35" s="910">
        <v>20</v>
      </c>
      <c r="CR35" s="910">
        <v>21</v>
      </c>
      <c r="CS35" s="910">
        <v>22</v>
      </c>
      <c r="CT35" s="910">
        <v>3</v>
      </c>
      <c r="CU35" s="910">
        <v>2</v>
      </c>
      <c r="CV35" s="910">
        <v>14</v>
      </c>
      <c r="CW35" s="910">
        <v>17</v>
      </c>
      <c r="CX35" s="910">
        <v>16</v>
      </c>
      <c r="CY35" s="910">
        <v>15</v>
      </c>
      <c r="CZ35" s="910">
        <v>4</v>
      </c>
      <c r="DA35" s="910">
        <v>5</v>
      </c>
      <c r="DB35" s="910">
        <v>10</v>
      </c>
      <c r="DC35" s="910">
        <v>8</v>
      </c>
      <c r="DD35" s="910">
        <v>6</v>
      </c>
      <c r="DE35" s="910">
        <v>11</v>
      </c>
      <c r="DF35" s="910">
        <v>7</v>
      </c>
      <c r="DG35" s="910">
        <v>9</v>
      </c>
      <c r="DH35" s="910"/>
      <c r="DI35" s="910"/>
      <c r="EC35" s="911" t="s">
        <v>41</v>
      </c>
      <c r="ED35" s="911" t="s">
        <v>42</v>
      </c>
      <c r="EE35" s="911" t="s">
        <v>44</v>
      </c>
      <c r="EF35" s="911" t="s">
        <v>45</v>
      </c>
      <c r="EG35" s="911" t="s">
        <v>46</v>
      </c>
      <c r="EH35" s="911" t="s">
        <v>47</v>
      </c>
      <c r="EI35" s="911" t="s">
        <v>48</v>
      </c>
      <c r="EJ35" s="911" t="s">
        <v>49</v>
      </c>
      <c r="EK35" s="911" t="s">
        <v>50</v>
      </c>
      <c r="EL35" s="911" t="s">
        <v>51</v>
      </c>
    </row>
    <row r="36" spans="1:169">
      <c r="A36" s="871" t="s">
        <v>74</v>
      </c>
      <c r="B36" s="872" t="s">
        <v>3</v>
      </c>
      <c r="C36" s="873">
        <f>COUNTIF(Equipos!$C$2:$C$33,MUNDIAL!B36)</f>
        <v>4</v>
      </c>
      <c r="D36" s="152"/>
      <c r="E36" s="973" t="s">
        <v>3</v>
      </c>
      <c r="F36" s="217">
        <f>Horarios!C36</f>
        <v>44888.666666666664</v>
      </c>
      <c r="G36" s="218">
        <f>Horarios!C36</f>
        <v>44888.666666666664</v>
      </c>
      <c r="H36" s="217" t="s">
        <v>69</v>
      </c>
      <c r="I36" s="219" t="str">
        <f ca="1">A39</f>
        <v>Alemania</v>
      </c>
      <c r="J36" s="220" t="str">
        <f ca="1">VLOOKUP(I36,Equipos!$H$2:$I$33,2,0)</f>
        <v>🇩🇪</v>
      </c>
      <c r="K36" s="221">
        <v>1</v>
      </c>
      <c r="L36" s="221">
        <v>2</v>
      </c>
      <c r="M36" s="340" t="str">
        <f ca="1">VLOOKUP(N36,Equipos!$H$2:$I$33,2,0)</f>
        <v>🇯🇵</v>
      </c>
      <c r="N36" s="222" t="str">
        <f ca="1">A40</f>
        <v>Japón</v>
      </c>
      <c r="O36" s="347">
        <f>IF(NOT(OR(ISBLANK(K36),ISBLANK(L36))),1,0)</f>
        <v>1</v>
      </c>
      <c r="P36" s="82"/>
      <c r="Q36" s="275" t="str">
        <f>CONCATENATE("Grupo"," ",B36)</f>
        <v>Grupo E</v>
      </c>
      <c r="R36" s="276"/>
      <c r="S36" s="276"/>
      <c r="T36" s="276"/>
      <c r="U36" s="276"/>
      <c r="V36" s="276"/>
      <c r="W36" s="276"/>
      <c r="X36" s="276"/>
      <c r="Y36" s="276"/>
      <c r="Z36" s="277"/>
      <c r="AA36" s="359"/>
      <c r="AB36" s="1015" t="s">
        <v>65</v>
      </c>
      <c r="AC36" s="1015"/>
      <c r="AD36" s="1015"/>
      <c r="AE36" s="327"/>
      <c r="AF36" s="910"/>
      <c r="AG36" s="909"/>
      <c r="AH36" s="909" t="str">
        <f>CONCATENATE("Auxiliar - ",Q36)</f>
        <v>Auxiliar - Grupo E</v>
      </c>
      <c r="AI36" s="909"/>
      <c r="AJ36" s="909"/>
      <c r="AK36" s="909"/>
      <c r="AL36" s="909"/>
      <c r="AM36" s="909"/>
      <c r="AN36" s="909"/>
      <c r="AO36" s="909"/>
      <c r="AP36" s="909"/>
      <c r="AQ36" s="909"/>
      <c r="AR36" s="909"/>
      <c r="AS36" s="909"/>
      <c r="AT36" s="909"/>
      <c r="AU36" s="909" t="s">
        <v>38</v>
      </c>
      <c r="AV36" s="909"/>
      <c r="AW36" s="912"/>
      <c r="AX36" s="909"/>
      <c r="AY36" s="910" t="str">
        <f>CONCATENATE(Q36," - GOLAVERAGE")</f>
        <v>Grupo E - GOLAVERAGE</v>
      </c>
      <c r="AZ36" s="909"/>
      <c r="BA36" s="909"/>
      <c r="BB36" s="909" t="s">
        <v>28</v>
      </c>
      <c r="BC36" s="909"/>
      <c r="BD36" s="909"/>
      <c r="BE36" s="909"/>
      <c r="BF36" s="909"/>
      <c r="BG36" s="909"/>
      <c r="BH36" s="909" t="s">
        <v>27</v>
      </c>
      <c r="BI36" s="909"/>
      <c r="BJ36" s="909"/>
      <c r="BK36" s="909"/>
      <c r="BL36" s="909"/>
      <c r="BM36" s="909"/>
      <c r="BN36" s="909" t="s">
        <v>123</v>
      </c>
      <c r="BO36" s="917"/>
      <c r="BP36" s="917"/>
      <c r="BQ36" s="917"/>
      <c r="BR36" s="917"/>
      <c r="BS36" s="917"/>
      <c r="CI36" s="909" t="s">
        <v>62</v>
      </c>
      <c r="CK36" s="909" t="s">
        <v>63</v>
      </c>
      <c r="CL36" s="909">
        <f t="shared" ref="CL36:DG36" ca="1" si="24">SUM(CL38:CL41)</f>
        <v>0</v>
      </c>
      <c r="CM36" s="909">
        <f t="shared" ca="1" si="24"/>
        <v>0</v>
      </c>
      <c r="CN36" s="909">
        <f t="shared" ca="1" si="24"/>
        <v>0</v>
      </c>
      <c r="CO36" s="909">
        <f t="shared" ca="1" si="24"/>
        <v>1</v>
      </c>
      <c r="CP36" s="909">
        <f t="shared" ca="1" si="24"/>
        <v>0</v>
      </c>
      <c r="CQ36" s="909">
        <f t="shared" ca="1" si="24"/>
        <v>2</v>
      </c>
      <c r="CR36" s="909">
        <f t="shared" ca="1" si="24"/>
        <v>1</v>
      </c>
      <c r="CS36" s="909">
        <f t="shared" ca="1" si="24"/>
        <v>2</v>
      </c>
      <c r="CT36" s="909">
        <f t="shared" ca="1" si="24"/>
        <v>0</v>
      </c>
      <c r="CU36" s="909">
        <f t="shared" ca="1" si="24"/>
        <v>0</v>
      </c>
      <c r="CV36" s="909">
        <f t="shared" ca="1" si="24"/>
        <v>0</v>
      </c>
      <c r="CW36" s="909">
        <f t="shared" ca="1" si="24"/>
        <v>1</v>
      </c>
      <c r="CX36" s="909">
        <f t="shared" ca="1" si="24"/>
        <v>1</v>
      </c>
      <c r="CY36" s="909">
        <f t="shared" ca="1" si="24"/>
        <v>1</v>
      </c>
      <c r="CZ36" s="909">
        <f t="shared" ca="1" si="24"/>
        <v>0</v>
      </c>
      <c r="DA36" s="909">
        <f t="shared" ca="1" si="24"/>
        <v>0</v>
      </c>
      <c r="DB36" s="909">
        <f t="shared" ca="1" si="24"/>
        <v>0</v>
      </c>
      <c r="DC36" s="909">
        <f t="shared" ca="1" si="24"/>
        <v>0</v>
      </c>
      <c r="DD36" s="909">
        <f t="shared" ca="1" si="24"/>
        <v>0</v>
      </c>
      <c r="DE36" s="909">
        <f t="shared" ca="1" si="24"/>
        <v>0</v>
      </c>
      <c r="DF36" s="909">
        <f t="shared" ca="1" si="24"/>
        <v>0</v>
      </c>
      <c r="DG36" s="909">
        <f t="shared" ca="1" si="24"/>
        <v>0</v>
      </c>
      <c r="EC36" s="911">
        <v>1234</v>
      </c>
      <c r="ED36" s="911">
        <v>123</v>
      </c>
      <c r="EE36" s="911">
        <v>12</v>
      </c>
      <c r="EF36" s="911">
        <v>234</v>
      </c>
      <c r="EG36" s="911">
        <v>34</v>
      </c>
      <c r="EH36" s="911">
        <v>23</v>
      </c>
      <c r="EI36" s="911">
        <v>1</v>
      </c>
      <c r="EJ36" s="911">
        <v>2</v>
      </c>
      <c r="EK36" s="911">
        <v>3</v>
      </c>
      <c r="EL36" s="911">
        <v>4</v>
      </c>
      <c r="FM36" s="917"/>
    </row>
    <row r="37" spans="1:169" ht="16" thickBot="1">
      <c r="A37" s="871" t="str">
        <f t="array" aca="1" ref="A37" ca="1">IF(ROWS(A$37:A37)&lt;=$C$36,INDEX(INDIRECT(A$36),SMALL(IF(Nivell=$B$36,ROW(Nivell)-ROW(Equipos!$C$2)+1),ROWS(B$36:B36))),"")</f>
        <v>España</v>
      </c>
      <c r="B37" s="872"/>
      <c r="C37" s="872"/>
      <c r="D37" s="152"/>
      <c r="E37" s="974"/>
      <c r="F37" s="212">
        <f>Horarios!C37</f>
        <v>44888.791666666664</v>
      </c>
      <c r="G37" s="213">
        <f>Horarios!C37</f>
        <v>44888.791666666664</v>
      </c>
      <c r="H37" s="212" t="s">
        <v>69</v>
      </c>
      <c r="I37" s="214" t="str">
        <f ca="1">A37</f>
        <v>España</v>
      </c>
      <c r="J37" s="215" t="str">
        <f ca="1">VLOOKUP(I37,Equipos!$H$2:$I$33,2,0)</f>
        <v>🇪🇸</v>
      </c>
      <c r="K37" s="216">
        <v>7</v>
      </c>
      <c r="L37" s="216">
        <v>0</v>
      </c>
      <c r="M37" s="341" t="str">
        <f ca="1">VLOOKUP(N37,Equipos!$H$2:$I$33,2,0)</f>
        <v>🇨🇷</v>
      </c>
      <c r="N37" s="223" t="str">
        <f ca="1">A38</f>
        <v>Costa Rica</v>
      </c>
      <c r="O37" s="347">
        <f t="shared" ref="O37:O41" si="25">IF(NOT(OR(ISBLANK(K37),ISBLANK(L37))),1,0)</f>
        <v>1</v>
      </c>
      <c r="P37" s="82"/>
      <c r="Q37" s="292" t="s">
        <v>17</v>
      </c>
      <c r="R37" s="293" t="s">
        <v>100</v>
      </c>
      <c r="S37" s="294" t="s">
        <v>76</v>
      </c>
      <c r="T37" s="294" t="s">
        <v>6</v>
      </c>
      <c r="U37" s="294" t="s">
        <v>7</v>
      </c>
      <c r="V37" s="294" t="s">
        <v>3</v>
      </c>
      <c r="W37" s="294" t="s">
        <v>8</v>
      </c>
      <c r="X37" s="294" t="s">
        <v>9</v>
      </c>
      <c r="Y37" s="294" t="s">
        <v>10</v>
      </c>
      <c r="Z37" s="295" t="s">
        <v>99</v>
      </c>
      <c r="AA37" s="359">
        <f ca="1">COUNTIF(AA38:AA41,"&lt;100")</f>
        <v>0</v>
      </c>
      <c r="AB37" s="1015"/>
      <c r="AC37" s="1015"/>
      <c r="AD37" s="1015"/>
      <c r="AE37" s="327"/>
      <c r="AF37" s="910"/>
      <c r="AG37" s="913" t="s">
        <v>38</v>
      </c>
      <c r="AH37" s="913" t="s">
        <v>13</v>
      </c>
      <c r="AI37" s="913" t="s">
        <v>5</v>
      </c>
      <c r="AJ37" s="913" t="s">
        <v>14</v>
      </c>
      <c r="AK37" s="913" t="s">
        <v>6</v>
      </c>
      <c r="AL37" s="913" t="s">
        <v>7</v>
      </c>
      <c r="AM37" s="913" t="s">
        <v>3</v>
      </c>
      <c r="AN37" s="913" t="s">
        <v>8</v>
      </c>
      <c r="AO37" s="913" t="s">
        <v>9</v>
      </c>
      <c r="AP37" s="913" t="s">
        <v>10</v>
      </c>
      <c r="AQ37" s="913" t="s">
        <v>11</v>
      </c>
      <c r="AR37" s="913" t="s">
        <v>15</v>
      </c>
      <c r="AS37" s="913" t="s">
        <v>13</v>
      </c>
      <c r="AT37" s="909"/>
      <c r="AU37" s="909"/>
      <c r="AV37" s="909"/>
      <c r="AW37" s="912"/>
      <c r="AX37" s="909"/>
      <c r="AY37" s="913" t="s">
        <v>5</v>
      </c>
      <c r="AZ37" s="913" t="s">
        <v>29</v>
      </c>
      <c r="BA37" s="913" t="s">
        <v>32</v>
      </c>
      <c r="BB37" s="913" t="s">
        <v>31</v>
      </c>
      <c r="BC37" s="913" t="s">
        <v>26</v>
      </c>
      <c r="BD37" s="913" t="str">
        <f ca="1">AY38</f>
        <v>España</v>
      </c>
      <c r="BE37" s="913" t="str">
        <f ca="1">AY39</f>
        <v>Costa Rica</v>
      </c>
      <c r="BF37" s="913" t="str">
        <f ca="1">AY40</f>
        <v>Alemania</v>
      </c>
      <c r="BG37" s="913" t="str">
        <f ca="1">AY41</f>
        <v>Japón</v>
      </c>
      <c r="BH37" s="913" t="s">
        <v>31</v>
      </c>
      <c r="BI37" s="913" t="s">
        <v>26</v>
      </c>
      <c r="BJ37" s="913" t="str">
        <f ca="1">BD37</f>
        <v>España</v>
      </c>
      <c r="BK37" s="913" t="str">
        <f ca="1">BE37</f>
        <v>Costa Rica</v>
      </c>
      <c r="BL37" s="913" t="str">
        <f ca="1">BF37</f>
        <v>Alemania</v>
      </c>
      <c r="BM37" s="913" t="str">
        <f ca="1">BG37</f>
        <v>Japón</v>
      </c>
      <c r="BN37" s="913" t="s">
        <v>31</v>
      </c>
      <c r="BO37" s="913" t="s">
        <v>26</v>
      </c>
      <c r="BP37" s="913" t="str">
        <f ca="1">BD37</f>
        <v>España</v>
      </c>
      <c r="BQ37" s="913" t="str">
        <f ca="1">BE37</f>
        <v>Costa Rica</v>
      </c>
      <c r="BR37" s="913" t="str">
        <f ca="1">BF37</f>
        <v>Alemania</v>
      </c>
      <c r="BS37" s="913" t="str">
        <f ca="1">BG37</f>
        <v>Japón</v>
      </c>
      <c r="BU37" s="914"/>
      <c r="BV37" s="914" t="s">
        <v>39</v>
      </c>
      <c r="BW37" s="914"/>
      <c r="BX37" s="914" t="s">
        <v>40</v>
      </c>
      <c r="BY37" s="914"/>
      <c r="CA37" s="914"/>
      <c r="CB37" s="914" t="s">
        <v>5</v>
      </c>
      <c r="CC37" s="914" t="s">
        <v>14</v>
      </c>
      <c r="CD37" s="914" t="s">
        <v>59</v>
      </c>
      <c r="CE37" s="914" t="s">
        <v>11</v>
      </c>
      <c r="CF37" s="914" t="s">
        <v>60</v>
      </c>
      <c r="CG37" s="914"/>
      <c r="CK37" s="909" t="s">
        <v>64</v>
      </c>
      <c r="CL37" s="909" t="s">
        <v>43</v>
      </c>
      <c r="CM37" s="909" t="s">
        <v>52</v>
      </c>
      <c r="CN37" s="909" t="s">
        <v>53</v>
      </c>
      <c r="CO37" s="909" t="s">
        <v>54</v>
      </c>
      <c r="CP37" s="909" t="s">
        <v>55</v>
      </c>
      <c r="CQ37" s="909" t="s">
        <v>56</v>
      </c>
      <c r="CR37" s="909" t="s">
        <v>57</v>
      </c>
      <c r="CS37" s="909" t="s">
        <v>58</v>
      </c>
      <c r="CT37" s="909" t="s">
        <v>53</v>
      </c>
      <c r="CU37" s="909" t="s">
        <v>53</v>
      </c>
      <c r="CV37" s="909" t="s">
        <v>54</v>
      </c>
      <c r="CW37" s="909" t="s">
        <v>57</v>
      </c>
      <c r="CX37" s="909" t="s">
        <v>56</v>
      </c>
      <c r="CY37" s="909" t="s">
        <v>56</v>
      </c>
      <c r="CZ37" s="909" t="s">
        <v>55</v>
      </c>
      <c r="DA37" s="909" t="s">
        <v>52</v>
      </c>
      <c r="DB37" s="909" t="s">
        <v>57</v>
      </c>
      <c r="DC37" s="909" t="s">
        <v>56</v>
      </c>
      <c r="DD37" s="909" t="s">
        <v>54</v>
      </c>
      <c r="DE37" s="909" t="s">
        <v>57</v>
      </c>
      <c r="DF37" s="909" t="s">
        <v>54</v>
      </c>
      <c r="DG37" s="909" t="s">
        <v>56</v>
      </c>
      <c r="EC37" s="911">
        <v>1</v>
      </c>
      <c r="ED37" s="911">
        <v>1</v>
      </c>
      <c r="EE37" s="911">
        <v>1</v>
      </c>
      <c r="EF37" s="911">
        <v>2</v>
      </c>
      <c r="EG37" s="911">
        <v>3</v>
      </c>
      <c r="EH37" s="911">
        <v>2</v>
      </c>
      <c r="EI37" s="911">
        <v>1</v>
      </c>
      <c r="EJ37" s="911">
        <v>2</v>
      </c>
      <c r="EK37" s="911">
        <v>3</v>
      </c>
      <c r="EL37" s="911">
        <v>4</v>
      </c>
      <c r="FI37" s="913"/>
      <c r="FK37" s="913"/>
      <c r="FM37" s="913"/>
    </row>
    <row r="38" spans="1:169">
      <c r="A38" s="871" t="str">
        <f t="array" aca="1" ref="A38" ca="1">IF(ROWS(A$37:A38)&lt;=$C$36,INDEX(INDIRECT(A$36),SMALL(IF(Nivell=$B$36,ROW(Nivell)-ROW(Equipos!$C$2)+1),ROWS(B$36:B37))),"")</f>
        <v>Costa Rica</v>
      </c>
      <c r="B38" s="872"/>
      <c r="C38" s="874"/>
      <c r="D38" s="152"/>
      <c r="E38" s="974"/>
      <c r="F38" s="212">
        <f>Horarios!C38</f>
        <v>44892.541666666664</v>
      </c>
      <c r="G38" s="213">
        <f>Horarios!C38</f>
        <v>44892.541666666664</v>
      </c>
      <c r="H38" s="212" t="s">
        <v>70</v>
      </c>
      <c r="I38" s="214" t="str">
        <f ca="1">A40</f>
        <v>Japón</v>
      </c>
      <c r="J38" s="215" t="str">
        <f ca="1">VLOOKUP(I38,Equipos!$H$2:$I$33,2,0)</f>
        <v>🇯🇵</v>
      </c>
      <c r="K38" s="216">
        <v>0</v>
      </c>
      <c r="L38" s="216">
        <v>1</v>
      </c>
      <c r="M38" s="341" t="str">
        <f ca="1">VLOOKUP(N38,Equipos!$H$2:$I$33,2,0)</f>
        <v>🇨🇷</v>
      </c>
      <c r="N38" s="223" t="str">
        <f ca="1">A38</f>
        <v>Costa Rica</v>
      </c>
      <c r="O38" s="347">
        <f t="shared" si="25"/>
        <v>1</v>
      </c>
      <c r="P38" s="82"/>
      <c r="Q38" s="296">
        <v>1</v>
      </c>
      <c r="R38" s="297" t="str">
        <f ca="1">VLOOKUP(Q38,$AG$38:$AI$41,3,0)</f>
        <v>Japón</v>
      </c>
      <c r="S38" s="298">
        <f ca="1">VLOOKUP(R38,$AI$38:$AR$41,2,FALSE)</f>
        <v>6</v>
      </c>
      <c r="T38" s="298">
        <f ca="1">VLOOKUP($R38,$AI$38:$AR$41,3,FALSE)</f>
        <v>3</v>
      </c>
      <c r="U38" s="298">
        <f ca="1">VLOOKUP($R38,$AI$38:$AR$41,4,FALSE)</f>
        <v>2</v>
      </c>
      <c r="V38" s="298">
        <f ca="1">VLOOKUP($R38,$AI$38:$AR$41,5,FALSE)</f>
        <v>0</v>
      </c>
      <c r="W38" s="298">
        <f ca="1">VLOOKUP($R38,$AI$38:$AR$41,6,FALSE)</f>
        <v>1</v>
      </c>
      <c r="X38" s="298">
        <f ca="1">VLOOKUP($R38,$AI$38:$AR$41,7,FALSE)</f>
        <v>4</v>
      </c>
      <c r="Y38" s="298">
        <f ca="1">VLOOKUP($R38,$AI$38:$AR$41,8,FALSE)</f>
        <v>3</v>
      </c>
      <c r="Z38" s="299">
        <f ca="1">VLOOKUP($R38,$AI$38:$AR$41,9,FALSE)</f>
        <v>1</v>
      </c>
      <c r="AA38" s="357">
        <f ca="1">IF(SUM($AK$38:$AK$41)=12,MIN(ABS(BY37-BY38),ABS(BY38-BY39)),100)</f>
        <v>2191999999.9700003</v>
      </c>
      <c r="AB38" s="94" t="str">
        <f ca="1">IF(AND(AA38&gt;=0,AA38&lt;90),VLOOKUP(Q38,$BU$38:$BV$41,2,0),"")</f>
        <v/>
      </c>
      <c r="AC38" s="73"/>
      <c r="AD38" s="74"/>
      <c r="AE38" s="328"/>
      <c r="AF38" s="910">
        <f ca="1">VLOOKUP($R38,$AI$38:$AR$41,10,FALSE)</f>
        <v>6675210499.8000002</v>
      </c>
      <c r="AG38" s="909">
        <f ca="1">RANK(AU38,$AU$38:$AU$41)</f>
        <v>2</v>
      </c>
      <c r="AH38" s="909">
        <f ca="1">RANK(AR38,$AR$38:$AR$41)</f>
        <v>2</v>
      </c>
      <c r="AI38" s="911" t="str">
        <f ca="1">A37</f>
        <v>España</v>
      </c>
      <c r="AJ38" s="909">
        <f ca="1">AL38*3+AM38*1+AN38*0</f>
        <v>4</v>
      </c>
      <c r="AK38" s="909">
        <f ca="1">COUNTIFS($I$4:$I$65,AI38,$K$4:$K$65,"&lt;&gt;",$L$4:$L$65,"&lt;&gt;")+COUNTIFS($N$4:$N$65,AI38,$L$4:$L$65,"&lt;&gt;",$K$4:$K$65,"&lt;&gt;")</f>
        <v>3</v>
      </c>
      <c r="AL38" s="909">
        <f t="array" aca="1" ref="AL38" ca="1">SUM(($I$4:$I$65=AI38)*($K$4:$K$65&lt;&gt;"")*($L$4:$L$65&lt;&gt;"")*($K$4:$K$65&gt;$L$4:$L$65),($N$4:$N$65=AI38)*($K$4:$K$65&lt;&gt;"")*($L$4:$L$65&lt;&gt;"")*($K$4:$K$65&lt;$L$4:$L$65))</f>
        <v>1</v>
      </c>
      <c r="AM38" s="909">
        <f t="array" aca="1" ref="AM38" ca="1">SUM(($I$4:$I$65=AI38)*($K$4:$K$65&lt;&gt;"")*($L$4:$L$65&lt;&gt;"")*($K$4:$K$65=$L$4:$L$65),($N$4:$N$65=AI38)*($K$4:$K$65&lt;&gt;"")*($L$4:$L$65&lt;&gt;"")*($K$4:$K$65=$L$4:$L$65))</f>
        <v>1</v>
      </c>
      <c r="AN38" s="909">
        <f t="array" aca="1" ref="AN38" ca="1">SUM(($I$4:$I$65=AI38)*($L$4:$L$65&lt;&gt;"")*($K$4:$K$65&lt;&gt;"")*($K$4:$K$65&lt;$L$4:$L$65),($K$4:$K$65&lt;&gt;"")*($N$4:$N$65=AI38)*($L$4:$L$65&lt;&gt;"")*($K$4:$K$65&gt;$L$4:$L$65))</f>
        <v>1</v>
      </c>
      <c r="AO38" s="909">
        <f t="array" aca="1" ref="AO38" ca="1">SUMIFS($K$4:$K$65,$I$4:$I$65,AI38,$K$4:$K$65,"&lt;&gt;",$L$4:$L$65,"&lt;&gt;")+SUMIFS($L$4:$L$65,$N$4:$N$65,AI38,$K$4:$K$65,"&lt;&gt;",$L$4:$L$65,"&lt;&gt;")</f>
        <v>9</v>
      </c>
      <c r="AP38" s="909">
        <f t="array" aca="1" ref="AP38" ca="1">SUMIFS($K$4:$K$65,$N$4:$N$65,AI38,$K$4:$K$65,"&lt;&gt;",$L$4:$L$65,"&lt;&gt;")+SUMIFS($L$4:$L$65,$I$4:$I$65,AI38,$K$4:$K$65,"&lt;&gt;",$L$4:$L$65,"&lt;&gt;")</f>
        <v>3</v>
      </c>
      <c r="AQ38" s="909">
        <f ca="1">AO38-AP38</f>
        <v>6</v>
      </c>
      <c r="AR38" s="909">
        <f ca="1">IF(AK38=0,-($AW$11*VLOOKUP(AI38,Tabla3[[NombreEquipo]:[Rank]],3,FALSE)),AJ38*$AW$4+AQ38*$AW$5+AO38*$AW$6+BA38-($AW$11*VLOOKUP(AI38,Tabla3[[NombreEquipo]:[Rank]],3,FALSE)/100))</f>
        <v>4483210499.8299999</v>
      </c>
      <c r="AS38" s="909">
        <f ca="1">AH38</f>
        <v>2</v>
      </c>
      <c r="AT38" s="909"/>
      <c r="AU38" s="909">
        <f ca="1">IFERROR(AR38-VLOOKUP(AI38,$AB$38:$AC$41,2,0),AR38)</f>
        <v>4483210499.8299999</v>
      </c>
      <c r="AV38" s="909"/>
      <c r="AW38" s="912"/>
      <c r="AX38" s="909"/>
      <c r="AY38" s="916" t="str">
        <f ca="1">AI38</f>
        <v>España</v>
      </c>
      <c r="AZ38" s="909">
        <f ca="1">COUNTIF(AJ38:AJ41,AJ38)</f>
        <v>2</v>
      </c>
      <c r="BA38" s="909">
        <f t="shared" ref="BA38:BA39" ca="1" si="26">(BB38*$AW$9)+(BH38*$AW$8)+(BN38*$AW$7)</f>
        <v>210500</v>
      </c>
      <c r="BB38" s="917">
        <f ca="1">RANK(BC38,BC38:BC41,1)</f>
        <v>1</v>
      </c>
      <c r="BC38" s="917">
        <f ca="1">SUM(IF(AND(AJ38=AJ39,AQ38=AQ39,AO38=AO39),BE38,0),IF(AND(AJ38=AJ40,AQ38=AQ40,AO38=AO40),BF38,0),IF(AND(AJ38=AJ41,AQ38=AQ41,AO38=AO41),BG38,0))</f>
        <v>0</v>
      </c>
      <c r="BD38" s="917">
        <v>0</v>
      </c>
      <c r="BE38" s="917">
        <f t="array" aca="1" ref="BE38" ca="1">SUMIFS($K$36:$K$41,$I$36:$I$41,$AY38,$K$36:$K$41,"&lt;&gt;",$L$36:$L$41,"&lt;&gt;",$N$36:$N$41,BE37)+SUMIFS($L$36:$L$41,$I$36:$I$41,BE37,$K$36:$K$41,"&lt;&gt;",$L$36:$L$41,"&lt;&gt;",$N$36:$N$41,$AY38)</f>
        <v>7</v>
      </c>
      <c r="BF38" s="917">
        <f t="array" aca="1" ref="BF38" ca="1">SUMIFS($K$36:$K$41,$I$36:$I$41,$AY38,$K$36:$K$41,"&lt;&gt;",$L$36:$L$41,"&lt;&gt;",$N$36:$N$41,BF37)+SUMIFS($L$36:$L$41,$I$36:$I$41,BF37,$K$36:$K$41,"&lt;&gt;",$L$36:$L$41,"&lt;&gt;",$N$36:$N$41,$AY38)</f>
        <v>1</v>
      </c>
      <c r="BG38" s="917">
        <f t="array" aca="1" ref="BG38" ca="1">SUMIFS($K$36:$K$41,$I$36:$I$41,$AY38,$K$36:$K$41,"&lt;&gt;",$L$36:$L$41,"&lt;&gt;",$N$36:$N$41,BG37)+SUMIFS($L$36:$L$41,$I$36:$I$41,BG37,$K$36:$K$41,"&lt;&gt;",$L$36:$L$41,"&lt;&gt;",$N$36:$N$41,$AY38)</f>
        <v>1</v>
      </c>
      <c r="BH38" s="917">
        <f ca="1">RANK(BI38,BI38:BI41,1)</f>
        <v>1</v>
      </c>
      <c r="BI38" s="917">
        <f ca="1">SUM(IF(AND(AJ38=AJ39,AQ38=AQ39,AO38=AO39),BK38,0),IF(AND(AJ38=AJ40,AQ38=AQ40,AO38=AO40),BL38,0),IF(AND(AJ38=AJ41,AQ38=AQ41,AO38=AO41),BM38,0))</f>
        <v>0</v>
      </c>
      <c r="BJ38" s="917">
        <v>0</v>
      </c>
      <c r="BK38" s="917">
        <f ca="1">BE38-BD39</f>
        <v>7</v>
      </c>
      <c r="BL38" s="917">
        <f ca="1">BF38-BD40</f>
        <v>0</v>
      </c>
      <c r="BM38" s="917">
        <f ca="1">BG38-BD41</f>
        <v>-1</v>
      </c>
      <c r="BN38" s="917">
        <f ca="1">RANK(BO38,BO38:BO41,1)</f>
        <v>1</v>
      </c>
      <c r="BO38" s="917">
        <f ca="1">SUM(IF(AND(AJ38=AJ39,AQ38=AQ39,AO38=AO39),BQ38,0),IF(AND(AJ38=AJ40,AQ38=AQ40,AO38=AO40),BR38,0),IF(AND(AJ38=AJ41,AQ38=AQ41,AO38=AO41),BS38,0))</f>
        <v>0</v>
      </c>
      <c r="BP38" s="917">
        <v>0</v>
      </c>
      <c r="BQ38" s="917">
        <f t="array" aca="1" ref="BQ38" ca="1">SUM((I$4:I$49=AY38)*(N$4:N$49=BQ37)*(K$4:K$49&lt;&gt;"")*(L$4:L$49&lt;&gt;"")*(K$4:K$49&gt;L$4:L$49)*3,(N$4:N$49=AY38)*(I$4:I$49=BQ37)*(K$4:K$49&lt;&gt;"")*(L$4:L$49&lt;&gt;"")*(K$4:K$49=L$4:L$49)*1,(N$4:N$49=AY38)*(I$4:I$49=BQ37)*(K$4:K$49&lt;&gt;"")*(L$4:L$49&lt;&gt;"")*(K$4:K$49&lt;L$4:L$49)*3,(I$4:I$49=AY38)*(N$4:N$49=BQ37)*(K$4:K$49&lt;&gt;"")*(L$4:L$49&lt;&gt;"")*(K$4:K$49=L$4:L$49)*1)</f>
        <v>3</v>
      </c>
      <c r="BR38" s="917">
        <f t="array" aca="1" ref="BR38" ca="1">SUM((I$4:I$49=AY38)*(N$4:N$49=BR37)*(K$4:K$49&lt;&gt;"")*(L$4:L$49&lt;&gt;"")*(K$4:K$49&gt;L$4:L$49)*3,(N$4:N$49=AY38)*(I$4:I$49=BR37)*(K$4:K$49&lt;&gt;"")*(L$4:L$49&lt;&gt;"")*(K$4:K$49=L$4:L$49)*1,(N$4:N$49=AY38)*(I$4:I$49=BR37)*(K$4:K$49&lt;&gt;"")*(L$4:L$49&lt;&gt;"")*(K$4:K$49&lt;L$4:L$49)*3,(I$4:I$49=AY38)*(N$4:N$49=BR37)*(K$4:K$49&lt;&gt;"")*(L$4:L$49&lt;&gt;"")*(K$4:K$49=L$4:L$49)*1)</f>
        <v>1</v>
      </c>
      <c r="BS38" s="917">
        <f t="array" aca="1" ref="BS38" ca="1">SUM((I$4:I$49=AY38)*(N$4:N$49=BS37)*(K$4:K$49&lt;&gt;"")*(L$4:L$49&lt;&gt;"")*(K$4:K$49&gt;L$4:L$49)*3,(N$4:N$49=AY38)*(I$4:I$49=BS37)*(K$4:K$49&lt;&gt;"")*(L$4:L$49&lt;&gt;"")*(K$4:K$49=L$4:L$49)*1,(N$4:N$49=AY38)*(I$4:I$49=BS37)*(K$4:K$49&lt;&gt;"")*(L$4:L$49&lt;&gt;"")*(K$4:K$49&lt;L$4:L$49)*3,(I$4:I$49=AY38)*(N$4:N$49=BS37)*(K$4:K$49&lt;&gt;"")*(L$4:L$49&lt;&gt;"")*(K$4:K$49=L$4:L$49)*1)</f>
        <v>0</v>
      </c>
      <c r="BT38" s="911">
        <v>1</v>
      </c>
      <c r="BU38" s="911">
        <f ca="1">RANK(BW38,$BW$38:$BW$41)</f>
        <v>2</v>
      </c>
      <c r="BV38" s="911" t="str">
        <f ca="1">A37</f>
        <v>España</v>
      </c>
      <c r="BW38" s="911">
        <f t="shared" ref="BW38" ca="1" si="27">AR38</f>
        <v>4483210499.8299999</v>
      </c>
      <c r="BX38" s="911" t="str">
        <f ca="1">VLOOKUP(Q38,$AH$38:$AI$41,2,0)</f>
        <v>Japón</v>
      </c>
      <c r="BY38" s="911">
        <f ca="1">VLOOKUP($BX38,$AI$38:$AR$41,10,FALSE)</f>
        <v>6675210499.8000002</v>
      </c>
      <c r="CA38" s="911">
        <v>1</v>
      </c>
      <c r="CB38" s="911" t="str">
        <f ca="1">VLOOKUP(CA38,$AH$38:$AI$41,2,0)</f>
        <v>Japón</v>
      </c>
      <c r="CC38" s="911">
        <f ca="1">VLOOKUP(CB38,$AI$38:$AR$41,2,FALSE)</f>
        <v>6</v>
      </c>
      <c r="CD38" s="918">
        <f ca="1">IF(SUM($AK$38:$AK$41)=12,MIN(ABS(BY37-BY38),ABS(BY38-BY39)),100)</f>
        <v>2191999999.9700003</v>
      </c>
      <c r="CE38" s="911">
        <f ca="1">VLOOKUP($CB38,$AI$38:$AR$41,9,FALSE)</f>
        <v>1</v>
      </c>
      <c r="CF38" s="911">
        <f ca="1">VLOOKUP($CB38,$AI$38:$AR$41,7,FALSE)</f>
        <v>4</v>
      </c>
      <c r="CH38" s="911">
        <f t="array" aca="1" ref="CH38" ca="1">IF($CI$38=$CL$37,$EC$37:$EC$40,IF($CI$38=$CM$37,$ED$37:$ED$39,IF(OR($CI$38=$CN$37,$CI$38=$CO$37),$EE$37:$EE$38,$EI$37)))</f>
        <v>1</v>
      </c>
      <c r="CI38" s="909" t="str">
        <f ca="1">IFERROR(HLOOKUP(4,CL36:DI37,2,0),CS37)</f>
        <v>COM_8</v>
      </c>
      <c r="CK38" s="909">
        <v>1</v>
      </c>
      <c r="CL38" s="909">
        <f t="array" aca="1" ref="CL38" ca="1">IF(AND($CC$38:$CC$41=$CC$38,$CD$38:$CD$41&lt;90,$AQ$38:$AQ$41=$AQ$38,$CF$38:$CF$41=$CF$38),1,0)</f>
        <v>0</v>
      </c>
      <c r="CM38" s="909">
        <f t="array" aca="1" ref="CM38" ca="1">IF(AND($CC$38:$CC$40=$CC$38,$CD$38:$CD$40&lt;90,$CC$38&lt;&gt;$CC$41),1,0)</f>
        <v>0</v>
      </c>
      <c r="CN38" s="909">
        <f t="array" aca="1" ref="CN38" ca="1">IF(AND($CC$38:$CC$39=$CC$38,$CD$38:$CD$39&lt;90,$CC$38&lt;&gt;$CC$40),1,0)</f>
        <v>0</v>
      </c>
      <c r="CO38" s="909">
        <f t="array" aca="1" ref="CO38" ca="1">IF(AND($CC$38:$CC$39=$CC$38,$CD$38:$CD$39&lt;90,$CC$38&lt;&gt;$CC$40),1,0)</f>
        <v>0</v>
      </c>
      <c r="CP38" s="909">
        <f t="array" aca="1" ref="CP38" ca="1">IF(AND($CC$39:$CC$41=$CC$39,$CD$39:$CD$41&lt;90,$CC$38&lt;&gt;$CC$39),1,0)</f>
        <v>0</v>
      </c>
      <c r="CQ38" s="909">
        <f t="array" aca="1" ref="CQ38" ca="1">IF(AND($CC$38&lt;&gt;$CC$39,$CC$38&lt;&gt;$CC$41),1,0)</f>
        <v>1</v>
      </c>
      <c r="CR38" s="909">
        <f t="array" aca="1" ref="CR38" ca="1">IF(AND($CC$38&lt;&gt;$CC$39,$CC$38&lt;&gt;$CC$41),1,0)</f>
        <v>1</v>
      </c>
      <c r="CS38" s="909">
        <f t="array" aca="1" ref="CS38" ca="1">IF(AND($CC$38&lt;&gt;$CC$39,$CC$38&lt;&gt;$CC$41),1,0)</f>
        <v>1</v>
      </c>
      <c r="CT38" s="909">
        <f t="array" aca="1" ref="CT38" ca="1">IF(AND($CC$38:$CC$41=$CC$38,$CD$38:$CD$41&lt;90,$CE$38:$CE$39=$CE$38,$CE$38&lt;&gt;$CE$40),1,0)</f>
        <v>0</v>
      </c>
      <c r="CU38" s="909">
        <f t="array" aca="1" ref="CU38" ca="1">IF(AND($CC$38:$CC$41=$CC$38,$CD$38:$CD$41&lt;90,$CE$38:$CE$41=$CE$38,$CF$38=$CF$39,$CF$38&lt;&gt;$CF$40),1,0)</f>
        <v>0</v>
      </c>
      <c r="CV38" s="909">
        <f t="array" aca="1" ref="CV38" ca="1">IF(AND($CC$38:$CC$40=$CC$38,$CD$38:$CD$39&lt;90,$CD$40&gt;90),1,0)</f>
        <v>0</v>
      </c>
      <c r="CW38" s="909">
        <f t="array" aca="1" ref="CW38" ca="1">IF(AND($CC$38&lt;&gt;$CC$39,$CC$38&lt;&gt;$CC$40),1,0)</f>
        <v>1</v>
      </c>
      <c r="CX38" s="909">
        <f t="array" aca="1" ref="CX38" ca="1">IF(AND($CC$38&lt;&gt;$CC$39,$CC$38&lt;&gt;$CC$40),1,0)</f>
        <v>1</v>
      </c>
      <c r="CY38" s="909">
        <f t="array" aca="1" ref="CY38" ca="1">IF(AND($CC$38&lt;&gt;$CC$41,$CC$38:$CC$40=$CC$38,$CD$38&gt;90,$CD$39:$CD$40&lt;90),1,0)</f>
        <v>0</v>
      </c>
      <c r="CZ38" s="909">
        <f t="array" aca="1" ref="CZ38" ca="1">IF(AND($CC$38:$CC$41=$CC$38,$CD$39:$CD$41&lt;90,$CD$38&lt;&gt;$CD$39),1,0)</f>
        <v>0</v>
      </c>
      <c r="DA38" s="909">
        <f t="array" aca="1" ref="DA38" ca="1">IF(AND($CC$38:$CC$41=$CC$38,$CD$38:$CD$40&lt;90,$CD$38&lt;&gt;$CD$41),1,0)</f>
        <v>0</v>
      </c>
      <c r="DB38" s="909">
        <f t="array" aca="1" ref="DB38" ca="1">IF(AND($CC$38:$CC$41=$CC$38,$CD$38:$CD$39&gt;90,$CD$40:$CD$41&lt;90,$CE$38:$CE$41=$CE$38,$CF$38&gt;$CF$39,$CF$38&gt;$CF$40,$CF$38&gt;$CF$41),1,0)</f>
        <v>0</v>
      </c>
      <c r="DC38" s="909">
        <f t="array" aca="1" ref="DC38" ca="1">IF(AND($CC$38:$CC$41=$CC$38,$CD$38&gt;90,$CD$39:$CD$40&lt;90,$CD$41&gt;90,$CE$38:$CE$41=$CE$38,$CF$38&gt;$CF$39,$CF$38&gt;$CF$40,$CF$38&gt;$CF$41),1,0)</f>
        <v>0</v>
      </c>
      <c r="DD38" s="909">
        <f t="array" aca="1" ref="DD38" ca="1">IF(AND($CC$38:$CC$41=$CC$38,$CD$38:$CD$39&lt;90,$CD$40:$CD$41&gt;90,$CE$38:$CE$41=$CE$38,$CF$38=$CF$39,$CF$38&gt;$CF$40,$CF$38&gt;$CF$41),1,0)</f>
        <v>0</v>
      </c>
      <c r="DE38" s="909">
        <f t="array" aca="1" ref="DE38" ca="1">IF(AND($CC$38:$CC$41=$CC$38,$CD$38:$CD$39&gt;90,$CD$40:$CD$41&lt;90,$CE$38:$CE$41=$CE$38,$CF$38&gt;$CF$39,$CF$39:$CF$41=$CF$39),1,0)</f>
        <v>0</v>
      </c>
      <c r="DF38" s="909">
        <f t="array" aca="1" ref="DF38" ca="1">IF(AND($CC$38:$CC$41=$CC$38,$CD$38:$CD$39&lt;90,$CD$40:$CD$41&gt;90,$CE$38:$CE$41=$CE$38,$CF$38:$CF$40=$CF$38,$CF$38&gt;$CF$41),1,0)</f>
        <v>0</v>
      </c>
      <c r="DG38" s="909">
        <f t="array" aca="1" ref="DG38" ca="1">IF(AND($CC$38:$CC$41=$CC$38,$CD$38&gt;90,$CD$41&gt;90,$CD$39:$CD$40&lt;90,$CE$38:$CE$41=$CE$38,$CF$38&gt;$CF$39:$CF$41),1,0)</f>
        <v>0</v>
      </c>
      <c r="EC38" s="911">
        <v>2</v>
      </c>
      <c r="ED38" s="911">
        <v>2</v>
      </c>
      <c r="EE38" s="911">
        <v>2</v>
      </c>
      <c r="EF38" s="911">
        <v>3</v>
      </c>
      <c r="EG38" s="911">
        <v>4</v>
      </c>
      <c r="EH38" s="911">
        <v>3</v>
      </c>
      <c r="EI38" s="911"/>
      <c r="EJ38" s="911"/>
      <c r="EK38" s="911"/>
      <c r="EL38" s="911"/>
      <c r="FI38" s="917"/>
      <c r="FK38" s="917"/>
      <c r="FM38" s="917"/>
    </row>
    <row r="39" spans="1:169">
      <c r="A39" s="871" t="str">
        <f t="array" aca="1" ref="A39" ca="1">IF(ROWS(A$37:A39)&lt;=$C$36,INDEX(INDIRECT(A$36),SMALL(IF(Nivell=$B$36,ROW(Nivell)-ROW(Equipos!$C$2)+1),ROWS(B$36:B38))),"")</f>
        <v>Alemania</v>
      </c>
      <c r="B39" s="872"/>
      <c r="C39" s="857"/>
      <c r="D39" s="152"/>
      <c r="E39" s="974"/>
      <c r="F39" s="212">
        <f>Horarios!C39</f>
        <v>44892.916666666664</v>
      </c>
      <c r="G39" s="213">
        <f>Horarios!C39</f>
        <v>44892.916666666664</v>
      </c>
      <c r="H39" s="212" t="s">
        <v>70</v>
      </c>
      <c r="I39" s="214" t="str">
        <f ca="1">A37</f>
        <v>España</v>
      </c>
      <c r="J39" s="215" t="str">
        <f ca="1">VLOOKUP(I39,Equipos!$H$2:$I$33,2,0)</f>
        <v>🇪🇸</v>
      </c>
      <c r="K39" s="216">
        <v>1</v>
      </c>
      <c r="L39" s="216">
        <v>1</v>
      </c>
      <c r="M39" s="341" t="str">
        <f ca="1">VLOOKUP(N39,Equipos!$H$2:$I$33,2,0)</f>
        <v>🇩🇪</v>
      </c>
      <c r="N39" s="223" t="str">
        <f ca="1">A39</f>
        <v>Alemania</v>
      </c>
      <c r="O39" s="347">
        <f t="shared" si="25"/>
        <v>1</v>
      </c>
      <c r="P39" s="82"/>
      <c r="Q39" s="278">
        <v>2</v>
      </c>
      <c r="R39" s="5" t="str">
        <f ca="1">VLOOKUP(Q39,$AG$38:$AI$41,3,0)</f>
        <v>España</v>
      </c>
      <c r="S39" s="4">
        <f ca="1">VLOOKUP(R39,$AI$38:$AR$41,2,FALSE)</f>
        <v>4</v>
      </c>
      <c r="T39" s="4">
        <f ca="1">VLOOKUP($R39,$AI$38:$AR$41,3,FALSE)</f>
        <v>3</v>
      </c>
      <c r="U39" s="4">
        <f ca="1">VLOOKUP($R39,$AI$38:$AR$41,4,FALSE)</f>
        <v>1</v>
      </c>
      <c r="V39" s="4">
        <f ca="1">VLOOKUP($R39,$AI$38:$AR$41,5,FALSE)</f>
        <v>1</v>
      </c>
      <c r="W39" s="4">
        <f ca="1">VLOOKUP($R39,$AI$38:$AR$41,6,FALSE)</f>
        <v>1</v>
      </c>
      <c r="X39" s="4">
        <f ca="1">VLOOKUP($R39,$AI$38:$AR$41,7,FALSE)</f>
        <v>9</v>
      </c>
      <c r="Y39" s="4">
        <f ca="1">VLOOKUP($R39,$AI$38:$AR$41,8,FALSE)</f>
        <v>3</v>
      </c>
      <c r="Z39" s="279">
        <f ca="1">VLOOKUP($R39,$AI$38:$AR$41,9,FALSE)</f>
        <v>6</v>
      </c>
      <c r="AA39" s="357">
        <f ca="1">IF(SUM($AK$38:$AK$41)=12,MIN(ABS(BY38-BY39),ABS(BY39-BY40)),100)</f>
        <v>28000000.019999504</v>
      </c>
      <c r="AB39" s="94" t="str">
        <f ca="1">IF(AND(AA39&gt;=0,AA39&lt;90),VLOOKUP(Q39,$BU$38:$BV$41,2,0),"")</f>
        <v/>
      </c>
      <c r="AC39" s="73"/>
      <c r="AD39" s="74"/>
      <c r="AE39" s="328"/>
      <c r="AF39" s="910">
        <f ca="1">VLOOKUP($R39,$AI$38:$AR$41,10,FALSE)</f>
        <v>4483210499.8299999</v>
      </c>
      <c r="AG39" s="909">
        <f ca="1">RANK(AU39,$AU$38:$AU$41)</f>
        <v>4</v>
      </c>
      <c r="AH39" s="909">
        <f ca="1">RANK(AR39,$AR$38:$AR$41)</f>
        <v>4</v>
      </c>
      <c r="AI39" s="911" t="str">
        <f ca="1">A38</f>
        <v>Costa Rica</v>
      </c>
      <c r="AJ39" s="909">
        <f ca="1">AL39*3+AM39*1+AN39*0</f>
        <v>3</v>
      </c>
      <c r="AK39" s="909">
        <f ca="1">COUNTIFS($I$4:$I$65,AI39,$K$4:$K$65,"&lt;&gt;",$L$4:$L$65,"&lt;&gt;")+COUNTIFS($N$4:$N$65,AI39,$L$4:$L$65,"&lt;&gt;",$K$4:$K$65,"&lt;&gt;")</f>
        <v>3</v>
      </c>
      <c r="AL39" s="909">
        <f t="array" aca="1" ref="AL39" ca="1">SUM(($I$4:$I$65=AI39)*($K$4:$K$65&lt;&gt;"")*($L$4:$L$65&lt;&gt;"")*($K$4:$K$65&gt;$L$4:$L$65),($N$4:$N$65=AI39)*($K$4:$K$65&lt;&gt;"")*($L$4:$L$65&lt;&gt;"")*($K$4:$K$65&lt;$L$4:$L$65))</f>
        <v>1</v>
      </c>
      <c r="AM39" s="909">
        <f t="array" aca="1" ref="AM39" ca="1">SUM(($I$4:$I$65=AI39)*($K$4:$K$65&lt;&gt;"")*($L$4:$L$65&lt;&gt;"")*($K$4:$K$65=$L$4:$L$65),($N$4:$N$65=AI39)*($K$4:$K$65&lt;&gt;"")*($L$4:$L$65&lt;&gt;"")*($K$4:$K$65=$L$4:$L$65))</f>
        <v>0</v>
      </c>
      <c r="AN39" s="909">
        <f t="array" aca="1" ref="AN39" ca="1">SUM(($I$4:$I$65=AI39)*($L$4:$L$65&lt;&gt;"")*($K$4:$K$65&lt;&gt;"")*($K$4:$K$65&lt;$L$4:$L$65),($K$4:$K$65&lt;&gt;"")*($N$4:$N$65=AI39)*($L$4:$L$65&lt;&gt;"")*($K$4:$K$65&gt;$L$4:$L$65))</f>
        <v>2</v>
      </c>
      <c r="AO39" s="909">
        <f t="array" aca="1" ref="AO39" ca="1">SUMIFS($K$4:$K$65,$I$4:$I$65,AI39,$K$4:$K$65,"&lt;&gt;",$L$4:$L$65,"&lt;&gt;")+SUMIFS($L$4:$L$65,$N$4:$N$65,AI39,$K$4:$K$65,"&lt;&gt;",$L$4:$L$65,"&lt;&gt;")</f>
        <v>3</v>
      </c>
      <c r="AP39" s="909">
        <f t="array" aca="1" ref="AP39" ca="1">SUMIFS($K$4:$K$65,$N$4:$N$65,AI39,$K$4:$K$65,"&lt;&gt;",$L$4:$L$65,"&lt;&gt;")+SUMIFS($L$4:$L$65,$I$4:$I$65,AI39,$K$4:$K$65,"&lt;&gt;",$L$4:$L$65,"&lt;&gt;")</f>
        <v>11</v>
      </c>
      <c r="AQ39" s="909">
        <f ca="1">AO39-AP39</f>
        <v>-8</v>
      </c>
      <c r="AR39" s="909">
        <f ca="1">IF(AK39=0,-($AW$11*VLOOKUP(AI39,Tabla3[[NombreEquipo]:[Rank]],3,FALSE)),AJ39*$AW$4+AQ39*$AW$5+AO39*$AW$6+BA39-($AW$11*VLOOKUP(AI39,Tabla3[[NombreEquipo]:[Rank]],3,FALSE)/100))</f>
        <v>3296210499.8200002</v>
      </c>
      <c r="AS39" s="909">
        <f ca="1">AH39</f>
        <v>4</v>
      </c>
      <c r="AT39" s="909"/>
      <c r="AU39" s="909">
        <f ca="1">IFERROR(AR39-VLOOKUP(AI39,$AB$38:$AC$41,2,0),AR39)</f>
        <v>3296210499.8200002</v>
      </c>
      <c r="AV39" s="909"/>
      <c r="AW39" s="912"/>
      <c r="AX39" s="909"/>
      <c r="AY39" s="916" t="str">
        <f ca="1">AI39</f>
        <v>Costa Rica</v>
      </c>
      <c r="AZ39" s="909">
        <f ca="1">COUNTIF(AJ38:AJ41,AJ39)</f>
        <v>1</v>
      </c>
      <c r="BA39" s="909">
        <f t="shared" ca="1" si="26"/>
        <v>210500</v>
      </c>
      <c r="BB39" s="917">
        <f ca="1">RANK(BC39,BC38:BC41,1)</f>
        <v>1</v>
      </c>
      <c r="BC39" s="917">
        <f ca="1">SUM(IF(AND(AJ39=AJ40,AQ39=AQ40,AO39=AO40),BF39,0),IF(AND(AJ39=AJ41,AQ39=AQ41,AO39=AO41),BG39,0),IF(AND(AJ39=AJ38,AQ39=AQ38,AO39=AO38),BD39,0))</f>
        <v>0</v>
      </c>
      <c r="BD39" s="917">
        <f t="array" aca="1" ref="BD39" ca="1">SUMIFS($K$36:$K$41,$I$36:$I$41,$AY39,$K$36:$K$41,"&lt;&gt;",$L$36:$L$41,"&lt;&gt;",$N$36:$N$41,BD37)+SUMIFS($L$36:$L$41,$I$36:$I$41,BD37,$K$36:$K$41,"&lt;&gt;",$L$36:$L$41,"&lt;&gt;",$N$36:$N$41,$AY39)</f>
        <v>0</v>
      </c>
      <c r="BE39" s="917">
        <v>0</v>
      </c>
      <c r="BF39" s="917">
        <f t="array" aca="1" ref="BF39" ca="1">SUMIFS($K$36:$K$41,$I$36:$I$41,$AY39,$K$36:$K$41,"&lt;&gt;",$L$36:$L$41,"&lt;&gt;",$N$36:$N$41,BF37)+SUMIFS($L$36:$L$41,$I$36:$I$41,BF37,$K$36:$K$41,"&lt;&gt;",$L$36:$L$41,"&lt;&gt;",$N$36:$N$41,$AY39)</f>
        <v>2</v>
      </c>
      <c r="BG39" s="917">
        <f t="array" aca="1" ref="BG39" ca="1">SUMIFS($K$36:$K$41,$I$36:$I$41,$AY39,$K$36:$K$41,"&lt;&gt;",$L$36:$L$41,"&lt;&gt;",$N$36:$N$41,BG37)+SUMIFS($L$36:$L$41,$I$36:$I$41,BG37,$K$36:$K$41,"&lt;&gt;",$L$36:$L$41,"&lt;&gt;",$N$36:$N$41,$AY39)</f>
        <v>1</v>
      </c>
      <c r="BH39" s="917">
        <f ca="1">RANK(BI39,BI38:BI41,1)</f>
        <v>1</v>
      </c>
      <c r="BI39" s="917">
        <f ca="1">SUM(IF(AND(AJ39=AJ40,AQ39=AQ40,AO39=AO40),BL39,0),IF(AND(AJ39=AJ41,AQ39=AQ41,AO39=AO41),BM39,0),IF(AND(AJ39=AJ38,AQ39=AQ38,AO39=AO38),BJ39,0))</f>
        <v>0</v>
      </c>
      <c r="BJ39" s="917">
        <f ca="1">BD39-BE38</f>
        <v>-7</v>
      </c>
      <c r="BK39" s="917">
        <v>0</v>
      </c>
      <c r="BL39" s="917">
        <f ca="1">BF39-BE40</f>
        <v>-2</v>
      </c>
      <c r="BM39" s="917">
        <f ca="1">BG39-BE41</f>
        <v>1</v>
      </c>
      <c r="BN39" s="917">
        <f ca="1">RANK(BO39,BO38:BO41,1)</f>
        <v>1</v>
      </c>
      <c r="BO39" s="917">
        <f ca="1">SUM(IF(AND(AJ39=AJ40,AQ39=AQ40,AO39=AO40),BR39,0),IF(AND(AJ39=AJ41,AQ39=AQ41,AO39=AO41),BS39,0),IF(AND(AJ39=AJ38,AQ39=AQ38,AO39=AO38),BP39,0))</f>
        <v>0</v>
      </c>
      <c r="BP39" s="917">
        <f t="array" aca="1" ref="BP39" ca="1">SUM((I$4:I$49=AY39)*(N$4:N$49=BP37)*(K$4:K$49&lt;&gt;"")*(L$4:L$49&lt;&gt;"")*(K$4:K$49&gt;L$4:L$49)*3,(N$4:N$49=AY39)*(I$4:I$49=BP37)*(K$4:K$49&lt;&gt;"")*(L$4:L$49&lt;&gt;"")*(K$4:K$49=L$4:L$49)*1,(N$4:N$49=AY39)*(I$4:I$49=BP37)*(K$4:K$49&lt;&gt;"")*(L$4:L$49&lt;&gt;"")*(K$4:K$49&lt;L$4:L$49)*3,(I$4:I$49=AY39)*(N$4:N$49=BP37)*(K$4:K$49&lt;&gt;"")*(L$4:L$49&lt;&gt;"")*(K$4:K$49=L$4:L$49)*1)</f>
        <v>0</v>
      </c>
      <c r="BQ39" s="917">
        <v>0</v>
      </c>
      <c r="BR39" s="917">
        <f t="array" aca="1" ref="BR39" ca="1">SUM((I$4:I$49=AY39)*(N$4:N$49=BR37)*(K$4:K$49&lt;&gt;"")*(L$4:L$49&lt;&gt;"")*(K$4:K$49&gt;L$4:L$49)*3,(N$4:N$49=AY39)*(I$4:I$49=BR37)*(K$4:K$49&lt;&gt;"")*(L$4:L$49&lt;&gt;"")*(K$4:K$49=L$4:L$49)*1,(N$4:N$49=AY39)*(I$4:I$49=BR37)*(K$4:K$49&lt;&gt;"")*(L$4:L$49&lt;&gt;"")*(K$4:K$49&lt;L$4:L$49)*3,(I$4:I$49=AY39)*(N$4:N$49=BR37)*(K$4:K$49&lt;&gt;"")*(L$4:L$49&lt;&gt;"")*(K$4:K$49=L$4:L$49)*1)</f>
        <v>0</v>
      </c>
      <c r="BS39" s="917">
        <f t="array" aca="1" ref="BS39" ca="1">SUM((I$4:I$49=AY39)*(N$4:N$49=BS37)*(K$4:K$49&lt;&gt;"")*(L$4:L$49&lt;&gt;"")*(K$4:K$49&gt;L$4:L$49)*3,(N$4:N$49=AY39)*(I$4:I$49=BS37)*(K$4:K$49&lt;&gt;"")*(L$4:L$49&lt;&gt;"")*(K$4:K$49=L$4:L$49)*1,(N$4:N$49=AY39)*(I$4:I$49=BS37)*(K$4:K$49&lt;&gt;"")*(L$4:L$49&lt;&gt;"")*(K$4:K$49&lt;L$4:L$49)*3,(I$4:I$49=AY39)*(N$4:N$49=BS37)*(K$4:K$49&lt;&gt;"")*(L$4:L$49&lt;&gt;"")*(K$4:K$49=L$4:L$49)*1)</f>
        <v>3</v>
      </c>
      <c r="BT39" s="911">
        <v>2</v>
      </c>
      <c r="BU39" s="911">
        <f ca="1">RANK(BW39,$BW$38:$BW$41)</f>
        <v>4</v>
      </c>
      <c r="BV39" s="911" t="str">
        <f ca="1">A38</f>
        <v>Costa Rica</v>
      </c>
      <c r="BW39" s="911">
        <f t="shared" ca="1" si="9"/>
        <v>3296210499.8200002</v>
      </c>
      <c r="BX39" s="911" t="str">
        <f ca="1">VLOOKUP(Q39,$AH$38:$AI$41,2,0)</f>
        <v>España</v>
      </c>
      <c r="BY39" s="911">
        <f ca="1">VLOOKUP($BX39,$AI$38:$AR$41,10,FALSE)</f>
        <v>4483210499.8299999</v>
      </c>
      <c r="CA39" s="911">
        <v>2</v>
      </c>
      <c r="CB39" s="911" t="str">
        <f ca="1">VLOOKUP(CA39,$AH$38:$AI$41,2,0)</f>
        <v>España</v>
      </c>
      <c r="CC39" s="911">
        <f ca="1">VLOOKUP(CB39,$AI$38:$AR$41,2,FALSE)</f>
        <v>4</v>
      </c>
      <c r="CD39" s="918">
        <f ca="1">IF(SUM($AK$38:$AK$41)=12,MIN(ABS(BY38-BY39),ABS(BY39-BY40)),100)</f>
        <v>28000000.019999504</v>
      </c>
      <c r="CE39" s="911">
        <f ca="1">VLOOKUP($CB39,$AI$38:$AR$41,9,FALSE)</f>
        <v>6</v>
      </c>
      <c r="CF39" s="911">
        <f ca="1">VLOOKUP($CB39,$AI$38:$AR$41,7,FALSE)</f>
        <v>9</v>
      </c>
      <c r="CH39" s="911">
        <f t="array" aca="1" ref="CH39" ca="1">IF($CI$38=$CL$37,$EC$37:$EC$40,IF($CI$38=$CM$37,$ED$37:$ED$39,IF(OR($CI$38=$CN$37,$CI$38=$CO$37),$EE$37:$EE$38,IF($CI$38=$CP$37,$EF$37:$EF$39,(IF($CI$38=$CQ$37,$EH$37:$EH$38,$EJ$37))))))</f>
        <v>2</v>
      </c>
      <c r="CK39" s="909">
        <v>2</v>
      </c>
      <c r="CL39" s="909">
        <f t="array" aca="1" ref="CL39" ca="1">IF(AND($CC$38:$CC$41=$CC$39,$CD$38:$CD$41&lt;90,$AQ$38:$AQ$41=$AQ$39,$CF$38:$CF$41=$CF$39),1,0)</f>
        <v>0</v>
      </c>
      <c r="CM39" s="909">
        <f t="array" aca="1" ref="CM39" ca="1">IF(AND($CC$38:$CC$40=$CC$39,$CD$38:$CD$40&lt;90,$CC$39&lt;&gt;$CC$41),1,0)</f>
        <v>0</v>
      </c>
      <c r="CN39" s="909">
        <f t="array" aca="1" ref="CN39" ca="1">IF(AND($CC$38:$CC$39=$CC$38,$CD$38:$CD$39&lt;90,$CC$38&lt;&gt;$CC$40),1,0)</f>
        <v>0</v>
      </c>
      <c r="CO39" s="909">
        <f t="array" aca="1" ref="CO39" ca="1">IF(AND($CC$38:$CC$39=$CC$38,$CD$38:$CD$39&lt;90,$CC$38&lt;&gt;$CC$40),1,0)</f>
        <v>0</v>
      </c>
      <c r="CP39" s="909">
        <f t="array" aca="1" ref="CP39" ca="1">IF(AND($CC$39:$CC$41=$CC$39,$CD$39:$CD$41&lt;90,$CC$38&lt;&gt;$CC$39),1,0)</f>
        <v>0</v>
      </c>
      <c r="CQ39" s="909">
        <f t="array" aca="1" ref="CQ39" ca="1">IF(AND($CC$39:$CC$40=$CC$39,$CD$39:$CD$40&lt;90,$CC$39&lt;&gt;$CC$38,$CC$39&lt;&gt;$CC$41),1,0)</f>
        <v>0</v>
      </c>
      <c r="CR39" s="909">
        <f t="array" aca="1" ref="CR39" ca="1">IF(AND($CC$39&lt;&gt;$CC$38,$CC$39&lt;&gt;$CC$40),1,0)</f>
        <v>0</v>
      </c>
      <c r="CS39" s="909">
        <f t="array" aca="1" ref="CS39" ca="1">IF(AND($CC$39&lt;&gt;$CC$38,$CC$39&lt;&gt;$CC$40),1,0)</f>
        <v>0</v>
      </c>
      <c r="CT39" s="909">
        <f t="array" aca="1" ref="CT39" ca="1">IF(AND($CC$38:$CC$41=$CC$38,$CD$38:$CD$41&lt;90,$CE$38:$CE$39=$CE$38,$CE$39&lt;&gt;$CE$40),1,0)</f>
        <v>0</v>
      </c>
      <c r="CU39" s="909">
        <f t="array" aca="1" ref="CU39" ca="1">IF(AND($CC$38:$CC$41=$CC$38,$CD$38:$CD$41&lt;90,$CE$38:$CE$41=$CE$38,$CF$38=$CF$39,$CF$39&lt;&gt;$CF$40),1,0)</f>
        <v>0</v>
      </c>
      <c r="CV39" s="909">
        <f t="array" aca="1" ref="CV39" ca="1">IF(AND($CC$38:$CC$40=$CC$39,$CD$38:$CD$39&lt;90,$CD$40&gt;90),1,0)</f>
        <v>0</v>
      </c>
      <c r="CW39" s="909">
        <f t="array" aca="1" ref="CW39" ca="1">IF(AND($CC$39&lt;&gt;$CC$38,$CC$39:$CC$41=$CC$39,$CD$39&gt;90,$CD$40:$CD$41&lt;90),1,0)</f>
        <v>0</v>
      </c>
      <c r="CX39" s="909">
        <f t="array" aca="1" ref="CX39" ca="1">IF(AND($CC$39&lt;&gt;$CC$38,$CC$39:$CC$41=$CC$39,$CD$41&gt;90,$CD$39:$CD$40&lt;90),1,0)</f>
        <v>0</v>
      </c>
      <c r="CY39" s="909">
        <f t="array" aca="1" ref="CY39" ca="1">IF(AND($CC$39&lt;&gt;$CC$41,$CC$38:$CC$40=$CC$39,$CD$38&gt;90,$CD$39:$CD$40&lt;90),1,0)</f>
        <v>0</v>
      </c>
      <c r="CZ39" s="909">
        <f t="array" aca="1" ref="CZ39" ca="1">IF(AND($CC$38:$CC$41=$CC$39,$CD$39:$CD$41&lt;90,$CD$38&lt;&gt;$CD$39),1,0)</f>
        <v>0</v>
      </c>
      <c r="DA39" s="909">
        <f t="array" aca="1" ref="DA39" ca="1">IF(AND($CC$38:$CC$41=$CC$39,$CD$38:$CD$40&lt;90,$CD$39&lt;&gt;$CD$41),1,0)</f>
        <v>0</v>
      </c>
      <c r="DB39" s="909">
        <f t="array" aca="1" ref="DB39" ca="1">IF(AND($CC$38:$CC$41=$CC$39,$CD$38:$CD$39&gt;90,$CD$40:$CD$41&lt;90,$CE$38:$CE$41=$CE$39,$CF$38&gt;$CF$39,$CF$39&gt;$CF$40,$CF$39&gt;$CF$41),1,0)</f>
        <v>0</v>
      </c>
      <c r="DC39" s="909">
        <f t="array" aca="1" ref="DC39" ca="1">IF(AND($CC$38:$CC$41=$CC$39,$CD$38&gt;90,$CD$39:$CD$40&lt;90,$CD$41&gt;90,$CE$38:$CE$41=$CE$39,$CF$38&gt;$CF$39,$CF$39=$CF$40,$CF$39&gt;$CF$41),1,0)</f>
        <v>0</v>
      </c>
      <c r="DD39" s="909">
        <f t="array" aca="1" ref="DD39" ca="1">IF(AND($CC$38:$CC$41=$CC$39,$CD$38:$CD$39&lt;90,$CD$40:$CD$41&gt;90,$CE$38:$CE$41=$CE$39,$CF$38=$CF$39,$CF$39&gt;$CF$40,$CF$39&gt;$CF$41),1,0)</f>
        <v>0</v>
      </c>
      <c r="DE39" s="909">
        <f t="array" aca="1" ref="DE39" ca="1">IF(AND($CC$38:$CC$41=$CC$39,$CD$38:$CD$39&gt;90,$CD$40:$CD$41&lt;90,$CE$38:$CE$41=$CE$39,$CF$38&gt;$CF$39,$CF$39:$CF$41=$CF$39),1,0)</f>
        <v>0</v>
      </c>
      <c r="DF39" s="909">
        <f t="array" aca="1" ref="DF39" ca="1">IF(AND($CC$38:$CC$41=$CC$39,$CD$38:$CD$39&lt;90,$CD$40:$CD$41&gt;90,$CE$38:$CE$41=$CE$39,$CF$38:$CF$40=$CF$39,$CF$39&gt;$CF$41),1,0)</f>
        <v>0</v>
      </c>
      <c r="DG39" s="909">
        <f t="array" aca="1" ref="DG39" ca="1">IF(AND($CC$38:$CC$41=$CC$39,$CD$38&gt;90,$CD$41&gt;90,$CD$39:$CD$40&lt;90,$CE$38:$CE$41=$CE$39,$CF$38&gt;$CF$39:$CF$41,$CF$39:$CF$41=$CF$39),1,0)</f>
        <v>0</v>
      </c>
      <c r="EC39" s="911">
        <v>3</v>
      </c>
      <c r="ED39" s="911">
        <v>3</v>
      </c>
      <c r="EE39" s="911"/>
      <c r="EF39" s="911">
        <v>4</v>
      </c>
      <c r="EG39" s="911"/>
      <c r="EH39" s="911"/>
      <c r="EI39" s="911"/>
      <c r="EJ39" s="911"/>
      <c r="EK39" s="911"/>
      <c r="EL39" s="911"/>
      <c r="FI39" s="917"/>
      <c r="FK39" s="917"/>
      <c r="FM39" s="917"/>
    </row>
    <row r="40" spans="1:169">
      <c r="A40" s="871" t="str">
        <f t="array" aca="1" ref="A40" ca="1">IF(ROWS(A$37:A40)&lt;=$C$36,INDEX(INDIRECT(A$36),SMALL(IF(Nivell=$B$36,ROW(Nivell)-ROW(Equipos!$C$2)+1),ROWS(B$36:B39))),"")</f>
        <v>Japón</v>
      </c>
      <c r="B40" s="872"/>
      <c r="C40" s="857"/>
      <c r="D40" s="152"/>
      <c r="E40" s="974"/>
      <c r="F40" s="212">
        <f>Horarios!C40</f>
        <v>44896.916666666664</v>
      </c>
      <c r="G40" s="213">
        <f>Horarios!C40</f>
        <v>44896.916666666664</v>
      </c>
      <c r="H40" s="212" t="s">
        <v>71</v>
      </c>
      <c r="I40" s="214" t="str">
        <f ca="1">A40</f>
        <v>Japón</v>
      </c>
      <c r="J40" s="215" t="str">
        <f ca="1">VLOOKUP(I40,Equipos!$H$2:$I$33,2,0)</f>
        <v>🇯🇵</v>
      </c>
      <c r="K40" s="216">
        <v>2</v>
      </c>
      <c r="L40" s="216">
        <v>1</v>
      </c>
      <c r="M40" s="341" t="str">
        <f ca="1">VLOOKUP(N40,Equipos!$H$2:$I$33,2,0)</f>
        <v>🇪🇸</v>
      </c>
      <c r="N40" s="223" t="str">
        <f ca="1">A37</f>
        <v>España</v>
      </c>
      <c r="O40" s="347">
        <f t="shared" si="25"/>
        <v>1</v>
      </c>
      <c r="P40" s="82"/>
      <c r="Q40" s="278">
        <v>3</v>
      </c>
      <c r="R40" s="5" t="str">
        <f ca="1">VLOOKUP(Q40,$AG$38:$AI$41,3,0)</f>
        <v>Alemania</v>
      </c>
      <c r="S40" s="4">
        <f ca="1">VLOOKUP(R40,$AI$38:$AR$41,2,FALSE)</f>
        <v>4</v>
      </c>
      <c r="T40" s="4">
        <f ca="1">VLOOKUP($R40,$AI$38:$AR$41,3,FALSE)</f>
        <v>3</v>
      </c>
      <c r="U40" s="4">
        <f ca="1">VLOOKUP($R40,$AI$38:$AR$41,4,FALSE)</f>
        <v>1</v>
      </c>
      <c r="V40" s="4">
        <f ca="1">VLOOKUP($R40,$AI$38:$AR$41,5,FALSE)</f>
        <v>1</v>
      </c>
      <c r="W40" s="4">
        <f ca="1">VLOOKUP($R40,$AI$38:$AR$41,6,FALSE)</f>
        <v>1</v>
      </c>
      <c r="X40" s="4">
        <f ca="1">VLOOKUP($R40,$AI$38:$AR$41,7,FALSE)</f>
        <v>6</v>
      </c>
      <c r="Y40" s="4">
        <f ca="1">VLOOKUP($R40,$AI$38:$AR$41,8,FALSE)</f>
        <v>5</v>
      </c>
      <c r="Z40" s="279">
        <f ca="1">VLOOKUP($R40,$AI$38:$AR$41,9,FALSE)</f>
        <v>1</v>
      </c>
      <c r="AA40" s="357">
        <f ca="1">IF(SUM($AK$38:$AK$41)=12,MIN(ABS(BY39-BY40),ABS(BY40-BY41)),100)</f>
        <v>28000000.019999504</v>
      </c>
      <c r="AB40" s="94" t="str">
        <f ca="1">IF(AND(AA40&gt;=0,AA40&lt;90),VLOOKUP(Q40,$BU$38:$BV$41,2,0),"")</f>
        <v/>
      </c>
      <c r="AC40" s="73"/>
      <c r="AD40" s="74"/>
      <c r="AE40" s="328"/>
      <c r="AF40" s="910">
        <f ca="1">VLOOKUP($R40,$AI$38:$AR$41,10,FALSE)</f>
        <v>4455210499.8100004</v>
      </c>
      <c r="AG40" s="909">
        <f ca="1">RANK(AU40,$AU$38:$AU$41)</f>
        <v>3</v>
      </c>
      <c r="AH40" s="909">
        <f ca="1">RANK(AR40,$AR$38:$AR$41)</f>
        <v>3</v>
      </c>
      <c r="AI40" s="911" t="str">
        <f ca="1">A39</f>
        <v>Alemania</v>
      </c>
      <c r="AJ40" s="909">
        <f ca="1">AL40*3+AM40*1+AN40*0</f>
        <v>4</v>
      </c>
      <c r="AK40" s="909">
        <f ca="1">COUNTIFS($I$4:$I$65,AI40,$K$4:$K$65,"&lt;&gt;",$L$4:$L$65,"&lt;&gt;")+COUNTIFS($N$4:$N$65,AI40,$L$4:$L$65,"&lt;&gt;",$K$4:$K$65,"&lt;&gt;")</f>
        <v>3</v>
      </c>
      <c r="AL40" s="909">
        <f t="array" aca="1" ref="AL40" ca="1">SUM(($I$4:$I$65=AI40)*($K$4:$K$65&lt;&gt;"")*($L$4:$L$65&lt;&gt;"")*($K$4:$K$65&gt;$L$4:$L$65),($N$4:$N$65=AI40)*($K$4:$K$65&lt;&gt;"")*($L$4:$L$65&lt;&gt;"")*($K$4:$K$65&lt;$L$4:$L$65))</f>
        <v>1</v>
      </c>
      <c r="AM40" s="909">
        <f t="array" aca="1" ref="AM40" ca="1">SUM(($I$4:$I$65=AI40)*($K$4:$K$65&lt;&gt;"")*($L$4:$L$65&lt;&gt;"")*($K$4:$K$65=$L$4:$L$65),($N$4:$N$65=AI40)*($K$4:$K$65&lt;&gt;"")*($L$4:$L$65&lt;&gt;"")*($K$4:$K$65=$L$4:$L$65))</f>
        <v>1</v>
      </c>
      <c r="AN40" s="909">
        <f t="array" aca="1" ref="AN40" ca="1">SUM(($I$4:$I$65=AI40)*($L$4:$L$65&lt;&gt;"")*($K$4:$K$65&lt;&gt;"")*($K$4:$K$65&lt;$L$4:$L$65),($K$4:$K$65&lt;&gt;"")*($N$4:$N$65=AI40)*($L$4:$L$65&lt;&gt;"")*($K$4:$K$65&gt;$L$4:$L$65))</f>
        <v>1</v>
      </c>
      <c r="AO40" s="909">
        <f t="array" aca="1" ref="AO40" ca="1">SUMIFS($K$4:$K$65,$I$4:$I$65,AI40,$K$4:$K$65,"&lt;&gt;",$L$4:$L$65,"&lt;&gt;")+SUMIFS($L$4:$L$65,$N$4:$N$65,AI40,$K$4:$K$65,"&lt;&gt;",$L$4:$L$65,"&lt;&gt;")</f>
        <v>6</v>
      </c>
      <c r="AP40" s="909">
        <f t="array" aca="1" ref="AP40" ca="1">SUMIFS($K$4:$K$65,$N$4:$N$65,AI40,$K$4:$K$65,"&lt;&gt;",$L$4:$L$65,"&lt;&gt;")+SUMIFS($L$4:$L$65,$I$4:$I$65,AI40,$K$4:$K$65,"&lt;&gt;",$L$4:$L$65,"&lt;&gt;")</f>
        <v>5</v>
      </c>
      <c r="AQ40" s="909">
        <f ca="1">AO40-AP40</f>
        <v>1</v>
      </c>
      <c r="AR40" s="909">
        <f ca="1">IF(AK40=0,-($AW$11*VLOOKUP(AI40,Tabla3[[NombreEquipo]:[Rank]],3,FALSE)),AJ40*$AW$4+AQ40*$AW$5+AO40*$AW$6+BA40-($AW$11*VLOOKUP(AI40,Tabla3[[NombreEquipo]:[Rank]],3,FALSE)/100))</f>
        <v>4455210499.8100004</v>
      </c>
      <c r="AS40" s="909">
        <f ca="1">AH40</f>
        <v>3</v>
      </c>
      <c r="AT40" s="909"/>
      <c r="AU40" s="909">
        <f ca="1">IFERROR(AR40-VLOOKUP(AI40,$AB$38:$AC$41,2,0),AR40)</f>
        <v>4455210499.8100004</v>
      </c>
      <c r="AV40" s="909"/>
      <c r="AW40" s="912"/>
      <c r="AX40" s="909"/>
      <c r="AY40" s="916" t="str">
        <f ca="1">AI40</f>
        <v>Alemania</v>
      </c>
      <c r="AZ40" s="909">
        <f ca="1">COUNTIF(AJ38:AJ41,AJ40)</f>
        <v>2</v>
      </c>
      <c r="BA40" s="909">
        <f t="shared" ca="1" si="8"/>
        <v>210500</v>
      </c>
      <c r="BB40" s="917">
        <f ca="1">RANK(BC40,BC38:BC41,1)</f>
        <v>1</v>
      </c>
      <c r="BC40" s="917">
        <f ca="1">SUM(IF(AND(AJ40=AJ41,AQ40=AQ41,AO40=AO41),BG40,0),IF(AND(AJ40=AJ38,AQ40=AQ38,AO40=AO38),BD40,0),IF(AND(AJ40=AJ39,AQ40=AQ39,AO40=AO39),BE40,0))</f>
        <v>0</v>
      </c>
      <c r="BD40" s="917">
        <f t="array" aca="1" ref="BD40" ca="1">SUMIFS($K$36:$K$41,$I$36:$I$41,$AY40,$K$36:$K$41,"&lt;&gt;",$L$36:$L$41,"&lt;&gt;",$N$36:$N$41,BD37)+SUMIFS($L$36:$L$41,$I$36:$I$41,BD37,$K$36:$K$41,"&lt;&gt;",$L$36:$L$41,"&lt;&gt;",$N$36:$N$41,$AY40)</f>
        <v>1</v>
      </c>
      <c r="BE40" s="917">
        <f t="array" aca="1" ref="BE40" ca="1">SUMIFS($K$36:$K$41,$I$36:$I$41,$AY40,$K$36:$K$41,"&lt;&gt;",$L$36:$L$41,"&lt;&gt;",$N$36:$N$41,BE37)+SUMIFS($L$36:$L$41,$I$36:$I$41,BE37,$K$36:$K$41,"&lt;&gt;",$L$36:$L$41,"&lt;&gt;",$N$36:$N$41,$AY40)</f>
        <v>4</v>
      </c>
      <c r="BF40" s="917">
        <v>0</v>
      </c>
      <c r="BG40" s="917">
        <f t="array" aca="1" ref="BG40" ca="1">SUMIFS($K$36:$K$41,$I$36:$I$41,$AY40,$K$36:$K$41,"&lt;&gt;",$L$36:$L$41,"&lt;&gt;",$N$36:$N$41,BG37)+SUMIFS($L$36:$L$41,$I$36:$I$41,BG37,$K$36:$K$41,"&lt;&gt;",$L$36:$L$41,"&lt;&gt;",$N$36:$N$41,$AY40)</f>
        <v>1</v>
      </c>
      <c r="BH40" s="917">
        <f ca="1">RANK(BI40,BI38:BI41,1)</f>
        <v>1</v>
      </c>
      <c r="BI40" s="917">
        <f ca="1">SUM(IF(AND(AJ40=AJ41,AQ40=AQ41,AO40=AO41),BM40,0),IF(AND(AJ40=AJ38,AQ40=AQ38,AO40=AO38),BJ40,0),IF(AND(AJ40=AJ39,AQ40=AQ39,AO40=AO39),BK40,0))</f>
        <v>0</v>
      </c>
      <c r="BJ40" s="917">
        <f ca="1">BD40-BF38</f>
        <v>0</v>
      </c>
      <c r="BK40" s="917">
        <f ca="1">BE40-BF39</f>
        <v>2</v>
      </c>
      <c r="BL40" s="917">
        <v>0</v>
      </c>
      <c r="BM40" s="917">
        <f ca="1">BG40-BF41</f>
        <v>-1</v>
      </c>
      <c r="BN40" s="917">
        <f ca="1">RANK(BO40,BO38:BO41,1)</f>
        <v>1</v>
      </c>
      <c r="BO40" s="917">
        <f ca="1">SUM(IF(AND(AJ40=AJ41,AQ40=AQ41,AO40=AO41),BS40,0),IF(AND(AJ40=AJ38,AQ40=AQ38,AO40=AO38),BP40,0),IF(AND(AJ40=AJ39,AQ40=AQ39,AO40=AO39),BQ40,0))</f>
        <v>0</v>
      </c>
      <c r="BP40" s="917">
        <f t="array" aca="1" ref="BP40" ca="1">SUM((I$4:I$49=AY40)*(N$4:N$49=BP37)*(K$4:K$49&lt;&gt;"")*(L$4:L$49&lt;&gt;"")*(K$4:K$49&gt;L$4:L$49)*3,(N$4:N$49=AY40)*(I$4:I$49=BP37)*(K$4:K$49&lt;&gt;"")*(L$4:L$49&lt;&gt;"")*(K$4:K$49=L$4:L$49)*1,(N$4:N$49=AY40)*(I$4:I$49=BP37)*(K$4:K$49&lt;&gt;"")*(L$4:L$49&lt;&gt;"")*(K$4:K$49&lt;L$4:L$49)*3,(I$4:I$49=AY40)*(N$4:N$49=BP37)*(K$4:K$49&lt;&gt;"")*(L$4:L$49&lt;&gt;"")*(K$4:K$49=L$4:L$49)*1)</f>
        <v>1</v>
      </c>
      <c r="BQ40" s="917">
        <f t="array" aca="1" ref="BQ40" ca="1">SUM((I$4:I$49=AY40)*(N$4:N$49=BQ37)*(K$4:K$49&lt;&gt;"")*(L$4:L$49&lt;&gt;"")*(K$4:K$49&gt;L$4:L$49)*3,(N$4:N$49=AY40)*(I$4:I$49=BQ37)*(K$4:K$49&lt;&gt;"")*(L$4:L$49&lt;&gt;"")*(K$4:K$49=L$4:L$49)*1,(N$4:N$49=AY40)*(I$4:I$49=BQ37)*(K$4:K$49&lt;&gt;"")*(L$4:L$49&lt;&gt;"")*(K$4:K$49&lt;L$4:L$49)*3,(I$4:I$49=AY40)*(N$4:N$49=BQ37)*(K$4:K$49&lt;&gt;"")*(L$4:L$49&lt;&gt;"")*(K$4:K$49=L$4:L$49)*1)</f>
        <v>3</v>
      </c>
      <c r="BR40" s="917">
        <v>0</v>
      </c>
      <c r="BS40" s="917">
        <f t="array" aca="1" ref="BS40" ca="1">SUM((I$4:I$49=AY40)*(N$4:N$49=BS37)*(K$4:K$49&lt;&gt;"")*(L$4:L$49&lt;&gt;"")*(K$4:K$49&gt;L$4:L$49)*3,(N$4:N$49=AY40)*(I$4:I$49=BS37)*(K$4:K$49&lt;&gt;"")*(L$4:L$49&lt;&gt;"")*(K$4:K$49=L$4:L$49)*1,(N$4:N$49=AY40)*(I$4:I$49=BS37)*(K$4:K$49&lt;&gt;"")*(L$4:L$49&lt;&gt;"")*(K$4:K$49&lt;L$4:L$49)*3,(I$4:I$49=AY40)*(N$4:N$49=BS37)*(K$4:K$49&lt;&gt;"")*(L$4:L$49&lt;&gt;"")*(K$4:K$49=L$4:L$49)*1)</f>
        <v>0</v>
      </c>
      <c r="BT40" s="911">
        <v>3</v>
      </c>
      <c r="BU40" s="911">
        <f ca="1">RANK(BW40,$BW$38:$BW$41)</f>
        <v>3</v>
      </c>
      <c r="BV40" s="911" t="str">
        <f ca="1">A39</f>
        <v>Alemania</v>
      </c>
      <c r="BW40" s="911">
        <f t="shared" ca="1" si="9"/>
        <v>4455210499.8100004</v>
      </c>
      <c r="BX40" s="911" t="str">
        <f ca="1">VLOOKUP(Q40,$AH$38:$AI$41,2,0)</f>
        <v>Alemania</v>
      </c>
      <c r="BY40" s="911">
        <f ca="1">VLOOKUP($BX40,$AI$38:$AR$41,10,FALSE)</f>
        <v>4455210499.8100004</v>
      </c>
      <c r="CA40" s="911">
        <v>3</v>
      </c>
      <c r="CB40" s="911" t="str">
        <f ca="1">VLOOKUP(CA40,$AH$38:$AI$41,2,0)</f>
        <v>Alemania</v>
      </c>
      <c r="CC40" s="911">
        <f ca="1">VLOOKUP(CB40,$AI$38:$AR$41,2,FALSE)</f>
        <v>4</v>
      </c>
      <c r="CD40" s="918">
        <f ca="1">IF(SUM($AK$38:$AK$41)=12,MIN(ABS(BY39-BY40),ABS(BY40-BY41)),100)</f>
        <v>28000000.019999504</v>
      </c>
      <c r="CE40" s="911">
        <f ca="1">VLOOKUP($CB40,$AI$38:$AR$41,9,FALSE)</f>
        <v>1</v>
      </c>
      <c r="CF40" s="911">
        <f ca="1">VLOOKUP($CB40,$AI$38:$AR$41,7,FALSE)</f>
        <v>6</v>
      </c>
      <c r="CH40" s="911">
        <f t="array" aca="1" ref="CH40" ca="1">IF($CI$38=$CL$37,$EC$37:$EC$40,IF($CI$38=$CM$37,$ED$37:$ED$39,IF(OR($CI$38=$CN$37,$CI$38=$CR$37),$EG$37:$EG$38,IF($CI$38=$CP$37,$EF$37:$EF$39,(IF($CI$38=$CQ$37,$EH$37:$EH$38,$EK$37))))))</f>
        <v>3</v>
      </c>
      <c r="CK40" s="909">
        <v>3</v>
      </c>
      <c r="CL40" s="909">
        <f t="array" aca="1" ref="CL40" ca="1">IF(AND($CC$38:$CC$41=$CC$40,$CD$38:$CD$41&lt;90,$AQ$38:$AQ$41=$AQ$40,$CF$38:$CF$41=$CF$40),1,0)</f>
        <v>0</v>
      </c>
      <c r="CM40" s="909">
        <f t="array" aca="1" ref="CM40" ca="1">IF(AND($CC$38:$CC$40=$CC$40,$CD$38:$CD$40&lt;90,$CC$40&lt;&gt;$CC$41),1,0)</f>
        <v>0</v>
      </c>
      <c r="CN40" s="909">
        <f t="array" aca="1" ref="CN40" ca="1">IF(AND($CC$40:$CC$41=$CC$40,$CD$40:$CD$41&lt;90,$CC$40&lt;&gt;$CC$39),1,0)</f>
        <v>0</v>
      </c>
      <c r="CO40" s="909">
        <f t="array" aca="1" ref="CO40" ca="1">IF(OR(AND($CC$40&lt;&gt;$CC$39,$CC$40&lt;&gt;$CC$41),AND($CC$40&lt;&gt;$CC$39,$CC$40=$CC$41,$CD$40&gt;90,$CD$41&gt;90)),1,0)</f>
        <v>0</v>
      </c>
      <c r="CP40" s="909">
        <f t="array" aca="1" ref="CP40" ca="1">IF(AND($CC$39:$CC$41=$CC$39,$CD$39:$CD$41&lt;90,$CC$38&lt;&gt;$CC$40),1,0)</f>
        <v>0</v>
      </c>
      <c r="CQ40" s="909">
        <f t="array" aca="1" ref="CQ40" ca="1">IF(AND($CC$39:$CC$40=$CC$40,$CD$39:$CD$40&lt;90,$CC$40&lt;&gt;$CC$38,$CC$40&lt;&gt;$CC$41),1,0)</f>
        <v>0</v>
      </c>
      <c r="CR40" s="909">
        <f t="array" aca="1" ref="CR40" ca="1">IF(AND($CC$40:$CC$41=$CC$40,$CD$40:$CD$41&lt;90,$CC$40&lt;&gt;$CC$39),1,0)</f>
        <v>0</v>
      </c>
      <c r="CS40" s="909">
        <f t="array" aca="1" ref="CS40" ca="1">IF(AND($CC$40&lt;&gt;$CC$39,$CC$40&lt;&gt;$CC$41),1,0)</f>
        <v>0</v>
      </c>
      <c r="CT40" s="909">
        <f t="array" aca="1" ref="CT40" ca="1">IF(AND($CC$38:$CC$41=$CC$38,$CD$38:$CD$41&lt;90,$CE$40:$CE$41=$CE$40,$CE$39&lt;&gt;$CE$40),1,0)</f>
        <v>0</v>
      </c>
      <c r="CU40" s="909">
        <f t="array" aca="1" ref="CU40" ca="1">IF(AND($CC$38:$CC$41=$CC$38,$CD$38:$CD$41&lt;90,$CE$38:$CE$41=$CE$38,$CF$40=$CF$41,$CF$39&lt;&gt;$CF$40),1,0)</f>
        <v>0</v>
      </c>
      <c r="CV40" s="909">
        <f t="array" aca="1" ref="CV40" ca="1">IF(AND($CC$38:$CC$40=$CC$40,$CD$38:$CD$39&lt;90,$CD$40&gt;90),1,0)</f>
        <v>0</v>
      </c>
      <c r="CW40" s="909">
        <f t="array" aca="1" ref="CW40" ca="1">IF(AND($CC$39&lt;&gt;$CC$38,$CC$39:$CC$41=$CC$40,$CD$39&gt;90,$CD$40:$CD$41&lt;90),1,0)</f>
        <v>0</v>
      </c>
      <c r="CX40" s="909">
        <f t="array" aca="1" ref="CX40" ca="1">IF(AND($CC$39&lt;&gt;$CC$38,$CC$39:$CC$41=$CC$39,$CD$41&gt;90,$CD$39:$CD$40&lt;90),1,0)</f>
        <v>0</v>
      </c>
      <c r="CY40" s="909">
        <f t="array" aca="1" ref="CY40" ca="1">IF(AND($CC$40&lt;&gt;$CC$41,$CC$38:$CC$40=$CC$40,$CD$38&gt;90,$CD$39:$CD$40&lt;90),1,0)</f>
        <v>0</v>
      </c>
      <c r="CZ40" s="909">
        <f t="array" aca="1" ref="CZ40" ca="1">IF(AND($CC$38:$CC$41=$CC$39,$CD$39:$CD$41&lt;90,$CD$38&lt;&gt;$CD$40),1,0)</f>
        <v>0</v>
      </c>
      <c r="DA40" s="909">
        <f t="array" aca="1" ref="DA40" ca="1">IF(AND($CC$38:$CC$41=$CC$40,$CD$38:$CD$40&lt;90,$CD$40&lt;&gt;$CD$41),1,0)</f>
        <v>0</v>
      </c>
      <c r="DB40" s="909">
        <f t="array" aca="1" ref="DB40" ca="1">IF(AND($CC$38:$CC$41=$CC$40,$CD$38:$CD$39&gt;90,$CD$40:$CD$41&lt;90,$CE$38:$CE$41=$CE$40,$CF$38&gt;$CF$39,$CF$39&gt;$CF$40,$CF$40=$CF$41),1,0)</f>
        <v>0</v>
      </c>
      <c r="DC40" s="909">
        <f t="array" aca="1" ref="DC40" ca="1">IF(AND($CC$38:$CC$41=$CC$40,$CD$38&gt;90,$CD$39:$CD$40&lt;90,$CD$41&gt;90,$CE$38:$CE$41=$CE$40,$CF$38&gt;$CF$39,$CF$39=$CF$40,$CF$40&gt;$CF$41),1,0)</f>
        <v>0</v>
      </c>
      <c r="DD40" s="909">
        <f t="array" aca="1" ref="DD40" ca="1">IF(AND($CC$38:$CC$41=$CC$40,$CD$38:$CD$39&lt;90,$CD$40:$CD$41&gt;90,$CE$38:$CE$41=$CE$40,$CF$38=$CF$39,$CF$39&gt;$CF$40,$CF$40&gt;$CF$41),1,0)</f>
        <v>0</v>
      </c>
      <c r="DE40" s="909">
        <f t="array" aca="1" ref="DE40" ca="1">IF(AND($CC$38:$CC$41=$CC$40,$CD$38:$CD$39&gt;90,$CD$40:$CD$41&lt;90,$CE$38:$CE$41=$CE$39,$CF$38&gt;$CF$40,$CF$39:$CF$41=$CF$40),1,0)</f>
        <v>0</v>
      </c>
      <c r="DF40" s="909">
        <f t="array" aca="1" ref="DF40" ca="1">IF(AND($CC$38:$CC$41=$CC$40,$CD$38:$CD$39&lt;90,$CD$40:$CD$41&gt;90,$CE$38:$CE$41=$CE$40,$CF$38:$CF$40=$CF$40,$CF$40&gt;$CF$41),1,0)</f>
        <v>0</v>
      </c>
      <c r="DG40" s="909">
        <f t="array" aca="1" ref="DG40" ca="1">IF(AND($CC$38:$CC$41=$CC$40,$CD$38&gt;90,$CD$41&gt;90,$CD$39:$CD$40&lt;90,$CE$38:$CE$41=$CE$40,$CF$38&gt;$CF$39:$CF$41,$CF$39:$CF$41=$CF$40),1,0)</f>
        <v>0</v>
      </c>
      <c r="EC40" s="911">
        <v>4</v>
      </c>
      <c r="ED40" s="911"/>
      <c r="EE40" s="911"/>
      <c r="EF40" s="911"/>
      <c r="EG40" s="911"/>
      <c r="EH40" s="911"/>
      <c r="EI40" s="911"/>
      <c r="EJ40" s="911"/>
      <c r="EK40" s="911"/>
      <c r="EL40" s="911"/>
      <c r="FI40" s="917"/>
      <c r="FK40" s="917"/>
      <c r="FM40" s="917"/>
    </row>
    <row r="41" spans="1:169" ht="16" thickBot="1">
      <c r="A41" s="875"/>
      <c r="B41" s="875"/>
      <c r="C41" s="875"/>
      <c r="D41" s="152"/>
      <c r="E41" s="975"/>
      <c r="F41" s="224">
        <f>Horarios!C41</f>
        <v>44896.916666666664</v>
      </c>
      <c r="G41" s="225">
        <f>Horarios!C41</f>
        <v>44896.916666666664</v>
      </c>
      <c r="H41" s="224" t="s">
        <v>71</v>
      </c>
      <c r="I41" s="226" t="str">
        <f ca="1">A38</f>
        <v>Costa Rica</v>
      </c>
      <c r="J41" s="227" t="str">
        <f ca="1">VLOOKUP(I41,Equipos!$H$2:$I$33,2,0)</f>
        <v>🇨🇷</v>
      </c>
      <c r="K41" s="228">
        <v>2</v>
      </c>
      <c r="L41" s="228">
        <v>4</v>
      </c>
      <c r="M41" s="342" t="str">
        <f ca="1">VLOOKUP(N41,Equipos!$H$2:$I$33,2,0)</f>
        <v>🇩🇪</v>
      </c>
      <c r="N41" s="229" t="str">
        <f ca="1">A39</f>
        <v>Alemania</v>
      </c>
      <c r="O41" s="347">
        <f t="shared" si="25"/>
        <v>1</v>
      </c>
      <c r="P41" s="82"/>
      <c r="Q41" s="280">
        <v>4</v>
      </c>
      <c r="R41" s="281" t="str">
        <f ca="1">VLOOKUP(Q41,$AG$38:$AI$41,3,0)</f>
        <v>Costa Rica</v>
      </c>
      <c r="S41" s="282">
        <f ca="1">VLOOKUP(R41,$AI$38:$AR$41,2,FALSE)</f>
        <v>3</v>
      </c>
      <c r="T41" s="282">
        <f ca="1">VLOOKUP($R41,$AI$38:$AR$41,3,FALSE)</f>
        <v>3</v>
      </c>
      <c r="U41" s="282">
        <f ca="1">VLOOKUP($R41,$AI$38:$AR$41,4,FALSE)</f>
        <v>1</v>
      </c>
      <c r="V41" s="282">
        <f ca="1">VLOOKUP($R41,$AI$38:$AR$41,5,FALSE)</f>
        <v>0</v>
      </c>
      <c r="W41" s="282">
        <f ca="1">VLOOKUP($R41,$AI$38:$AR$41,6,FALSE)</f>
        <v>2</v>
      </c>
      <c r="X41" s="282">
        <f ca="1">VLOOKUP($R41,$AI$38:$AR$41,7,FALSE)</f>
        <v>3</v>
      </c>
      <c r="Y41" s="282">
        <f ca="1">VLOOKUP($R41,$AI$38:$AR$41,8,FALSE)</f>
        <v>11</v>
      </c>
      <c r="Z41" s="283">
        <f ca="1">VLOOKUP($R41,$AI$38:$AR$41,9,FALSE)</f>
        <v>-8</v>
      </c>
      <c r="AA41" s="357">
        <f ca="1">IF(SUM($AK$38:$AK$41)=12,MIN(ABS(BY40-BY41),ABS(BY41-BY42)),100)</f>
        <v>1158999999.9900002</v>
      </c>
      <c r="AB41" s="94" t="str">
        <f ca="1">IF(AND(AA41&gt;=0,AA41&lt;90),VLOOKUP(Q41,$BU$38:$BV$41,2,0),"")</f>
        <v/>
      </c>
      <c r="AC41" s="73"/>
      <c r="AD41" s="74"/>
      <c r="AE41" s="328"/>
      <c r="AF41" s="910">
        <f ca="1">VLOOKUP($R41,$AI$38:$AR$41,10,FALSE)</f>
        <v>3296210499.8200002</v>
      </c>
      <c r="AG41" s="909">
        <f ca="1">RANK(AU41,$AU$38:$AU$41)</f>
        <v>1</v>
      </c>
      <c r="AH41" s="909">
        <f ca="1">RANK(AR41,$AR$38:$AR$41)</f>
        <v>1</v>
      </c>
      <c r="AI41" s="911" t="str">
        <f ca="1">A40</f>
        <v>Japón</v>
      </c>
      <c r="AJ41" s="909">
        <f ca="1">AL41*3+AM41*1+AN41*0</f>
        <v>6</v>
      </c>
      <c r="AK41" s="909">
        <f ca="1">COUNTIFS($I$4:$I$65,AI41,$K$4:$K$65,"&lt;&gt;",$L$4:$L$65,"&lt;&gt;")+COUNTIFS($N$4:$N$65,AI41,$L$4:$L$65,"&lt;&gt;",$K$4:$K$65,"&lt;&gt;")</f>
        <v>3</v>
      </c>
      <c r="AL41" s="909">
        <f t="array" aca="1" ref="AL41" ca="1">SUM(($I$4:$I$65=AI41)*($K$4:$K$65&lt;&gt;"")*($L$4:$L$65&lt;&gt;"")*($K$4:$K$65&gt;$L$4:$L$65),($N$4:$N$65=AI41)*($K$4:$K$65&lt;&gt;"")*($L$4:$L$65&lt;&gt;"")*($K$4:$K$65&lt;$L$4:$L$65))</f>
        <v>2</v>
      </c>
      <c r="AM41" s="909">
        <f t="array" aca="1" ref="AM41" ca="1">SUM(($I$4:$I$65=AI41)*($K$4:$K$65&lt;&gt;"")*($L$4:$L$65&lt;&gt;"")*($K$4:$K$65=$L$4:$L$65),($N$4:$N$65=AI41)*($K$4:$K$65&lt;&gt;"")*($L$4:$L$65&lt;&gt;"")*($K$4:$K$65=$L$4:$L$65))</f>
        <v>0</v>
      </c>
      <c r="AN41" s="909">
        <f t="array" aca="1" ref="AN41" ca="1">SUM(($I$4:$I$65=AI41)*($L$4:$L$65&lt;&gt;"")*($K$4:$K$65&lt;&gt;"")*($K$4:$K$65&lt;$L$4:$L$65),($K$4:$K$65&lt;&gt;"")*($N$4:$N$65=AI41)*($L$4:$L$65&lt;&gt;"")*($K$4:$K$65&gt;$L$4:$L$65))</f>
        <v>1</v>
      </c>
      <c r="AO41" s="909">
        <f t="array" aca="1" ref="AO41" ca="1">SUMIFS($K$4:$K$65,$I$4:$I$65,AI41,$K$4:$K$65,"&lt;&gt;",$L$4:$L$65,"&lt;&gt;")+SUMIFS($L$4:$L$65,$N$4:$N$65,AI41,$K$4:$K$65,"&lt;&gt;",$L$4:$L$65,"&lt;&gt;")</f>
        <v>4</v>
      </c>
      <c r="AP41" s="909">
        <f t="array" aca="1" ref="AP41" ca="1">SUMIFS($K$4:$K$65,$N$4:$N$65,AI41,$K$4:$K$65,"&lt;&gt;",$L$4:$L$65,"&lt;&gt;")+SUMIFS($L$4:$L$65,$I$4:$I$65,AI41,$K$4:$K$65,"&lt;&gt;",$L$4:$L$65,"&lt;&gt;")</f>
        <v>3</v>
      </c>
      <c r="AQ41" s="909">
        <f ca="1">AO41-AP41</f>
        <v>1</v>
      </c>
      <c r="AR41" s="909">
        <f ca="1">IF(AK41=0,-($AW$11*VLOOKUP(AI41,Tabla3[[NombreEquipo]:[Rank]],3,FALSE)),AJ41*$AW$4+AQ41*$AW$5+AO41*$AW$6+BA41-($AW$11*VLOOKUP(AI41,Tabla3[[NombreEquipo]:[Rank]],3,FALSE)/100))</f>
        <v>6675210499.8000002</v>
      </c>
      <c r="AS41" s="909">
        <f ca="1">AH41</f>
        <v>1</v>
      </c>
      <c r="AT41" s="909"/>
      <c r="AU41" s="909">
        <f ca="1">IFERROR(AR41-VLOOKUP(AI41,$AB$38:$AC$41,2,0),AR41)</f>
        <v>6675210499.8000002</v>
      </c>
      <c r="AV41" s="909"/>
      <c r="AW41" s="912"/>
      <c r="AX41" s="909"/>
      <c r="AY41" s="916" t="str">
        <f ca="1">AI41</f>
        <v>Japón</v>
      </c>
      <c r="AZ41" s="909">
        <f ca="1">COUNTIF(AJ38:AJ41,AJ41)</f>
        <v>1</v>
      </c>
      <c r="BA41" s="909">
        <f t="shared" ca="1" si="8"/>
        <v>210500</v>
      </c>
      <c r="BB41" s="917">
        <f ca="1">RANK(BC41,BC38:BC41,1)</f>
        <v>1</v>
      </c>
      <c r="BC41" s="917">
        <f ca="1">SUM(IF(AND(AJ41=AJ38,AQ41=AQ38,AO41=AO38),BD41,0),IF(AND(AJ41=AJ39,AQ41=AQ39,AO41=AO39),BE41,0),IF(AND(AJ41=AJ40,AQ41=AQ40,AO41=AO40),BF41,0))</f>
        <v>0</v>
      </c>
      <c r="BD41" s="917">
        <f t="array" aca="1" ref="BD41" ca="1">SUMIFS($K$36:$K$41,$I$36:$I$41,$AY41,$K$36:$K$41,"&lt;&gt;",$L$36:$L$41,"&lt;&gt;",$N$36:$N$41,BD37)+SUMIFS($L$36:$L$41,$I$36:$I$41,BD37,$K$36:$K$41,"&lt;&gt;",$L$36:$L$41,"&lt;&gt;",$N$36:$N$41,$AY41)</f>
        <v>2</v>
      </c>
      <c r="BE41" s="917">
        <f t="array" aca="1" ref="BE41" ca="1">SUMIFS($K$36:$K$41,$I$36:$I$41,$AY41,$K$36:$K$41,"&lt;&gt;",$L$36:$L$41,"&lt;&gt;",$N$36:$N$41,BE37)+SUMIFS($L$36:$L$41,$I$36:$I$41,BE37,$K$36:$K$41,"&lt;&gt;",$L$36:$L$41,"&lt;&gt;",$N$36:$N$41,$AY41)</f>
        <v>0</v>
      </c>
      <c r="BF41" s="917">
        <f t="array" aca="1" ref="BF41" ca="1">SUMIFS($K$36:$K$41,$I$36:$I$41,$AY41,$K$36:$K$41,"&lt;&gt;",$L$36:$L$41,"&lt;&gt;",$N$36:$N$41,BF37)+SUMIFS($L$36:$L$41,$I$36:$I$41,BF37,$K$36:$K$41,"&lt;&gt;",$L$36:$L$41,"&lt;&gt;",$N$36:$N$41,$AY41)</f>
        <v>2</v>
      </c>
      <c r="BG41" s="917">
        <v>0</v>
      </c>
      <c r="BH41" s="917">
        <f ca="1">RANK(BI41,BI38:BI41,1)</f>
        <v>1</v>
      </c>
      <c r="BI41" s="917">
        <f ca="1">SUM(IF(AND(AJ41=AJ38,AQ41=AQ38,AO41=AO38),BJ41,0),IF(AND(AJ41=AJ39,AQ41=AQ39,AO41=AO39),BK41,0),IF(AND(AJ41=AJ40,AQ41=AQ40,AO41=AO40),BL41,0))</f>
        <v>0</v>
      </c>
      <c r="BJ41" s="917">
        <f ca="1">BD41-BG38</f>
        <v>1</v>
      </c>
      <c r="BK41" s="917">
        <f ca="1">BE41-BG39</f>
        <v>-1</v>
      </c>
      <c r="BL41" s="917">
        <f ca="1">BF41-BG40</f>
        <v>1</v>
      </c>
      <c r="BM41" s="917">
        <v>0</v>
      </c>
      <c r="BN41" s="917">
        <f ca="1">RANK(BO41,BO38:BO41,1)</f>
        <v>1</v>
      </c>
      <c r="BO41" s="917">
        <f ca="1">SUM(IF(AND(AJ41=AJ38,AQ41=AQ38,AO41=AO38),BP41,0),IF(AND(AJ41=AJ39,AQ41=AQ39,AO41=AO39),BQ41,0),IF(AND(AJ41=AJ40,AQ41=AQ40,AO41=AO40),BR41,0))</f>
        <v>0</v>
      </c>
      <c r="BP41" s="917">
        <f t="array" aca="1" ref="BP41" ca="1">SUM((I$4:I$49=AY41)*(N$4:N$49=BP37)*(K$4:K$49&lt;&gt;"")*(L$4:L$49&lt;&gt;"")*(K$4:K$49&gt;L$4:L$49)*3,(N$4:N$49=AY41)*(I$4:I$49=BP37)*(K$4:K$49&lt;&gt;"")*(L$4:L$49&lt;&gt;"")*(K$4:K$49=L$4:L$49)*1,(N$4:N$49=AY41)*(I$4:I$49=BP37)*(K$4:K$49&lt;&gt;"")*(L$4:L$49&lt;&gt;"")*(K$4:K$49&lt;L$4:L$49)*3,(I$4:I$49=AY41)*(N$4:N$49=BP37)*(K$4:K$49&lt;&gt;"")*(L$4:L$49&lt;&gt;"")*(K$4:K$49=L$4:L$49)*1)</f>
        <v>3</v>
      </c>
      <c r="BQ41" s="917">
        <f t="array" aca="1" ref="BQ41" ca="1">SUM((I$4:I$49=AY41)*(N$4:N$49=BQ37)*(K$4:K$49&lt;&gt;"")*(L$4:L$49&lt;&gt;"")*(K$4:K$49&gt;L$4:L$49)*3,(N$4:N$49=AY41)*(I$4:I$49=BQ37)*(K$4:K$49&lt;&gt;"")*(L$4:L$49&lt;&gt;"")*(K$4:K$49=L$4:L$49)*1,(N$4:N$49=AY41)*(I$4:I$49=BQ37)*(K$4:K$49&lt;&gt;"")*(L$4:L$49&lt;&gt;"")*(K$4:K$49&lt;L$4:L$49)*3,(I$4:I$49=AY41)*(N$4:N$49=BQ37)*(K$4:K$49&lt;&gt;"")*(L$4:L$49&lt;&gt;"")*(K$4:K$49=L$4:L$49)*1)</f>
        <v>0</v>
      </c>
      <c r="BR41" s="917">
        <f t="array" aca="1" ref="BR41" ca="1">SUM((I$4:I$49=AY41)*(N$4:N$49=BR37)*(K$4:K$49&lt;&gt;"")*(L$4:L$49&lt;&gt;"")*(K$4:K$49&gt;L$4:L$49)*3,(N$4:N$49=AY41)*(I$4:I$49=BR37)*(K$4:K$49&lt;&gt;"")*(L$4:L$49&lt;&gt;"")*(K$4:K$49=L$4:L$49)*1,(N$4:N$49=AY41)*(I$4:I$49=BR37)*(K$4:K$49&lt;&gt;"")*(L$4:L$49&lt;&gt;"")*(K$4:K$49&lt;L$4:L$49)*3,(I$4:I$49=AY41)*(N$4:N$49=BR37)*(K$4:K$49&lt;&gt;"")*(L$4:L$49&lt;&gt;"")*(K$4:K$49=L$4:L$49)*1)</f>
        <v>3</v>
      </c>
      <c r="BS41" s="917">
        <v>0</v>
      </c>
      <c r="BT41" s="911">
        <v>4</v>
      </c>
      <c r="BU41" s="911">
        <f ca="1">RANK(BW41,$BW$38:$BW$41)</f>
        <v>1</v>
      </c>
      <c r="BV41" s="911" t="str">
        <f ca="1">A40</f>
        <v>Japón</v>
      </c>
      <c r="BW41" s="911">
        <f t="shared" ca="1" si="9"/>
        <v>6675210499.8000002</v>
      </c>
      <c r="BX41" s="911" t="str">
        <f ca="1">VLOOKUP(Q41,$AH$38:$AI$41,2,0)</f>
        <v>Costa Rica</v>
      </c>
      <c r="BY41" s="911">
        <f ca="1">VLOOKUP($BX41,$AI$38:$AR$41,10,FALSE)</f>
        <v>3296210499.8200002</v>
      </c>
      <c r="CA41" s="911">
        <v>4</v>
      </c>
      <c r="CB41" s="911" t="str">
        <f ca="1">VLOOKUP(CA41,$AH$38:$AI$41,2,0)</f>
        <v>Costa Rica</v>
      </c>
      <c r="CC41" s="911">
        <f ca="1">VLOOKUP(CB41,$AI$38:$AR$41,2,FALSE)</f>
        <v>3</v>
      </c>
      <c r="CD41" s="918">
        <f ca="1">IF(SUM($AK$38:$AK$41)=12,MIN(ABS(BY40-BY41),ABS(BY41-BY42)),100)</f>
        <v>1158999999.9900002</v>
      </c>
      <c r="CE41" s="911">
        <f ca="1">VLOOKUP($CB41,$AI$38:$AR$41,9,FALSE)</f>
        <v>-8</v>
      </c>
      <c r="CF41" s="911">
        <f ca="1">VLOOKUP($CB41,$AI$38:$AR$41,7,FALSE)</f>
        <v>3</v>
      </c>
      <c r="CH41" s="911">
        <f t="array" aca="1" ref="CH41" ca="1">IF($CI$38=$CL$37,$EC$37:$EC$40,IF(OR($CI$38=$CN$37,$CI$38=$CR$37),$EG$37:$EG$38,IF($CI$38=$CP$37,$EF$37:$EF$39,$EL$37)))</f>
        <v>4</v>
      </c>
      <c r="CK41" s="909">
        <v>4</v>
      </c>
      <c r="CL41" s="909">
        <f t="array" aca="1" ref="CL41" ca="1">IF(AND($CC$38:$CC$41=$CC$41,$CD$38:$CD$41&lt;90,$AQ$38:$AQ$41=$AQ$41,$CF$38:$CF$41=$CF$41),1,0)</f>
        <v>0</v>
      </c>
      <c r="CM41" s="909">
        <f t="array" aca="1" ref="CM41" ca="1">IF(AND($CC$38:$CC$40=$CC$38,$CD$38:$CD$40&lt;90,$CD$41&gt;90,$CC$38&lt;&gt;$CC$41),1,0)</f>
        <v>0</v>
      </c>
      <c r="CN41" s="909">
        <f t="array" aca="1" ref="CN41" ca="1">IF(AND($CC$40:$CC$41=$CC$40,$CD$40:$CD$41&lt;90,$CC$40&lt;&gt;$CC$39),1,0)</f>
        <v>0</v>
      </c>
      <c r="CO41" s="909">
        <f t="array" aca="1" ref="CO41" ca="1">IF(AND($CC$41&lt;&gt;$CC$39,$CC$41&lt;&gt;$CC$38),1,0)</f>
        <v>1</v>
      </c>
      <c r="CP41" s="909">
        <f t="array" aca="1" ref="CP41" ca="1">IF(AND($CC$39:$CC$41=$CC$39,$CD$39:$CD$41&lt;90,$CC$38&lt;&gt;$CC$41),1,0)</f>
        <v>0</v>
      </c>
      <c r="CQ41" s="909">
        <f t="array" aca="1" ref="CQ41" ca="1">IF(AND($CC$41&lt;&gt;$CC$39,$CC$41&lt;&gt;$CC$38),1,0)</f>
        <v>1</v>
      </c>
      <c r="CR41" s="909">
        <f t="array" aca="1" ref="CR41" ca="1">IF(AND($CC$40:$CC$41=$CC$40,$CD$40:$CD$41&lt;90,$CC$40&lt;&gt;$CC$39),1,0)</f>
        <v>0</v>
      </c>
      <c r="CS41" s="909">
        <f t="array" aca="1" ref="CS41" ca="1">IF(AND($CC$41&lt;&gt;$CC$39,$CC$41&lt;&gt;$CC$38),1,0)</f>
        <v>1</v>
      </c>
      <c r="CT41" s="909">
        <f t="array" aca="1" ref="CT41" ca="1">IF(AND($CC$38:$CC$41=$CC$38,$CD$38:$CD$41&lt;90,$CE$40:$CE$41=$CE$41,$CE$39&lt;&gt;$CE$41),1,0)</f>
        <v>0</v>
      </c>
      <c r="CU41" s="909">
        <f t="array" aca="1" ref="CU41" ca="1">IF(AND($CC$38:$CC$41=$CC$38,$CD$38:$CD$41&lt;90,$CE$38:$CE$41=$CE$38,$CF$40=$CF$41,$CF$39&lt;&gt;$CF$40),1,0)</f>
        <v>0</v>
      </c>
      <c r="CV41" s="909">
        <f t="array" aca="1" ref="CV41" ca="1">IF(AND($CC$38:$CC$40=$CC$38,$CD$38:$CD$39&lt;90,$CC$40&lt;&gt;$CC$41),1,0)</f>
        <v>0</v>
      </c>
      <c r="CW41" s="909">
        <f t="array" aca="1" ref="CW41" ca="1">IF(AND($CC$39&lt;&gt;$CC$38,$CC$39:$CC$41=$CC$40,$CD$39&gt;90,$CD$40:$CD$41&lt;90),1,0)</f>
        <v>0</v>
      </c>
      <c r="CX41" s="909">
        <f t="array" aca="1" ref="CX41" ca="1">IF(AND($CC$39&lt;&gt;$CC$38,$CC$39:$CC$41=$CC$39,$CD$41&gt;90,$CD$39:$CD$40&lt;90),1,0)</f>
        <v>0</v>
      </c>
      <c r="CY41" s="909">
        <f t="array" aca="1" ref="CY41" ca="1">IF(AND($CC$41&lt;&gt;$CC$39,$CC$41&lt;&gt;$CC$40),1,0)</f>
        <v>1</v>
      </c>
      <c r="CZ41" s="909">
        <f t="array" aca="1" ref="CZ41" ca="1">IF(AND($CC$38:$CC$41=$CC$39,$CD$39:$CD$41&lt;90,$CD$38&lt;&gt;$CD$41),1,0)</f>
        <v>0</v>
      </c>
      <c r="DA41" s="909">
        <f t="array" aca="1" ref="DA41" ca="1">IF(AND($CC$38:$CC$41=$CC$38,$CD$38:$CD$40&lt;90,$CD$40&lt;&gt;$CD$41),1,0)</f>
        <v>0</v>
      </c>
      <c r="DB41" s="909">
        <f t="array" aca="1" ref="DB41" ca="1">IF(AND($CC$38:$CC$41=$CC$41,$CD$38:$CD$39&gt;90,$CD$40:$CD$41&lt;90,$CE$38:$CE$41=$CE$41,$CF$38&gt;$CF$39,$CF$39&gt;$CF$41,$CF$40=$CF$41),1,0)</f>
        <v>0</v>
      </c>
      <c r="DC41" s="909">
        <f t="array" aca="1" ref="DC41" ca="1">IF(AND($CC$38:$CC$41=$CC$39,$CD$38&gt;90,$CD$39:$CD$40&lt;90,$CD$41&gt;90,$CE$38:$CE$41=$CE$41,$CF$38&gt;$CF$41,$CF$39=$CF$40,$CF$39&gt;$CF$41),1,0)</f>
        <v>0</v>
      </c>
      <c r="DD41" s="909">
        <f t="array" aca="1" ref="DD41" ca="1">IF(AND($CC$38:$CC$41=$CC$41,$CD$38:$CD$39&lt;90,$CD$40:$CD$41&gt;90,$CE$38:$CE$41=$CE$41,$CF$38=$CF$39,$CF$39&gt;$CF$40,$CF$40&gt;$CF$41),1,0)</f>
        <v>0</v>
      </c>
      <c r="DE41" s="909">
        <f t="array" aca="1" ref="DE41" ca="1">IF(AND($CC$38:$CC$41=$CC$41,$CD$38:$CD$39&gt;90,$CD$40:$CD$41&lt;90,$CE$38:$CE$41=$CE$41,$CF$38&gt;$CF$41,$CF$39:$CF$41=$CF$41),1,0)</f>
        <v>0</v>
      </c>
      <c r="DF41" s="909">
        <f t="array" aca="1" ref="DF41" ca="1">IF(AND($CC$38:$CC$41=$CC$41,$CD$38:$CD$39&lt;90,$CD$40:$CD$41&gt;90,$CE$38:$CE$41=$CE$41,$CF$38:$CF$40=$CF$40,$CF$38:$CF$40&gt;$CF$41),1,0)</f>
        <v>0</v>
      </c>
      <c r="DG41" s="909">
        <f t="array" aca="1" ref="DG41" ca="1">IF(AND($CC$38:$CC$41=$CC$41,$CD$38&gt;90,$CD$41&gt;90,$CD$39:$CD$40&lt;90,$CE$38:$CE$41=$CE$41,$CF$38&gt;$CF$39:$CF$41,$CF$39:$CF$41=$CF$41),1,0)</f>
        <v>0</v>
      </c>
      <c r="FI41" s="917"/>
      <c r="FK41" s="917"/>
      <c r="FM41" s="917"/>
    </row>
    <row r="42" spans="1:169">
      <c r="A42" s="875"/>
      <c r="B42" s="875"/>
      <c r="C42" s="875"/>
      <c r="D42" s="152"/>
      <c r="E42" s="66"/>
      <c r="F42" s="77"/>
      <c r="G42" s="66"/>
      <c r="H42" s="66"/>
      <c r="I42" s="66"/>
      <c r="J42" s="66"/>
      <c r="K42" s="66"/>
      <c r="L42" s="66"/>
      <c r="M42" s="89"/>
      <c r="N42" s="66"/>
      <c r="O42" s="348"/>
      <c r="P42" s="66"/>
      <c r="Q42" s="66"/>
      <c r="R42" s="66"/>
      <c r="S42" s="66"/>
      <c r="T42" s="66"/>
      <c r="U42" s="66"/>
      <c r="V42" s="66"/>
      <c r="W42" s="66"/>
      <c r="X42" s="66"/>
      <c r="Y42" s="66"/>
      <c r="Z42" s="66"/>
      <c r="AA42" s="77"/>
      <c r="AB42" s="66"/>
      <c r="AC42" s="75"/>
      <c r="AD42" s="74"/>
      <c r="AE42" s="328"/>
      <c r="AF42" s="910"/>
      <c r="AG42" s="909"/>
      <c r="AH42" s="909"/>
      <c r="AJ42" s="909"/>
      <c r="AK42" s="909"/>
      <c r="AL42" s="909"/>
      <c r="AM42" s="909"/>
      <c r="AN42" s="909"/>
      <c r="AO42" s="909"/>
      <c r="AP42" s="909"/>
      <c r="AQ42" s="909"/>
      <c r="AR42" s="909"/>
      <c r="AS42" s="909"/>
      <c r="AT42" s="909"/>
      <c r="AU42" s="909"/>
      <c r="AV42" s="909"/>
      <c r="AW42" s="912"/>
      <c r="AX42" s="909"/>
      <c r="AY42" s="916"/>
      <c r="AZ42" s="909"/>
      <c r="BA42" s="909"/>
      <c r="BB42" s="917"/>
      <c r="BC42" s="917"/>
      <c r="BD42" s="917"/>
      <c r="BE42" s="917"/>
      <c r="BF42" s="917"/>
      <c r="BG42" s="917"/>
      <c r="BH42" s="917"/>
      <c r="BI42" s="917"/>
      <c r="BJ42" s="917"/>
      <c r="BK42" s="917"/>
      <c r="BL42" s="917"/>
      <c r="BM42" s="917"/>
      <c r="BN42" s="917"/>
      <c r="BO42" s="917"/>
      <c r="BP42" s="917"/>
      <c r="BQ42" s="917"/>
      <c r="BR42" s="917"/>
      <c r="BS42" s="917"/>
      <c r="CD42" s="918"/>
      <c r="FI42" s="917"/>
      <c r="FK42" s="917"/>
      <c r="FM42" s="917"/>
    </row>
    <row r="43" spans="1:169" ht="16" thickBot="1">
      <c r="A43" s="875"/>
      <c r="B43" s="872"/>
      <c r="C43" s="875"/>
      <c r="D43" s="66"/>
      <c r="E43" s="84"/>
      <c r="F43" s="83" t="str">
        <f>F27</f>
        <v>Fecha</v>
      </c>
      <c r="G43" s="83" t="str">
        <f t="shared" ref="G43:I43" si="28">G27</f>
        <v>Hora</v>
      </c>
      <c r="H43" s="85" t="str">
        <f t="shared" si="28"/>
        <v>Jor.</v>
      </c>
      <c r="I43" s="86" t="str">
        <f t="shared" si="28"/>
        <v>Casa</v>
      </c>
      <c r="J43" s="83"/>
      <c r="K43" s="87" t="s">
        <v>22</v>
      </c>
      <c r="L43" s="87" t="s">
        <v>22</v>
      </c>
      <c r="M43" s="87"/>
      <c r="N43" s="88" t="str">
        <f t="shared" ref="N43" si="29">N27</f>
        <v>Fuera</v>
      </c>
      <c r="O43" s="349"/>
      <c r="P43" s="69"/>
      <c r="Q43" s="69"/>
      <c r="R43" s="69"/>
      <c r="S43" s="69"/>
      <c r="T43" s="69"/>
      <c r="U43" s="69"/>
      <c r="V43" s="69"/>
      <c r="W43" s="69"/>
      <c r="X43" s="69"/>
      <c r="Y43" s="69"/>
      <c r="Z43" s="69"/>
      <c r="AA43" s="358"/>
      <c r="AB43" s="70"/>
      <c r="AC43" s="70"/>
      <c r="AD43" s="70"/>
      <c r="AE43" s="327"/>
      <c r="AF43" s="910"/>
      <c r="AG43" s="909"/>
      <c r="AH43" s="909"/>
      <c r="AI43" s="909"/>
      <c r="AJ43" s="909"/>
      <c r="AK43" s="909"/>
      <c r="AL43" s="909"/>
      <c r="AM43" s="909"/>
      <c r="AN43" s="909"/>
      <c r="AO43" s="909"/>
      <c r="AP43" s="909"/>
      <c r="AQ43" s="909"/>
      <c r="AR43" s="909"/>
      <c r="AS43" s="909"/>
      <c r="AT43" s="909"/>
      <c r="AU43" s="909"/>
      <c r="AV43" s="909"/>
      <c r="AW43" s="912"/>
      <c r="AX43" s="909"/>
      <c r="AY43" s="909"/>
      <c r="AZ43" s="909"/>
      <c r="BA43" s="909"/>
      <c r="BB43" s="909"/>
      <c r="BC43" s="909"/>
      <c r="BD43" s="909"/>
      <c r="BE43" s="909"/>
      <c r="BF43" s="909"/>
      <c r="BG43" s="909"/>
      <c r="BH43" s="909"/>
      <c r="BI43" s="909"/>
      <c r="BJ43" s="909"/>
      <c r="BK43" s="909"/>
      <c r="BL43" s="909"/>
      <c r="BM43" s="909"/>
      <c r="BN43" s="909"/>
      <c r="BO43" s="909"/>
      <c r="BP43" s="909"/>
      <c r="BQ43" s="909"/>
      <c r="BR43" s="909"/>
      <c r="BS43" s="909"/>
      <c r="BT43" s="909"/>
      <c r="BU43" s="909"/>
      <c r="BV43" s="909"/>
      <c r="BW43" s="909"/>
      <c r="BX43" s="909"/>
      <c r="BY43" s="909"/>
      <c r="BZ43" s="909"/>
      <c r="CA43" s="909"/>
      <c r="CB43" s="909"/>
      <c r="CC43" s="909"/>
      <c r="CD43" s="909"/>
      <c r="CE43" s="909"/>
      <c r="CF43" s="909"/>
      <c r="CG43" s="909"/>
      <c r="CL43" s="910">
        <v>1</v>
      </c>
      <c r="CM43" s="910">
        <v>12</v>
      </c>
      <c r="CN43" s="910">
        <v>18</v>
      </c>
      <c r="CO43" s="910">
        <v>19</v>
      </c>
      <c r="CP43" s="910">
        <v>13</v>
      </c>
      <c r="CQ43" s="910">
        <v>20</v>
      </c>
      <c r="CR43" s="910">
        <v>21</v>
      </c>
      <c r="CS43" s="910">
        <v>22</v>
      </c>
      <c r="CT43" s="910">
        <v>3</v>
      </c>
      <c r="CU43" s="910">
        <v>2</v>
      </c>
      <c r="CV43" s="910">
        <v>14</v>
      </c>
      <c r="CW43" s="910">
        <v>17</v>
      </c>
      <c r="CX43" s="910">
        <v>16</v>
      </c>
      <c r="CY43" s="910">
        <v>15</v>
      </c>
      <c r="CZ43" s="910">
        <v>4</v>
      </c>
      <c r="DA43" s="910">
        <v>5</v>
      </c>
      <c r="DB43" s="910">
        <v>10</v>
      </c>
      <c r="DC43" s="910">
        <v>8</v>
      </c>
      <c r="DD43" s="910">
        <v>6</v>
      </c>
      <c r="DE43" s="910">
        <v>11</v>
      </c>
      <c r="DF43" s="910">
        <v>7</v>
      </c>
      <c r="DG43" s="910">
        <v>9</v>
      </c>
      <c r="DH43" s="910"/>
      <c r="DI43" s="910"/>
      <c r="EC43" s="911" t="s">
        <v>41</v>
      </c>
      <c r="ED43" s="911" t="s">
        <v>42</v>
      </c>
      <c r="EE43" s="911" t="s">
        <v>44</v>
      </c>
      <c r="EF43" s="911" t="s">
        <v>45</v>
      </c>
      <c r="EG43" s="911" t="s">
        <v>46</v>
      </c>
      <c r="EH43" s="911" t="s">
        <v>47</v>
      </c>
      <c r="EI43" s="911" t="s">
        <v>48</v>
      </c>
      <c r="EJ43" s="911" t="s">
        <v>49</v>
      </c>
      <c r="EK43" s="911" t="s">
        <v>50</v>
      </c>
      <c r="EL43" s="911" t="s">
        <v>51</v>
      </c>
    </row>
    <row r="44" spans="1:169">
      <c r="A44" s="871" t="s">
        <v>74</v>
      </c>
      <c r="B44" s="872" t="s">
        <v>4</v>
      </c>
      <c r="C44" s="873">
        <f>COUNTIF(Equipos!$C$2:$C$33,MUNDIAL!B44)</f>
        <v>4</v>
      </c>
      <c r="D44" s="152"/>
      <c r="E44" s="979" t="s">
        <v>4</v>
      </c>
      <c r="F44" s="375">
        <f>Horarios!C44</f>
        <v>44888.541666666664</v>
      </c>
      <c r="G44" s="376">
        <f>Horarios!C44</f>
        <v>44888.541666666664</v>
      </c>
      <c r="H44" s="375" t="s">
        <v>69</v>
      </c>
      <c r="I44" s="377" t="str">
        <f ca="1">A47</f>
        <v>Marruecos</v>
      </c>
      <c r="J44" s="378" t="str">
        <f ca="1">VLOOKUP(I44,Equipos!$H$2:$I$33,2,0)</f>
        <v>🇲🇦</v>
      </c>
      <c r="K44" s="393">
        <v>0</v>
      </c>
      <c r="L44" s="393">
        <v>0</v>
      </c>
      <c r="M44" s="387" t="str">
        <f ca="1">VLOOKUP(N44,Equipos!$H$2:$I$33,2,0)</f>
        <v>🇭🇷</v>
      </c>
      <c r="N44" s="388" t="str">
        <f ca="1">A48</f>
        <v>Croacia</v>
      </c>
      <c r="O44" s="347">
        <f>IF(NOT(OR(ISBLANK(K44),ISBLANK(L44))),1,0)</f>
        <v>1</v>
      </c>
      <c r="P44" s="82"/>
      <c r="Q44" s="362" t="str">
        <f>CONCATENATE("Grupo"," ",B44)</f>
        <v>Grupo F</v>
      </c>
      <c r="R44" s="363"/>
      <c r="S44" s="363"/>
      <c r="T44" s="363"/>
      <c r="U44" s="363"/>
      <c r="V44" s="363"/>
      <c r="W44" s="363"/>
      <c r="X44" s="363"/>
      <c r="Y44" s="363"/>
      <c r="Z44" s="364"/>
      <c r="AA44" s="359"/>
      <c r="AB44" s="1015" t="s">
        <v>65</v>
      </c>
      <c r="AC44" s="1015"/>
      <c r="AD44" s="1015"/>
      <c r="AE44" s="327"/>
      <c r="AF44" s="910"/>
      <c r="AG44" s="909"/>
      <c r="AH44" s="909" t="str">
        <f>CONCATENATE("Auxiliar - ",Q44)</f>
        <v>Auxiliar - Grupo F</v>
      </c>
      <c r="AI44" s="909"/>
      <c r="AJ44" s="909"/>
      <c r="AK44" s="909"/>
      <c r="AL44" s="909"/>
      <c r="AM44" s="909"/>
      <c r="AN44" s="909"/>
      <c r="AO44" s="909"/>
      <c r="AP44" s="909"/>
      <c r="AQ44" s="909"/>
      <c r="AR44" s="909"/>
      <c r="AS44" s="909"/>
      <c r="AT44" s="909"/>
      <c r="AU44" s="909" t="s">
        <v>38</v>
      </c>
      <c r="AV44" s="909"/>
      <c r="AW44" s="912"/>
      <c r="AX44" s="909"/>
      <c r="AY44" s="910" t="str">
        <f>CONCATENATE(Q44," - GOLAVERAGE")</f>
        <v>Grupo F - GOLAVERAGE</v>
      </c>
      <c r="AZ44" s="909"/>
      <c r="BA44" s="909"/>
      <c r="BB44" s="909" t="s">
        <v>28</v>
      </c>
      <c r="BC44" s="909"/>
      <c r="BD44" s="909"/>
      <c r="BE44" s="909"/>
      <c r="BF44" s="909"/>
      <c r="BG44" s="909"/>
      <c r="BH44" s="909" t="s">
        <v>27</v>
      </c>
      <c r="BI44" s="909"/>
      <c r="BJ44" s="909"/>
      <c r="BK44" s="909"/>
      <c r="BL44" s="909"/>
      <c r="BM44" s="909"/>
      <c r="BN44" s="909" t="s">
        <v>123</v>
      </c>
      <c r="BO44" s="917"/>
      <c r="BP44" s="917"/>
      <c r="BQ44" s="917"/>
      <c r="BR44" s="917"/>
      <c r="BS44" s="917"/>
      <c r="CI44" s="909" t="s">
        <v>62</v>
      </c>
      <c r="CK44" s="909" t="s">
        <v>63</v>
      </c>
      <c r="CL44" s="909">
        <f t="shared" ref="CL44:DG44" ca="1" si="30">SUM(CL46:CL49)</f>
        <v>0</v>
      </c>
      <c r="CM44" s="909">
        <f t="shared" ca="1" si="30"/>
        <v>0</v>
      </c>
      <c r="CN44" s="909">
        <f t="shared" ca="1" si="30"/>
        <v>0</v>
      </c>
      <c r="CO44" s="909">
        <f t="shared" ca="1" si="30"/>
        <v>2</v>
      </c>
      <c r="CP44" s="909">
        <f t="shared" ca="1" si="30"/>
        <v>0</v>
      </c>
      <c r="CQ44" s="909">
        <f t="shared" ca="1" si="30"/>
        <v>2</v>
      </c>
      <c r="CR44" s="909">
        <f t="shared" ca="1" si="30"/>
        <v>2</v>
      </c>
      <c r="CS44" s="909">
        <f t="shared" ca="1" si="30"/>
        <v>4</v>
      </c>
      <c r="CT44" s="909">
        <f t="shared" ca="1" si="30"/>
        <v>0</v>
      </c>
      <c r="CU44" s="909">
        <f t="shared" ca="1" si="30"/>
        <v>0</v>
      </c>
      <c r="CV44" s="909">
        <f t="shared" ca="1" si="30"/>
        <v>0</v>
      </c>
      <c r="CW44" s="909">
        <f t="shared" ca="1" si="30"/>
        <v>1</v>
      </c>
      <c r="CX44" s="909">
        <f t="shared" ca="1" si="30"/>
        <v>1</v>
      </c>
      <c r="CY44" s="909">
        <f t="shared" ca="1" si="30"/>
        <v>1</v>
      </c>
      <c r="CZ44" s="909">
        <f t="shared" ca="1" si="30"/>
        <v>0</v>
      </c>
      <c r="DA44" s="909">
        <f t="shared" ca="1" si="30"/>
        <v>0</v>
      </c>
      <c r="DB44" s="909">
        <f t="shared" ca="1" si="30"/>
        <v>0</v>
      </c>
      <c r="DC44" s="909">
        <f t="shared" ca="1" si="30"/>
        <v>0</v>
      </c>
      <c r="DD44" s="909">
        <f t="shared" ca="1" si="30"/>
        <v>0</v>
      </c>
      <c r="DE44" s="909">
        <f t="shared" ca="1" si="30"/>
        <v>0</v>
      </c>
      <c r="DF44" s="909">
        <f t="shared" ca="1" si="30"/>
        <v>0</v>
      </c>
      <c r="DG44" s="909">
        <f t="shared" ca="1" si="30"/>
        <v>0</v>
      </c>
      <c r="EC44" s="911">
        <v>1234</v>
      </c>
      <c r="ED44" s="911">
        <v>123</v>
      </c>
      <c r="EE44" s="911">
        <v>12</v>
      </c>
      <c r="EF44" s="911">
        <v>234</v>
      </c>
      <c r="EG44" s="911">
        <v>34</v>
      </c>
      <c r="EH44" s="911">
        <v>23</v>
      </c>
      <c r="EI44" s="911">
        <v>1</v>
      </c>
      <c r="EJ44" s="911">
        <v>2</v>
      </c>
      <c r="EK44" s="911">
        <v>3</v>
      </c>
      <c r="EL44" s="911">
        <v>4</v>
      </c>
      <c r="FM44" s="917"/>
    </row>
    <row r="45" spans="1:169" ht="16" thickBot="1">
      <c r="A45" s="871" t="str">
        <f t="array" aca="1" ref="A45" ca="1">IF(ROWS(A$45:A45)&lt;=$C$44,INDEX(INDIRECT(A$44),SMALL(IF(Nivell=$B$44,ROW(Nivell)-ROW(Equipos!$C$2)+1),ROWS(B$44:B44))),"")</f>
        <v>Bélgica</v>
      </c>
      <c r="B45" s="872"/>
      <c r="C45" s="872"/>
      <c r="D45" s="152"/>
      <c r="E45" s="980"/>
      <c r="F45" s="379">
        <f>Horarios!C45</f>
        <v>44888.916666666664</v>
      </c>
      <c r="G45" s="380">
        <f>Horarios!C45</f>
        <v>44888.916666666664</v>
      </c>
      <c r="H45" s="379" t="s">
        <v>69</v>
      </c>
      <c r="I45" s="381" t="str">
        <f ca="1">A45</f>
        <v>Bélgica</v>
      </c>
      <c r="J45" s="382" t="str">
        <f ca="1">VLOOKUP(I45,Equipos!$H$2:$I$33,2,0)</f>
        <v>🇧🇪</v>
      </c>
      <c r="K45" s="394">
        <v>1</v>
      </c>
      <c r="L45" s="394">
        <v>0</v>
      </c>
      <c r="M45" s="389" t="str">
        <f ca="1">VLOOKUP(N45,Equipos!$H$2:$I$33,2,0)</f>
        <v>🇨🇦</v>
      </c>
      <c r="N45" s="390" t="str">
        <f ca="1">A46</f>
        <v>Canadá</v>
      </c>
      <c r="O45" s="347">
        <f t="shared" ref="O45:O49" si="31">IF(NOT(OR(ISBLANK(K45),ISBLANK(L45))),1,0)</f>
        <v>1</v>
      </c>
      <c r="P45" s="82"/>
      <c r="Q45" s="371" t="s">
        <v>17</v>
      </c>
      <c r="R45" s="372" t="s">
        <v>100</v>
      </c>
      <c r="S45" s="373" t="s">
        <v>76</v>
      </c>
      <c r="T45" s="373" t="s">
        <v>6</v>
      </c>
      <c r="U45" s="373" t="s">
        <v>7</v>
      </c>
      <c r="V45" s="373" t="s">
        <v>3</v>
      </c>
      <c r="W45" s="373" t="s">
        <v>8</v>
      </c>
      <c r="X45" s="373" t="s">
        <v>9</v>
      </c>
      <c r="Y45" s="373" t="s">
        <v>10</v>
      </c>
      <c r="Z45" s="374" t="s">
        <v>99</v>
      </c>
      <c r="AA45" s="359">
        <f ca="1">COUNTIF(AA46:AA49,"&lt;100")</f>
        <v>0</v>
      </c>
      <c r="AB45" s="1015"/>
      <c r="AC45" s="1015"/>
      <c r="AD45" s="1015"/>
      <c r="AE45" s="327"/>
      <c r="AF45" s="910"/>
      <c r="AG45" s="913" t="s">
        <v>38</v>
      </c>
      <c r="AH45" s="913" t="s">
        <v>13</v>
      </c>
      <c r="AI45" s="913" t="s">
        <v>5</v>
      </c>
      <c r="AJ45" s="913" t="s">
        <v>14</v>
      </c>
      <c r="AK45" s="913" t="s">
        <v>6</v>
      </c>
      <c r="AL45" s="913" t="s">
        <v>7</v>
      </c>
      <c r="AM45" s="913" t="s">
        <v>3</v>
      </c>
      <c r="AN45" s="913" t="s">
        <v>8</v>
      </c>
      <c r="AO45" s="913" t="s">
        <v>9</v>
      </c>
      <c r="AP45" s="913" t="s">
        <v>10</v>
      </c>
      <c r="AQ45" s="913" t="s">
        <v>11</v>
      </c>
      <c r="AR45" s="913" t="s">
        <v>15</v>
      </c>
      <c r="AS45" s="913" t="s">
        <v>13</v>
      </c>
      <c r="AT45" s="909"/>
      <c r="AU45" s="909"/>
      <c r="AV45" s="909"/>
      <c r="AW45" s="912"/>
      <c r="AX45" s="909"/>
      <c r="AY45" s="913" t="s">
        <v>5</v>
      </c>
      <c r="AZ45" s="913" t="s">
        <v>29</v>
      </c>
      <c r="BA45" s="913" t="s">
        <v>32</v>
      </c>
      <c r="BB45" s="913" t="s">
        <v>31</v>
      </c>
      <c r="BC45" s="913" t="s">
        <v>26</v>
      </c>
      <c r="BD45" s="913" t="str">
        <f ca="1">AY46</f>
        <v>Bélgica</v>
      </c>
      <c r="BE45" s="913" t="str">
        <f ca="1">AY47</f>
        <v>Canadá</v>
      </c>
      <c r="BF45" s="913" t="str">
        <f ca="1">AY48</f>
        <v>Marruecos</v>
      </c>
      <c r="BG45" s="913" t="str">
        <f ca="1">AY49</f>
        <v>Croacia</v>
      </c>
      <c r="BH45" s="913" t="s">
        <v>31</v>
      </c>
      <c r="BI45" s="913" t="s">
        <v>26</v>
      </c>
      <c r="BJ45" s="913" t="str">
        <f ca="1">BD45</f>
        <v>Bélgica</v>
      </c>
      <c r="BK45" s="913" t="str">
        <f ca="1">BE45</f>
        <v>Canadá</v>
      </c>
      <c r="BL45" s="913" t="str">
        <f ca="1">BF45</f>
        <v>Marruecos</v>
      </c>
      <c r="BM45" s="913" t="str">
        <f ca="1">BG45</f>
        <v>Croacia</v>
      </c>
      <c r="BN45" s="913" t="s">
        <v>31</v>
      </c>
      <c r="BO45" s="913" t="s">
        <v>26</v>
      </c>
      <c r="BP45" s="913" t="str">
        <f ca="1">BD45</f>
        <v>Bélgica</v>
      </c>
      <c r="BQ45" s="913" t="str">
        <f ca="1">BE45</f>
        <v>Canadá</v>
      </c>
      <c r="BR45" s="913" t="str">
        <f ca="1">BF45</f>
        <v>Marruecos</v>
      </c>
      <c r="BS45" s="913" t="str">
        <f ca="1">BG45</f>
        <v>Croacia</v>
      </c>
      <c r="BU45" s="914"/>
      <c r="BV45" s="914" t="s">
        <v>39</v>
      </c>
      <c r="BW45" s="914"/>
      <c r="BX45" s="914" t="s">
        <v>40</v>
      </c>
      <c r="BY45" s="914"/>
      <c r="CA45" s="914"/>
      <c r="CB45" s="914" t="s">
        <v>5</v>
      </c>
      <c r="CC45" s="914" t="s">
        <v>14</v>
      </c>
      <c r="CD45" s="914" t="s">
        <v>59</v>
      </c>
      <c r="CE45" s="914" t="s">
        <v>11</v>
      </c>
      <c r="CF45" s="914" t="s">
        <v>60</v>
      </c>
      <c r="CG45" s="914"/>
      <c r="CK45" s="909" t="s">
        <v>64</v>
      </c>
      <c r="CL45" s="909" t="s">
        <v>43</v>
      </c>
      <c r="CM45" s="909" t="s">
        <v>52</v>
      </c>
      <c r="CN45" s="909" t="s">
        <v>53</v>
      </c>
      <c r="CO45" s="909" t="s">
        <v>54</v>
      </c>
      <c r="CP45" s="909" t="s">
        <v>55</v>
      </c>
      <c r="CQ45" s="909" t="s">
        <v>56</v>
      </c>
      <c r="CR45" s="909" t="s">
        <v>57</v>
      </c>
      <c r="CS45" s="909" t="s">
        <v>58</v>
      </c>
      <c r="CT45" s="909" t="s">
        <v>53</v>
      </c>
      <c r="CU45" s="909" t="s">
        <v>53</v>
      </c>
      <c r="CV45" s="909" t="s">
        <v>54</v>
      </c>
      <c r="CW45" s="909" t="s">
        <v>57</v>
      </c>
      <c r="CX45" s="909" t="s">
        <v>56</v>
      </c>
      <c r="CY45" s="909" t="s">
        <v>56</v>
      </c>
      <c r="CZ45" s="909" t="s">
        <v>55</v>
      </c>
      <c r="DA45" s="909" t="s">
        <v>52</v>
      </c>
      <c r="DB45" s="909" t="s">
        <v>57</v>
      </c>
      <c r="DC45" s="909" t="s">
        <v>56</v>
      </c>
      <c r="DD45" s="909" t="s">
        <v>54</v>
      </c>
      <c r="DE45" s="909" t="s">
        <v>57</v>
      </c>
      <c r="DF45" s="909" t="s">
        <v>54</v>
      </c>
      <c r="DG45" s="909" t="s">
        <v>56</v>
      </c>
      <c r="EC45" s="911">
        <v>1</v>
      </c>
      <c r="ED45" s="911">
        <v>1</v>
      </c>
      <c r="EE45" s="911">
        <v>1</v>
      </c>
      <c r="EF45" s="911">
        <v>2</v>
      </c>
      <c r="EG45" s="911">
        <v>3</v>
      </c>
      <c r="EH45" s="911">
        <v>2</v>
      </c>
      <c r="EI45" s="911">
        <v>1</v>
      </c>
      <c r="EJ45" s="911">
        <v>2</v>
      </c>
      <c r="EK45" s="911">
        <v>3</v>
      </c>
      <c r="EL45" s="911">
        <v>4</v>
      </c>
      <c r="FI45" s="913"/>
      <c r="FK45" s="913"/>
      <c r="FM45" s="913"/>
    </row>
    <row r="46" spans="1:169">
      <c r="A46" s="871" t="str">
        <f t="array" aca="1" ref="A46" ca="1">IF(ROWS(A$45:A46)&lt;=$C$44,INDEX(INDIRECT(A$44),SMALL(IF(Nivell=$B$44,ROW(Nivell)-ROW(Equipos!$C$2)+1),ROWS(B$44:B45))),"")</f>
        <v>Canadá</v>
      </c>
      <c r="B46" s="872"/>
      <c r="C46" s="874"/>
      <c r="D46" s="152"/>
      <c r="E46" s="980"/>
      <c r="F46" s="379">
        <f>Horarios!C46</f>
        <v>44892.666666666664</v>
      </c>
      <c r="G46" s="380">
        <f>Horarios!C46</f>
        <v>44892.666666666664</v>
      </c>
      <c r="H46" s="379" t="s">
        <v>70</v>
      </c>
      <c r="I46" s="381" t="str">
        <f ca="1">A45</f>
        <v>Bélgica</v>
      </c>
      <c r="J46" s="382" t="str">
        <f ca="1">VLOOKUP(I46,Equipos!$H$2:$I$33,2,0)</f>
        <v>🇧🇪</v>
      </c>
      <c r="K46" s="394">
        <v>0</v>
      </c>
      <c r="L46" s="394">
        <v>2</v>
      </c>
      <c r="M46" s="389" t="str">
        <f ca="1">VLOOKUP(N46,Equipos!$H$2:$I$33,2,0)</f>
        <v>🇲🇦</v>
      </c>
      <c r="N46" s="390" t="str">
        <f ca="1">A47</f>
        <v>Marruecos</v>
      </c>
      <c r="O46" s="347">
        <f t="shared" si="31"/>
        <v>1</v>
      </c>
      <c r="P46" s="82"/>
      <c r="Q46" s="413">
        <v>1</v>
      </c>
      <c r="R46" s="414" t="str">
        <f ca="1">VLOOKUP(Q46,$AG$46:$AI$49,3,0)</f>
        <v>Marruecos</v>
      </c>
      <c r="S46" s="415">
        <f ca="1">VLOOKUP(R46,$AI$46:$AR$49,2,FALSE)</f>
        <v>7</v>
      </c>
      <c r="T46" s="415">
        <f ca="1">VLOOKUP($R46,$AI$46:$AR$49,3,FALSE)</f>
        <v>3</v>
      </c>
      <c r="U46" s="415">
        <f ca="1">VLOOKUP($R46,$AI$46:$AR$49,4,FALSE)</f>
        <v>2</v>
      </c>
      <c r="V46" s="415">
        <f ca="1">VLOOKUP($R46,$AI$46:$AR$49,5,FALSE)</f>
        <v>1</v>
      </c>
      <c r="W46" s="415">
        <f ca="1">VLOOKUP($R46,$AI$46:$AR$49,6,FALSE)</f>
        <v>0</v>
      </c>
      <c r="X46" s="415">
        <f ca="1">VLOOKUP($R46,$AI$46:$AR$49,7,FALSE)</f>
        <v>4</v>
      </c>
      <c r="Y46" s="415">
        <f ca="1">VLOOKUP($R46,$AI$46:$AR$49,8,FALSE)</f>
        <v>1</v>
      </c>
      <c r="Z46" s="416">
        <f ca="1">VLOOKUP($R46,$AI$46:$AR$49,9,FALSE)</f>
        <v>3</v>
      </c>
      <c r="AA46" s="357">
        <f ca="1">IF(SUM($AK$46:$AK$49)=12,MIN(ABS(BY45-BY46),ABS(BY46-BY47)),100)</f>
        <v>2222000000.0100002</v>
      </c>
      <c r="AB46" s="94" t="str">
        <f ca="1">IF(AND(AA46&gt;=0,AA46&lt;90),VLOOKUP(Q46,$BU$46:$BV$49,2,0),"")</f>
        <v/>
      </c>
      <c r="AC46" s="73"/>
      <c r="AD46" s="74"/>
      <c r="AE46" s="328"/>
      <c r="AF46" s="910">
        <f ca="1">VLOOKUP($R46,$AI$46:$AR$49,10,FALSE)</f>
        <v>7796210499.7700005</v>
      </c>
      <c r="AG46" s="909">
        <f ca="1">RANK(AU46,$AU$46:$AU$49)</f>
        <v>3</v>
      </c>
      <c r="AH46" s="909">
        <f ca="1">RANK(AR46,$AR$46:$AR$49)</f>
        <v>3</v>
      </c>
      <c r="AI46" s="911" t="str">
        <f ca="1">A45</f>
        <v>Bélgica</v>
      </c>
      <c r="AJ46" s="909">
        <f ca="1">AL46*3+AM46*1+AN46*0</f>
        <v>4</v>
      </c>
      <c r="AK46" s="909">
        <f ca="1">COUNTIFS($I$4:$I$65,AI46,$K$4:$K$65,"&lt;&gt;",$L$4:$L$65,"&lt;&gt;")+COUNTIFS($N$4:$N$65,AI46,$L$4:$L$65,"&lt;&gt;",$K$4:$K$65,"&lt;&gt;")</f>
        <v>3</v>
      </c>
      <c r="AL46" s="909">
        <f t="array" aca="1" ref="AL46" ca="1">SUM(($I$4:$I$65=AI46)*($K$4:$K$65&lt;&gt;"")*($L$4:$L$65&lt;&gt;"")*($K$4:$K$65&gt;$L$4:$L$65),($N$4:$N$65=AI46)*($K$4:$K$65&lt;&gt;"")*($L$4:$L$65&lt;&gt;"")*($K$4:$K$65&lt;$L$4:$L$65))</f>
        <v>1</v>
      </c>
      <c r="AM46" s="909">
        <f t="array" aca="1" ref="AM46" ca="1">SUM(($I$4:$I$65=AI46)*($K$4:$K$65&lt;&gt;"")*($L$4:$L$65&lt;&gt;"")*($K$4:$K$65=$L$4:$L$65),($N$4:$N$65=AI46)*($K$4:$K$65&lt;&gt;"")*($L$4:$L$65&lt;&gt;"")*($K$4:$K$65=$L$4:$L$65))</f>
        <v>1</v>
      </c>
      <c r="AN46" s="909">
        <f t="array" aca="1" ref="AN46" ca="1">SUM(($I$4:$I$65=AI46)*($L$4:$L$65&lt;&gt;"")*($K$4:$K$65&lt;&gt;"")*($K$4:$K$65&lt;$L$4:$L$65),($K$4:$K$65&lt;&gt;"")*($N$4:$N$65=AI46)*($L$4:$L$65&lt;&gt;"")*($K$4:$K$65&gt;$L$4:$L$65))</f>
        <v>1</v>
      </c>
      <c r="AO46" s="909">
        <f t="array" aca="1" ref="AO46" ca="1">SUMIFS($K$4:$K$65,$I$4:$I$65,AI46,$K$4:$K$65,"&lt;&gt;",$L$4:$L$65,"&lt;&gt;")+SUMIFS($L$4:$L$65,$N$4:$N$65,AI46,$K$4:$K$65,"&lt;&gt;",$L$4:$L$65,"&lt;&gt;")</f>
        <v>1</v>
      </c>
      <c r="AP46" s="909">
        <f t="array" aca="1" ref="AP46" ca="1">SUMIFS($K$4:$K$65,$N$4:$N$65,AI46,$K$4:$K$65,"&lt;&gt;",$L$4:$L$65,"&lt;&gt;")+SUMIFS($L$4:$L$65,$I$4:$I$65,AI46,$K$4:$K$65,"&lt;&gt;",$L$4:$L$65,"&lt;&gt;")</f>
        <v>2</v>
      </c>
      <c r="AQ46" s="909">
        <f ca="1">AO46-AP46</f>
        <v>-1</v>
      </c>
      <c r="AR46" s="909">
        <f ca="1">IF(AK46=0,-($AW$11*VLOOKUP(AI46,Tabla3[[NombreEquipo]:[Rank]],3,FALSE)),AJ46*$AW$4+AQ46*$AW$5+AO46*$AW$6+BA46-($AW$11*VLOOKUP(AI46,Tabla3[[NombreEquipo]:[Rank]],3,FALSE)/100))</f>
        <v>4440210499.79</v>
      </c>
      <c r="AS46" s="909">
        <f ca="1">AH46</f>
        <v>3</v>
      </c>
      <c r="AT46" s="909"/>
      <c r="AU46" s="909">
        <f ca="1">IFERROR(AR46-VLOOKUP(AI46,$AB$46:$AC$49,2,0),AR46)</f>
        <v>4440210499.79</v>
      </c>
      <c r="AV46" s="909"/>
      <c r="AW46" s="912"/>
      <c r="AX46" s="909"/>
      <c r="AY46" s="916" t="str">
        <f ca="1">AI46</f>
        <v>Bélgica</v>
      </c>
      <c r="AZ46" s="909">
        <f ca="1">COUNTIF(AJ46:AJ49,AJ46)</f>
        <v>1</v>
      </c>
      <c r="BA46" s="909">
        <f t="shared" ref="BA46:BA47" ca="1" si="32">(BB46*$AW$9)+(BH46*$AW$8)+(BN46*$AW$7)</f>
        <v>210500</v>
      </c>
      <c r="BB46" s="917">
        <f ca="1">RANK(BC46,BC46:BC49,1)</f>
        <v>1</v>
      </c>
      <c r="BC46" s="917">
        <f ca="1">SUM(IF(AND(AJ46=AJ47,AQ46=AQ47,AO46=AO47),BE46,0),IF(AND(AJ46=AJ48,AQ46=AQ48,AO46=AO48),BF46,0),IF(AND(AJ46=AJ49,AQ46=AQ49,AO46=AO49),BG46,0))</f>
        <v>0</v>
      </c>
      <c r="BD46" s="917">
        <v>0</v>
      </c>
      <c r="BE46" s="917">
        <f t="array" aca="1" ref="BE46" ca="1">SUMIFS($K$44:$K$49,$I$44:$I$49,$AY46,$K$44:$K$49,"&lt;&gt;",$L$44:$L$49,"&lt;&gt;",$N$44:$N$49,BE45)+SUMIFS($L$44:$L$49,$I$44:$I$49,BE45,$K$44:$K$49,"&lt;&gt;",$L$44:$L$49,"&lt;&gt;",$N$44:$N$49,$AY46)</f>
        <v>1</v>
      </c>
      <c r="BF46" s="917">
        <f t="array" aca="1" ref="BF46" ca="1">SUMIFS($K$44:$K$49,$I$44:$I$49,$AY46,$K$44:$K$49,"&lt;&gt;",$L$44:$L$49,"&lt;&gt;",$N$44:$N$49,BF45)+SUMIFS($L$44:$L$49,$I$44:$I$49,BF45,$K$44:$K$49,"&lt;&gt;",$L$44:$L$49,"&lt;&gt;",$N$44:$N$49,$AY46)</f>
        <v>0</v>
      </c>
      <c r="BG46" s="917">
        <f t="array" aca="1" ref="BG46" ca="1">SUMIFS($K$44:$K$49,$I$44:$I$49,$AY46,$K$44:$K$49,"&lt;&gt;",$L$44:$L$49,"&lt;&gt;",$N$44:$N$49,BG45)+SUMIFS($L$44:$L$49,$I$44:$I$49,BG45,$K$44:$K$49,"&lt;&gt;",$L$44:$L$49,"&lt;&gt;",$N$44:$N$49,$AY46)</f>
        <v>0</v>
      </c>
      <c r="BH46" s="917">
        <f ca="1">RANK(BI46,BI46:BI49,1)</f>
        <v>1</v>
      </c>
      <c r="BI46" s="917">
        <f ca="1">SUM(IF(AND(AJ46=AJ47,AQ46=AQ47,AO46=AO47),BK46,0),IF(AND(AJ46=AJ48,AQ46=AQ48,AO46=AO48),BL46,0),IF(AND(AJ46=AJ49,AQ46=AQ49,AO46=AO49),BM46,0))</f>
        <v>0</v>
      </c>
      <c r="BJ46" s="917">
        <v>0</v>
      </c>
      <c r="BK46" s="917">
        <f ca="1">BE46-BD47</f>
        <v>1</v>
      </c>
      <c r="BL46" s="917">
        <f ca="1">BF46-BD48</f>
        <v>-2</v>
      </c>
      <c r="BM46" s="917">
        <f ca="1">BG46-BD49</f>
        <v>0</v>
      </c>
      <c r="BN46" s="917">
        <f ca="1">RANK(BO46,BO46:BO49,1)</f>
        <v>1</v>
      </c>
      <c r="BO46" s="917">
        <f ca="1">SUM(IF(AND(AJ46=AJ47,AQ46=AQ47,AO46=AO47),BQ46,0),IF(AND(AJ46=AJ48,AQ46=AQ48,AO46=AO48),BR46,0),IF(AND(AJ46=AJ49,AQ46=AQ49,AO46=AO49),BS46,0))</f>
        <v>0</v>
      </c>
      <c r="BP46" s="917">
        <v>0</v>
      </c>
      <c r="BQ46" s="917">
        <f t="array" aca="1" ref="BQ46" ca="1">SUM((I$4:I$49=AY46)*(N$4:N$49=BQ45)*(K$4:K$49&lt;&gt;"")*(L$4:L$49&lt;&gt;"")*(K$4:K$49&gt;L$4:L$49)*3,(N$4:N$49=AY46)*(I$4:I$49=BQ45)*(K$4:K$49&lt;&gt;"")*(L$4:L$49&lt;&gt;"")*(K$4:K$49=L$4:L$49)*1,(N$4:N$49=AY46)*(I$4:I$49=BQ45)*(K$4:K$49&lt;&gt;"")*(L$4:L$49&lt;&gt;"")*(K$4:K$49&lt;L$4:L$49)*3,(I$4:I$49=AY46)*(N$4:N$49=BQ45)*(K$4:K$49&lt;&gt;"")*(L$4:L$49&lt;&gt;"")*(K$4:K$49=L$4:L$49)*1)</f>
        <v>3</v>
      </c>
      <c r="BR46" s="917">
        <f t="array" aca="1" ref="BR46" ca="1">SUM((I$4:I$49=AY46)*(N$4:N$49=BR45)*(K$4:K$49&lt;&gt;"")*(L$4:L$49&lt;&gt;"")*(K$4:K$49&gt;L$4:L$49)*3,(N$4:N$49=AY46)*(I$4:I$49=BR45)*(K$4:K$49&lt;&gt;"")*(L$4:L$49&lt;&gt;"")*(K$4:K$49=L$4:L$49)*1,(N$4:N$49=AY46)*(I$4:I$49=BR45)*(K$4:K$49&lt;&gt;"")*(L$4:L$49&lt;&gt;"")*(K$4:K$49&lt;L$4:L$49)*3,(I$4:I$49=AY46)*(N$4:N$49=BR45)*(K$4:K$49&lt;&gt;"")*(L$4:L$49&lt;&gt;"")*(K$4:K$49=L$4:L$49)*1)</f>
        <v>0</v>
      </c>
      <c r="BS46" s="917">
        <f t="array" aca="1" ref="BS46" ca="1">SUM((I$4:I$49=AY46)*(N$4:N$49=BS45)*(K$4:K$49&lt;&gt;"")*(L$4:L$49&lt;&gt;"")*(K$4:K$49&gt;L$4:L$49)*3,(N$4:N$49=AY46)*(I$4:I$49=BS45)*(K$4:K$49&lt;&gt;"")*(L$4:L$49&lt;&gt;"")*(K$4:K$49=L$4:L$49)*1,(N$4:N$49=AY46)*(I$4:I$49=BS45)*(K$4:K$49&lt;&gt;"")*(L$4:L$49&lt;&gt;"")*(K$4:K$49&lt;L$4:L$49)*3,(I$4:I$49=AY46)*(N$4:N$49=BS45)*(K$4:K$49&lt;&gt;"")*(L$4:L$49&lt;&gt;"")*(K$4:K$49=L$4:L$49)*1)</f>
        <v>1</v>
      </c>
      <c r="BT46" s="911">
        <v>1</v>
      </c>
      <c r="BU46" s="911">
        <f ca="1">RANK(BW46,$BW$46:$BW$49)</f>
        <v>3</v>
      </c>
      <c r="BV46" s="911" t="str">
        <f ca="1">A45</f>
        <v>Bélgica</v>
      </c>
      <c r="BW46" s="911">
        <f t="shared" ref="BW46" ca="1" si="33">AR46</f>
        <v>4440210499.79</v>
      </c>
      <c r="BX46" s="911" t="str">
        <f ca="1">VLOOKUP(Q46,$AH$46:$AI$49,2,0)</f>
        <v>Marruecos</v>
      </c>
      <c r="BY46" s="911">
        <f ca="1">VLOOKUP($BX46,$AI$46:$AR$49,10,FALSE)</f>
        <v>7796210499.7700005</v>
      </c>
      <c r="CA46" s="911">
        <v>1</v>
      </c>
      <c r="CB46" s="911" t="str">
        <f ca="1">VLOOKUP(CA46,$AH$46:$AI$49,2,0)</f>
        <v>Marruecos</v>
      </c>
      <c r="CC46" s="911">
        <f ca="1">VLOOKUP(CB46,$AI$46:$AR$49,2,FALSE)</f>
        <v>7</v>
      </c>
      <c r="CD46" s="918">
        <f ca="1">IF(SUM($AK$46:$AK$49)=12,MIN(ABS(BY45-BY46),ABS(BY46-BY47)),100)</f>
        <v>2222000000.0100002</v>
      </c>
      <c r="CE46" s="911">
        <f ca="1">VLOOKUP($CB46,$AI$46:$AR$49,9,FALSE)</f>
        <v>3</v>
      </c>
      <c r="CF46" s="911">
        <f ca="1">VLOOKUP($CB46,$AI$46:$AR$49,7,FALSE)</f>
        <v>4</v>
      </c>
      <c r="CH46" s="911">
        <f t="array" aca="1" ref="CH46" ca="1">IF($CI$46=$CL$45,$EC$45:$EC$48,IF($CI$46=$CM$45,$ED$45:$ED$47,IF(OR($CI$46=$CN$45,$CI$46=$CO$45),$EE$45:$EE$46,$EI$45)))</f>
        <v>1</v>
      </c>
      <c r="CI46" s="909" t="str">
        <f ca="1">IFERROR(HLOOKUP(4,CL44:DI45,2,0),CS45)</f>
        <v>COM_8</v>
      </c>
      <c r="CK46" s="909">
        <v>1</v>
      </c>
      <c r="CL46" s="909">
        <f t="array" aca="1" ref="CL46" ca="1">IF(AND($CC$46:$CC$49=$CC$46,$CD$46:$CD$49&lt;90,$AQ$46:$AQ$49=$AQ$46,$CF$46:$CF$49=$CF$46),1,0)</f>
        <v>0</v>
      </c>
      <c r="CM46" s="909">
        <f t="array" aca="1" ref="CM46" ca="1">IF(AND($CC$46:$CC$48=$CC$46,$CD$46:$CD$48&lt;90,$CC$46&lt;&gt;$CC$49),1,0)</f>
        <v>0</v>
      </c>
      <c r="CN46" s="909">
        <f t="array" aca="1" ref="CN46" ca="1">IF(AND($CC$46:$CC$47=$CC$46,$CD$46:$CD$47&lt;90,$CC$46&lt;&gt;$CC$48),1,0)</f>
        <v>0</v>
      </c>
      <c r="CO46" s="909">
        <f t="array" aca="1" ref="CO46" ca="1">IF(AND($CC$46:$CC$47=$CC$46,$CD$46:$CD$47&lt;90,$CC$46&lt;&gt;$CC$48),1,0)</f>
        <v>0</v>
      </c>
      <c r="CP46" s="909">
        <f t="array" aca="1" ref="CP46" ca="1">IF(AND($CC$47:$CC$49=$CC$47,$CD$47:$CD$49&lt;90,$CC$46&lt;&gt;$CC$47),1,0)</f>
        <v>0</v>
      </c>
      <c r="CQ46" s="909">
        <f t="array" aca="1" ref="CQ46" ca="1">IF(AND($CC$46&lt;&gt;$CC$47,$CC$46&lt;&gt;$CC$49),1,0)</f>
        <v>1</v>
      </c>
      <c r="CR46" s="909">
        <f t="array" aca="1" ref="CR46" ca="1">IF(AND($CC$46&lt;&gt;$CC$47,$CC$46&lt;&gt;$CC$49),1,0)</f>
        <v>1</v>
      </c>
      <c r="CS46" s="909">
        <f t="array" aca="1" ref="CS46" ca="1">IF(AND($CC$46&lt;&gt;$CC$47,$CC$46&lt;&gt;$CC$49),1,0)</f>
        <v>1</v>
      </c>
      <c r="CT46" s="909">
        <f ca="1">IF(AND($CC$46:$CC$49=$CC$46,$CD$46:$CD$49&lt;90,$CE$46:$CE$47=$CE$46,$CE$46&lt;&gt;$CE$48),1,0)</f>
        <v>0</v>
      </c>
      <c r="CU46" s="909">
        <f t="array" aca="1" ref="CU46" ca="1">IF(AND($CC$46:$CC$49=$CC$46,$CD$46:$CD$49&lt;90,$CE$46:$CE$49=$CE$46,$CF$46=$CF$47,$CF$46&lt;&gt;$CF$48),1,0)</f>
        <v>0</v>
      </c>
      <c r="CV46" s="909">
        <f t="array" aca="1" ref="CV46" ca="1">IF(AND($CC$46:$CC$48=$CC$46,$CD$46:$CD$47&lt;90,$CD$48&gt;90),1,0)</f>
        <v>0</v>
      </c>
      <c r="CW46" s="909">
        <f t="array" aca="1" ref="CW46" ca="1">IF(AND($CC$46&lt;&gt;$CC$47,$CC$46&lt;&gt;$CC$48),1,0)</f>
        <v>1</v>
      </c>
      <c r="CX46" s="909">
        <f t="array" aca="1" ref="CX46" ca="1">IF(AND($CC$46&lt;&gt;$CC$47,$CC$46&lt;&gt;$CC$48),1,0)</f>
        <v>1</v>
      </c>
      <c r="CY46" s="909">
        <f t="array" aca="1" ref="CY46" ca="1">IF(AND($CC$46&lt;&gt;$CC$49,$CC$46:$CC$48=$CC$46,$CD$46&gt;90,$CD$47:$CD$48&lt;90),1,0)</f>
        <v>0</v>
      </c>
      <c r="CZ46" s="909">
        <f t="array" aca="1" ref="CZ46" ca="1">IF(AND($CC$46:$CC$49=$CC$46,$CD$47:$CD$49&lt;90,$CD$46&lt;&gt;$CD$47),1,0)</f>
        <v>0</v>
      </c>
      <c r="DA46" s="909">
        <f t="array" aca="1" ref="DA46" ca="1">IF(AND($CC$46:$CC$49=$CC$46,$CD$46:$CD$48&lt;90,$CD$46&lt;&gt;$CD$49),1,0)</f>
        <v>0</v>
      </c>
      <c r="DB46" s="909">
        <f t="array" aca="1" ref="DB46" ca="1">IF(AND($CC$46:$CC$49=$CC$46,$CD$46:$CD$47&gt;90,$CD$48:$CD$49&lt;90,$CE$46:$CE$49=$CE$46,$CF$46&gt;$CF$47,$CF$46&gt;$CF$48,$CF$46&gt;$CF$49),1,0)</f>
        <v>0</v>
      </c>
      <c r="DC46" s="909">
        <f t="array" aca="1" ref="DC46" ca="1">IF(AND($CC$46:$CC$49=$CC$46,$CD$46&gt;90,$CD$47:$CD$48&lt;90,$CD$49&gt;90,$CE$46:$CE$49=$CE$46,$CF$46&gt;$CF$47,$CF$46&gt;$CF$48,$CF$46&gt;$CF$49),1,0)</f>
        <v>0</v>
      </c>
      <c r="DD46" s="909">
        <f t="array" aca="1" ref="DD46" ca="1">IF(AND($CC$46:$CC$49=$CC$46,$CD$46:$CD$47&lt;90,$CD$48:$CD$49&gt;90,$CE$46:$CE$49=$CE$46,$CF$46=$CF$47,$CF$46&gt;$CF$48,$CF$46&gt;$CF$49),1,0)</f>
        <v>0</v>
      </c>
      <c r="DE46" s="909">
        <f t="array" aca="1" ref="DE46" ca="1">IF(AND($CC$46:$CC$49=$CC$46,$CD$46:$CD$47&gt;90,$CD$48:$CD$49&lt;90,$CE$46:$CE$49=$CE$46,$CF$46&gt;$CF$47,$CF$47:$CF$49=$CF$47),1,0)</f>
        <v>0</v>
      </c>
      <c r="DF46" s="909">
        <f t="array" aca="1" ref="DF46" ca="1">IF(AND($CC$46:$CC$49=$CC$46,$CD$46:$CD$47&lt;90,$CD$48:$CD$49&gt;90,$CE$46:$CE$49=$CE$46,$CF$46:$CF$48=$CF$46,$CF$46&gt;$CF$49),1,0)</f>
        <v>0</v>
      </c>
      <c r="DG46" s="909">
        <f t="array" aca="1" ref="DG46" ca="1">IF(AND($CC$46:$CC$49=$CC$46,$CD$46&gt;90,$CD$49&gt;90,$CD$47:$CD$48&lt;90,$CE$46:$CE$49=$CE$46,$CF$46&gt;$CF$47:$CF$49),1,0)</f>
        <v>0</v>
      </c>
      <c r="EC46" s="911">
        <v>2</v>
      </c>
      <c r="ED46" s="911">
        <v>2</v>
      </c>
      <c r="EE46" s="911">
        <v>2</v>
      </c>
      <c r="EF46" s="911">
        <v>3</v>
      </c>
      <c r="EG46" s="911">
        <v>4</v>
      </c>
      <c r="EH46" s="911">
        <v>3</v>
      </c>
      <c r="EI46" s="911"/>
      <c r="EJ46" s="911"/>
      <c r="EK46" s="911"/>
      <c r="EL46" s="911"/>
      <c r="FI46" s="917"/>
      <c r="FK46" s="917"/>
      <c r="FM46" s="917"/>
    </row>
    <row r="47" spans="1:169">
      <c r="A47" s="871" t="str">
        <f t="array" aca="1" ref="A47" ca="1">IF(ROWS(A$45:A47)&lt;=$C$44,INDEX(INDIRECT(A$44),SMALL(IF(Nivell=$B$44,ROW(Nivell)-ROW(Equipos!$C$2)+1),ROWS(B$44:B46))),"")</f>
        <v>Marruecos</v>
      </c>
      <c r="B47" s="872"/>
      <c r="C47" s="857"/>
      <c r="D47" s="152"/>
      <c r="E47" s="980"/>
      <c r="F47" s="379">
        <f>Horarios!C47</f>
        <v>44892.791666666664</v>
      </c>
      <c r="G47" s="380">
        <f>Horarios!C47</f>
        <v>44892.791666666664</v>
      </c>
      <c r="H47" s="379" t="s">
        <v>70</v>
      </c>
      <c r="I47" s="381" t="str">
        <f ca="1">A48</f>
        <v>Croacia</v>
      </c>
      <c r="J47" s="382" t="str">
        <f ca="1">VLOOKUP(I47,Equipos!$H$2:$I$33,2,0)</f>
        <v>🇭🇷</v>
      </c>
      <c r="K47" s="394">
        <v>4</v>
      </c>
      <c r="L47" s="394">
        <v>1</v>
      </c>
      <c r="M47" s="389" t="str">
        <f ca="1">VLOOKUP(N47,Equipos!$H$2:$I$33,2,0)</f>
        <v>🇨🇦</v>
      </c>
      <c r="N47" s="390" t="str">
        <f ca="1">A46</f>
        <v>Canadá</v>
      </c>
      <c r="O47" s="347">
        <f t="shared" si="31"/>
        <v>1</v>
      </c>
      <c r="P47" s="82"/>
      <c r="Q47" s="365">
        <v>2</v>
      </c>
      <c r="R47" s="5" t="str">
        <f ca="1">VLOOKUP(Q47,$AG$46:$AI$49,3,0)</f>
        <v>Croacia</v>
      </c>
      <c r="S47" s="4">
        <f ca="1">VLOOKUP(R47,$AI$46:$AR$49,2,FALSE)</f>
        <v>5</v>
      </c>
      <c r="T47" s="4">
        <f ca="1">VLOOKUP($R47,$AI$46:$AR$49,3,FALSE)</f>
        <v>3</v>
      </c>
      <c r="U47" s="4">
        <f ca="1">VLOOKUP($R47,$AI$46:$AR$49,4,FALSE)</f>
        <v>1</v>
      </c>
      <c r="V47" s="4">
        <f ca="1">VLOOKUP($R47,$AI$46:$AR$49,5,FALSE)</f>
        <v>2</v>
      </c>
      <c r="W47" s="4">
        <f ca="1">VLOOKUP($R47,$AI$46:$AR$49,6,FALSE)</f>
        <v>0</v>
      </c>
      <c r="X47" s="4">
        <f ca="1">VLOOKUP($R47,$AI$46:$AR$49,7,FALSE)</f>
        <v>4</v>
      </c>
      <c r="Y47" s="4">
        <f ca="1">VLOOKUP($R47,$AI$46:$AR$49,8,FALSE)</f>
        <v>1</v>
      </c>
      <c r="Z47" s="366">
        <f ca="1">VLOOKUP($R47,$AI$46:$AR$49,9,FALSE)</f>
        <v>3</v>
      </c>
      <c r="AA47" s="357">
        <f ca="1">IF(SUM($AK$46:$AK$49)=12,MIN(ABS(BY46-BY47),ABS(BY47-BY48)),100)</f>
        <v>1133999999.9700003</v>
      </c>
      <c r="AB47" s="94" t="str">
        <f ca="1">IF(AND(AA47&gt;=0,AA47&lt;90),VLOOKUP(Q47,$BU$46:$BV$49,2,0),"")</f>
        <v/>
      </c>
      <c r="AC47" s="73"/>
      <c r="AD47" s="74"/>
      <c r="AE47" s="328"/>
      <c r="AF47" s="910">
        <f ca="1">VLOOKUP($R47,$AI$46:$AR$49,10,FALSE)</f>
        <v>5574210499.7600002</v>
      </c>
      <c r="AG47" s="909">
        <f ca="1">RANK(AU47,$AU$46:$AU$49)</f>
        <v>4</v>
      </c>
      <c r="AH47" s="909">
        <f ca="1">RANK(AR47,$AR$46:$AR$49)</f>
        <v>4</v>
      </c>
      <c r="AI47" s="911" t="str">
        <f ca="1">A46</f>
        <v>Canadá</v>
      </c>
      <c r="AJ47" s="909">
        <f ca="1">AL47*3+AM47*1+AN47*0</f>
        <v>0</v>
      </c>
      <c r="AK47" s="909">
        <f ca="1">COUNTIFS($I$4:$I$65,AI47,$K$4:$K$65,"&lt;&gt;",$L$4:$L$65,"&lt;&gt;")+COUNTIFS($N$4:$N$65,AI47,$L$4:$L$65,"&lt;&gt;",$K$4:$K$65,"&lt;&gt;")</f>
        <v>3</v>
      </c>
      <c r="AL47" s="909">
        <f t="array" aca="1" ref="AL47" ca="1">SUM(($I$4:$I$65=AI47)*($K$4:$K$65&lt;&gt;"")*($L$4:$L$65&lt;&gt;"")*($K$4:$K$65&gt;$L$4:$L$65),($N$4:$N$65=AI47)*($K$4:$K$65&lt;&gt;"")*($L$4:$L$65&lt;&gt;"")*($K$4:$K$65&lt;$L$4:$L$65))</f>
        <v>0</v>
      </c>
      <c r="AM47" s="909">
        <f t="array" aca="1" ref="AM47" ca="1">SUM(($I$4:$I$65=AI47)*($K$4:$K$65&lt;&gt;"")*($L$4:$L$65&lt;&gt;"")*($K$4:$K$65=$L$4:$L$65),($N$4:$N$65=AI47)*($K$4:$K$65&lt;&gt;"")*($L$4:$L$65&lt;&gt;"")*($K$4:$K$65=$L$4:$L$65))</f>
        <v>0</v>
      </c>
      <c r="AN47" s="909">
        <f t="array" aca="1" ref="AN47" ca="1">SUM(($I$4:$I$65=AI47)*($L$4:$L$65&lt;&gt;"")*($K$4:$K$65&lt;&gt;"")*($K$4:$K$65&lt;$L$4:$L$65),($K$4:$K$65&lt;&gt;"")*($N$4:$N$65=AI47)*($L$4:$L$65&lt;&gt;"")*($K$4:$K$65&gt;$L$4:$L$65))</f>
        <v>3</v>
      </c>
      <c r="AO47" s="909">
        <f t="array" aca="1" ref="AO47" ca="1">SUMIFS($K$4:$K$65,$I$4:$I$65,AI47,$K$4:$K$65,"&lt;&gt;",$L$4:$L$65,"&lt;&gt;")+SUMIFS($L$4:$L$65,$N$4:$N$65,AI47,$K$4:$K$65,"&lt;&gt;",$L$4:$L$65,"&lt;&gt;")</f>
        <v>2</v>
      </c>
      <c r="AP47" s="909">
        <f t="array" aca="1" ref="AP47" ca="1">SUMIFS($K$4:$K$65,$N$4:$N$65,AI47,$K$4:$K$65,"&lt;&gt;",$L$4:$L$65,"&lt;&gt;")+SUMIFS($L$4:$L$65,$I$4:$I$65,AI47,$K$4:$K$65,"&lt;&gt;",$L$4:$L$65,"&lt;&gt;")</f>
        <v>7</v>
      </c>
      <c r="AQ47" s="909">
        <f ca="1">AO47-AP47</f>
        <v>-5</v>
      </c>
      <c r="AR47" s="909">
        <f ca="1">IF(AK47=0,-($AW$11*VLOOKUP(AI47,Tabla3[[NombreEquipo]:[Rank]],3,FALSE)),AJ47*$AW$4+AQ47*$AW$5+AO47*$AW$6+BA47-($AW$11*VLOOKUP(AI47,Tabla3[[NombreEquipo]:[Rank]],3,FALSE)/100))</f>
        <v>-22789500.219999999</v>
      </c>
      <c r="AS47" s="909">
        <f ca="1">AH47</f>
        <v>4</v>
      </c>
      <c r="AT47" s="909"/>
      <c r="AU47" s="909">
        <f ca="1">IFERROR(AR47-VLOOKUP(AI47,$AB$46:$AC$49,2,0),AR47)</f>
        <v>-22789500.219999999</v>
      </c>
      <c r="AV47" s="909"/>
      <c r="AW47" s="912"/>
      <c r="AX47" s="909"/>
      <c r="AY47" s="916" t="str">
        <f ca="1">AI47</f>
        <v>Canadá</v>
      </c>
      <c r="AZ47" s="909">
        <f ca="1">COUNTIF(AJ46:AJ49,AJ47)</f>
        <v>1</v>
      </c>
      <c r="BA47" s="909">
        <f t="shared" ca="1" si="32"/>
        <v>210500</v>
      </c>
      <c r="BB47" s="917">
        <f ca="1">RANK(BC47,BC46:BC49,1)</f>
        <v>1</v>
      </c>
      <c r="BC47" s="917">
        <f ca="1">SUM(IF(AND(AJ47=AJ48,AQ47=AQ48,AO47=AO48),BF47,0),IF(AND(AJ47=AJ49,AQ47=AQ49,AO47=AO49),BG47,0),IF(AND(AJ47=AJ46,AQ47=AQ46,AO47=AO46),BD47,0))</f>
        <v>0</v>
      </c>
      <c r="BD47" s="917">
        <f t="array" aca="1" ref="BD47" ca="1">SUMIFS($K$44:$K$49,$I$44:$I$49,$AY47,$K$44:$K$49,"&lt;&gt;",$L$44:$L$49,"&lt;&gt;",$N$44:$N$49,BD45)+SUMIFS($L$44:$L$49,$I$44:$I$49,BD45,$K$44:$K$49,"&lt;&gt;",$L$44:$L$49,"&lt;&gt;",$N$44:$N$49,$AY47)</f>
        <v>0</v>
      </c>
      <c r="BE47" s="917">
        <v>0</v>
      </c>
      <c r="BF47" s="917">
        <f t="array" aca="1" ref="BF47" ca="1">SUMIFS($K$44:$K$49,$I$44:$I$49,$AY47,$K$44:$K$49,"&lt;&gt;",$L$44:$L$49,"&lt;&gt;",$N$44:$N$49,BF45)+SUMIFS($L$44:$L$49,$I$44:$I$49,BF45,$K$44:$K$49,"&lt;&gt;",$L$44:$L$49,"&lt;&gt;",$N$44:$N$49,$AY47)</f>
        <v>1</v>
      </c>
      <c r="BG47" s="917">
        <f t="array" aca="1" ref="BG47" ca="1">SUMIFS($K$44:$K$49,$I$44:$I$49,$AY47,$K$44:$K$49,"&lt;&gt;",$L$44:$L$49,"&lt;&gt;",$N$44:$N$49,BG45)+SUMIFS($L$44:$L$49,$I$44:$I$49,BG45,$K$44:$K$49,"&lt;&gt;",$L$44:$L$49,"&lt;&gt;",$N$44:$N$49,$AY47)</f>
        <v>1</v>
      </c>
      <c r="BH47" s="917">
        <f ca="1">RANK(BI47,BI46:BI49,1)</f>
        <v>1</v>
      </c>
      <c r="BI47" s="917">
        <f ca="1">SUM(IF(AND(AJ47=AJ48,AQ47=AQ48,AO47=AO48),BL47,0),IF(AND(AJ47=AJ49,AQ47=AQ49,AO47=AO49),BM47,0),IF(AND(AJ47=AJ46,AQ47=AQ46,AO47=AO46),BJ47,0))</f>
        <v>0</v>
      </c>
      <c r="BJ47" s="917">
        <f ca="1">BD47-BE46</f>
        <v>-1</v>
      </c>
      <c r="BK47" s="917">
        <v>0</v>
      </c>
      <c r="BL47" s="917">
        <f ca="1">BF47-BE48</f>
        <v>-1</v>
      </c>
      <c r="BM47" s="917">
        <f ca="1">BG47-BE49</f>
        <v>-3</v>
      </c>
      <c r="BN47" s="917">
        <f ca="1">RANK(BO47,BO46:BO49,1)</f>
        <v>1</v>
      </c>
      <c r="BO47" s="917">
        <f ca="1">SUM(IF(AND(AJ47=AJ48,AQ47=AQ48,AO47=AO48),BR47,0),IF(AND(AJ47=AJ49,AQ47=AQ49,AO47=AO49),BS47,0),IF(AND(AJ47=AJ46,AQ47=AQ46,AO47=AO46),BP47,0))</f>
        <v>0</v>
      </c>
      <c r="BP47" s="917">
        <f t="array" aca="1" ref="BP47" ca="1">SUM((I$4:I$49=AY47)*(N$4:N$49=BP45)*(K$4:K$49&lt;&gt;"")*(L$4:L$49&lt;&gt;"")*(K$4:K$49&gt;L$4:L$49)*3,(N$4:N$49=AY47)*(I$4:I$49=BP45)*(K$4:K$49&lt;&gt;"")*(L$4:L$49&lt;&gt;"")*(K$4:K$49=L$4:L$49)*1,(N$4:N$49=AY47)*(I$4:I$49=BP45)*(K$4:K$49&lt;&gt;"")*(L$4:L$49&lt;&gt;"")*(K$4:K$49&lt;L$4:L$49)*3,(I$4:I$49=AY47)*(N$4:N$49=BP45)*(K$4:K$49&lt;&gt;"")*(L$4:L$49&lt;&gt;"")*(K$4:K$49=L$4:L$49)*1)</f>
        <v>0</v>
      </c>
      <c r="BQ47" s="917">
        <v>0</v>
      </c>
      <c r="BR47" s="917">
        <f t="array" aca="1" ref="BR47" ca="1">SUM((I$4:I$49=AY47)*(N$4:N$49=BR45)*(K$4:K$49&lt;&gt;"")*(L$4:L$49&lt;&gt;"")*(K$4:K$49&gt;L$4:L$49)*3,(N$4:N$49=AY47)*(I$4:I$49=BR45)*(K$4:K$49&lt;&gt;"")*(L$4:L$49&lt;&gt;"")*(K$4:K$49=L$4:L$49)*1,(N$4:N$49=AY47)*(I$4:I$49=BR45)*(K$4:K$49&lt;&gt;"")*(L$4:L$49&lt;&gt;"")*(K$4:K$49&lt;L$4:L$49)*3,(I$4:I$49=AY47)*(N$4:N$49=BR45)*(K$4:K$49&lt;&gt;"")*(L$4:L$49&lt;&gt;"")*(K$4:K$49=L$4:L$49)*1)</f>
        <v>0</v>
      </c>
      <c r="BS47" s="917">
        <f t="array" aca="1" ref="BS47" ca="1">SUM((I$4:I$49=AY47)*(N$4:N$49=BS45)*(K$4:K$49&lt;&gt;"")*(L$4:L$49&lt;&gt;"")*(K$4:K$49&gt;L$4:L$49)*3,(N$4:N$49=AY47)*(I$4:I$49=BS45)*(K$4:K$49&lt;&gt;"")*(L$4:L$49&lt;&gt;"")*(K$4:K$49=L$4:L$49)*1,(N$4:N$49=AY47)*(I$4:I$49=BS45)*(K$4:K$49&lt;&gt;"")*(L$4:L$49&lt;&gt;"")*(K$4:K$49&lt;L$4:L$49)*3,(I$4:I$49=AY47)*(N$4:N$49=BS45)*(K$4:K$49&lt;&gt;"")*(L$4:L$49&lt;&gt;"")*(K$4:K$49=L$4:L$49)*1)</f>
        <v>0</v>
      </c>
      <c r="BT47" s="911">
        <v>2</v>
      </c>
      <c r="BU47" s="911">
        <f ca="1">RANK(BW47,$BW$46:$BW$49)</f>
        <v>4</v>
      </c>
      <c r="BV47" s="911" t="str">
        <f ca="1">A46</f>
        <v>Canadá</v>
      </c>
      <c r="BW47" s="911">
        <f t="shared" ca="1" si="9"/>
        <v>-22789500.219999999</v>
      </c>
      <c r="BX47" s="911" t="str">
        <f ca="1">VLOOKUP(Q47,$AH$46:$AI$49,2,0)</f>
        <v>Croacia</v>
      </c>
      <c r="BY47" s="911">
        <f ca="1">VLOOKUP($BX47,$AI$46:$AR$49,10,FALSE)</f>
        <v>5574210499.7600002</v>
      </c>
      <c r="CA47" s="911">
        <v>2</v>
      </c>
      <c r="CB47" s="911" t="str">
        <f ca="1">VLOOKUP(CA47,$AH$46:$AI$49,2,0)</f>
        <v>Croacia</v>
      </c>
      <c r="CC47" s="911">
        <f ca="1">VLOOKUP(CB47,$AI$46:$AR$49,2,FALSE)</f>
        <v>5</v>
      </c>
      <c r="CD47" s="918">
        <f ca="1">IF(SUM($AK$46:$AK$49)=12,MIN(ABS(BY46-BY47),ABS(BY47-BY48)),100)</f>
        <v>1133999999.9700003</v>
      </c>
      <c r="CE47" s="911">
        <f ca="1">VLOOKUP($CB47,$AI$46:$AR$49,9,FALSE)</f>
        <v>3</v>
      </c>
      <c r="CF47" s="911">
        <f ca="1">VLOOKUP($CB47,$AI$46:$AR$49,7,FALSE)</f>
        <v>4</v>
      </c>
      <c r="CH47" s="911">
        <f t="array" aca="1" ref="CH47" ca="1">IF($CI$46=$CL$45,$EC$45:$EC$48,IF($CI$46=$CM$45,$ED$45:$ED$47,IF(OR($CI$46=$CN$45,$CI$46=$CO$45),$EE$45:$EE$46,IF($CI$46=$CP$45,$EF$45:$EF$47,(IF($CI$46=$CQ$45,$EH$45:$EH$46,$EJ$45))))))</f>
        <v>2</v>
      </c>
      <c r="CK47" s="909">
        <v>2</v>
      </c>
      <c r="CL47" s="909">
        <f t="array" aca="1" ref="CL47" ca="1">IF(AND($CC$46:$CC$49=$CC$47,$CD$46:$CD$49&lt;90,$AQ$46:$AQ$49=$AQ$47,$CF$46:$CF$49=$CF$47),1,0)</f>
        <v>0</v>
      </c>
      <c r="CM47" s="909">
        <f t="array" aca="1" ref="CM47" ca="1">IF(AND($CC$46:$CC$48=$CC$47,$CD$46:$CD$48&lt;90,$CC$47&lt;&gt;$CC$49),1,0)</f>
        <v>0</v>
      </c>
      <c r="CN47" s="909">
        <f t="array" aca="1" ref="CN47" ca="1">IF(AND($CC$46:$CC$47=$CC$46,$CD$46:$CD$47&lt;90,$CC$46&lt;&gt;$CC$48),1,0)</f>
        <v>0</v>
      </c>
      <c r="CO47" s="909">
        <f t="array" aca="1" ref="CO47" ca="1">IF(AND($CC$46:$CC$47=$CC$46,$CD$46:$CD$47&lt;90,$CC$46&lt;&gt;$CC$48),1,0)</f>
        <v>0</v>
      </c>
      <c r="CP47" s="909">
        <f t="array" aca="1" ref="CP47" ca="1">IF(AND($CC$47:$CC$49=$CC$47,$CD$47:$CD$49&lt;90,$CC$46&lt;&gt;$CC$47),1,0)</f>
        <v>0</v>
      </c>
      <c r="CQ47" s="909">
        <f t="array" aca="1" ref="CQ47" ca="1">IF(AND($CC$47:$CC$48=$CC$47,$CD$47:$CD$48&lt;90,$CC$47&lt;&gt;$CC$46,$CC$47&lt;&gt;$CC$49),1,0)</f>
        <v>0</v>
      </c>
      <c r="CR47" s="909">
        <f t="array" aca="1" ref="CR47" ca="1">IF(AND($CC$47&lt;&gt;$CC$46,$CC$47&lt;&gt;$CC$48),1,0)</f>
        <v>1</v>
      </c>
      <c r="CS47" s="909">
        <f t="array" aca="1" ref="CS47" ca="1">IF(AND($CC$47&lt;&gt;$CC$46,$CC$47&lt;&gt;$CC$48),1,0)</f>
        <v>1</v>
      </c>
      <c r="CT47" s="909">
        <f t="array" aca="1" ref="CT47" ca="1">IF(AND($CC$46:$CC$49=$CC$46,$CD$46:$CD$49&lt;90,$CE$46:$CE$47=$CE$46,$CE$47&lt;&gt;$CE$48),1,0)</f>
        <v>0</v>
      </c>
      <c r="CU47" s="909">
        <f t="array" aca="1" ref="CU47" ca="1">IF(AND($CC$46:$CC$49=$CC$46,$CD$46:$CD$49&lt;90,$CE$46:$CE$49=$CE$46,$CF$46=$CF$47,$CF$47&lt;&gt;$CF$48),1,0)</f>
        <v>0</v>
      </c>
      <c r="CV47" s="909">
        <f t="array" aca="1" ref="CV47" ca="1">IF(AND($CC$46:$CC$48=$CC$47,$CD$46:$CD$47&lt;90,$CD$48&gt;90),1,0)</f>
        <v>0</v>
      </c>
      <c r="CW47" s="909">
        <f t="array" aca="1" ref="CW47" ca="1">IF(AND($CC$47&lt;&gt;$CC$46,$CC$47:$CC$49=$CC$47,$CD$47&gt;90,$CD$48:$CD$49&lt;90),1,0)</f>
        <v>0</v>
      </c>
      <c r="CX47" s="909">
        <f t="array" aca="1" ref="CX47" ca="1">IF(AND($CC$47&lt;&gt;$CC$46,$CC$47:$CC$49=$CC$47,$CD$49&gt;90,$CD$47:$CD$48&lt;90),1,0)</f>
        <v>0</v>
      </c>
      <c r="CY47" s="909">
        <f t="array" aca="1" ref="CY47" ca="1">IF(AND($CC$47&lt;&gt;$CC$49,$CC$46:$CC$48=$CC$47,$CD$46&gt;90,$CD$47:$CD$48&lt;90),1,0)</f>
        <v>0</v>
      </c>
      <c r="CZ47" s="909">
        <f t="array" aca="1" ref="CZ47" ca="1">IF(AND($CC$46:$CC$49=$CC$47,$CD$47:$CD$49&lt;90,$CD$46&lt;&gt;$CD$47),1,0)</f>
        <v>0</v>
      </c>
      <c r="DA47" s="909">
        <f t="array" aca="1" ref="DA47" ca="1">IF(AND($CC$46:$CC$49=$CC$47,$CD$46:$CD$48&lt;90,$CD$47&lt;&gt;$CD$49),1,0)</f>
        <v>0</v>
      </c>
      <c r="DB47" s="909">
        <f t="array" aca="1" ref="DB47" ca="1">IF(AND($CC$46:$CC$49=$CC$47,$CD$46:$CD$47&gt;90,$CD$48:$CD$49&lt;90,$CE$46:$CE$49=$CE$47,$CF$46&gt;$CF$47,$CF$47&gt;$CF$48,$CF$47&gt;$CF$49),1,0)</f>
        <v>0</v>
      </c>
      <c r="DC47" s="909">
        <f t="array" aca="1" ref="DC47" ca="1">IF(AND($CC$46:$CC$49=$CC$47,$CD$46&gt;90,$CD$47:$CD$48&lt;90,$CD$49&gt;90,$CE$46:$CE$49=$CE$47,$CF$46&gt;$CF$47,$CF$47=$CF$48,$CF$47&gt;$CF$49),1,0)</f>
        <v>0</v>
      </c>
      <c r="DD47" s="909">
        <f t="array" aca="1" ref="DD47" ca="1">IF(AND($CC$46:$CC$49=$CC$47,$CD$46:$CD$47&lt;90,$CD$48:$CD$49&gt;90,$CE$46:$CE$49=$CE$47,$CF$46=$CF$47,$CF$47&gt;$CF$48,$CF$47&gt;$CF$49),1,0)</f>
        <v>0</v>
      </c>
      <c r="DE47" s="909">
        <f t="array" aca="1" ref="DE47" ca="1">IF(AND($CC$46:$CC$49=$CC$47,$CD$46:$CD$47&gt;90,$CD$48:$CD$49&lt;90,$CE$46:$CE$49=$CE$47,$CF$46&gt;$CF$47,$CF$47:$CF$49=$CF$47),1,0)</f>
        <v>0</v>
      </c>
      <c r="DF47" s="909">
        <f t="array" aca="1" ref="DF47" ca="1">IF(AND($CC$46:$CC$49=$CC$47,$CD$46:$CD$47&lt;90,$CD$48:$CD$49&gt;90,$CE$46:$CE$49=$CE$47,$CF$46:$CF$48=$CF$47,$CF$47&gt;$CF$49),1,0)</f>
        <v>0</v>
      </c>
      <c r="DG47" s="909">
        <f t="array" aca="1" ref="DG47" ca="1">IF(AND($CC$46:$CC$49=$CC$47,$CD$46&gt;90,$CD$49&gt;90,$CD$47:$CD$48&lt;90,$CE$46:$CE$49=$CE$47,$CF$46&gt;$CF$47:$CF$49,$CF$47:$CF$49=$CF$47),1,0)</f>
        <v>0</v>
      </c>
      <c r="EC47" s="911">
        <v>3</v>
      </c>
      <c r="ED47" s="911">
        <v>3</v>
      </c>
      <c r="EE47" s="911"/>
      <c r="EF47" s="911">
        <v>4</v>
      </c>
      <c r="EG47" s="911"/>
      <c r="EH47" s="911"/>
      <c r="EI47" s="911"/>
      <c r="EJ47" s="911"/>
      <c r="EK47" s="911"/>
      <c r="EL47" s="911"/>
      <c r="FI47" s="917"/>
      <c r="FK47" s="917"/>
      <c r="FM47" s="917"/>
    </row>
    <row r="48" spans="1:169">
      <c r="A48" s="871" t="str">
        <f t="array" aca="1" ref="A48" ca="1">IF(ROWS(A$45:A48)&lt;=$C$44,INDEX(INDIRECT(A$44),SMALL(IF(Nivell=$B$44,ROW(Nivell)-ROW(Equipos!$C$2)+1),ROWS(B$44:B47))),"")</f>
        <v>Croacia</v>
      </c>
      <c r="B48" s="872"/>
      <c r="C48" s="857"/>
      <c r="D48" s="152"/>
      <c r="E48" s="980"/>
      <c r="F48" s="379">
        <f>Horarios!C48</f>
        <v>44896.75</v>
      </c>
      <c r="G48" s="380">
        <f>Horarios!C48</f>
        <v>44896.75</v>
      </c>
      <c r="H48" s="379" t="s">
        <v>71</v>
      </c>
      <c r="I48" s="381" t="str">
        <f ca="1">A48</f>
        <v>Croacia</v>
      </c>
      <c r="J48" s="382" t="str">
        <f ca="1">VLOOKUP(I48,Equipos!$H$2:$I$33,2,0)</f>
        <v>🇭🇷</v>
      </c>
      <c r="K48" s="394">
        <v>0</v>
      </c>
      <c r="L48" s="394">
        <v>0</v>
      </c>
      <c r="M48" s="389" t="str">
        <f ca="1">VLOOKUP(N48,Equipos!$H$2:$I$33,2,0)</f>
        <v>🇧🇪</v>
      </c>
      <c r="N48" s="390" t="str">
        <f ca="1">A45</f>
        <v>Bélgica</v>
      </c>
      <c r="O48" s="347">
        <f t="shared" si="31"/>
        <v>1</v>
      </c>
      <c r="P48" s="82"/>
      <c r="Q48" s="365">
        <v>3</v>
      </c>
      <c r="R48" s="5" t="str">
        <f ca="1">VLOOKUP(Q48,$AG$46:$AI$49,3,0)</f>
        <v>Bélgica</v>
      </c>
      <c r="S48" s="4">
        <f ca="1">VLOOKUP(R48,$AI$46:$AR$49,2,FALSE)</f>
        <v>4</v>
      </c>
      <c r="T48" s="4">
        <f ca="1">VLOOKUP($R48,$AI$46:$AR$49,3,FALSE)</f>
        <v>3</v>
      </c>
      <c r="U48" s="4">
        <f ca="1">VLOOKUP($R48,$AI$46:$AR$49,4,FALSE)</f>
        <v>1</v>
      </c>
      <c r="V48" s="4">
        <f ca="1">VLOOKUP($R48,$AI$46:$AR$49,5,FALSE)</f>
        <v>1</v>
      </c>
      <c r="W48" s="4">
        <f ca="1">VLOOKUP($R48,$AI$46:$AR$49,6,FALSE)</f>
        <v>1</v>
      </c>
      <c r="X48" s="4">
        <f ca="1">VLOOKUP($R48,$AI$46:$AR$49,7,FALSE)</f>
        <v>1</v>
      </c>
      <c r="Y48" s="4">
        <f ca="1">VLOOKUP($R48,$AI$46:$AR$49,8,FALSE)</f>
        <v>2</v>
      </c>
      <c r="Z48" s="366">
        <f ca="1">VLOOKUP($R48,$AI$46:$AR$49,9,FALSE)</f>
        <v>-1</v>
      </c>
      <c r="AA48" s="357">
        <f ca="1">IF(SUM($AK$46:$AK$49)=12,MIN(ABS(BY47-BY48),ABS(BY48-BY49)),100)</f>
        <v>1133999999.9700003</v>
      </c>
      <c r="AB48" s="94" t="str">
        <f ca="1">IF(AND(AA48&gt;=0,AA48&lt;90),VLOOKUP(Q48,$BU$46:$BV$49,2,0),"")</f>
        <v/>
      </c>
      <c r="AC48" s="73"/>
      <c r="AD48" s="74"/>
      <c r="AE48" s="328"/>
      <c r="AF48" s="910">
        <f ca="1">VLOOKUP($R48,$AI$46:$AR$49,10,FALSE)</f>
        <v>4440210499.79</v>
      </c>
      <c r="AG48" s="909">
        <f ca="1">RANK(AU48,$AU$46:$AU$49)</f>
        <v>1</v>
      </c>
      <c r="AH48" s="909">
        <f ca="1">RANK(AR48,$AR$46:$AR$49)</f>
        <v>1</v>
      </c>
      <c r="AI48" s="911" t="str">
        <f ca="1">A47</f>
        <v>Marruecos</v>
      </c>
      <c r="AJ48" s="909">
        <f ca="1">AL48*3+AM48*1+AN48*0</f>
        <v>7</v>
      </c>
      <c r="AK48" s="909">
        <f ca="1">COUNTIFS($I$4:$I$65,AI48,$K$4:$K$65,"&lt;&gt;",$L$4:$L$65,"&lt;&gt;")+COUNTIFS($N$4:$N$65,AI48,$L$4:$L$65,"&lt;&gt;",$K$4:$K$65,"&lt;&gt;")</f>
        <v>3</v>
      </c>
      <c r="AL48" s="909">
        <f t="array" aca="1" ref="AL48" ca="1">SUM(($I$4:$I$65=AI48)*($K$4:$K$65&lt;&gt;"")*($L$4:$L$65&lt;&gt;"")*($K$4:$K$65&gt;$L$4:$L$65),($N$4:$N$65=AI48)*($K$4:$K$65&lt;&gt;"")*($L$4:$L$65&lt;&gt;"")*($K$4:$K$65&lt;$L$4:$L$65))</f>
        <v>2</v>
      </c>
      <c r="AM48" s="909">
        <f t="array" aca="1" ref="AM48" ca="1">SUM(($I$4:$I$65=AI48)*($K$4:$K$65&lt;&gt;"")*($L$4:$L$65&lt;&gt;"")*($K$4:$K$65=$L$4:$L$65),($N$4:$N$65=AI48)*($K$4:$K$65&lt;&gt;"")*($L$4:$L$65&lt;&gt;"")*($K$4:$K$65=$L$4:$L$65))</f>
        <v>1</v>
      </c>
      <c r="AN48" s="909">
        <f t="array" aca="1" ref="AN48" ca="1">SUM(($I$4:$I$65=AI48)*($L$4:$L$65&lt;&gt;"")*($K$4:$K$65&lt;&gt;"")*($K$4:$K$65&lt;$L$4:$L$65),($K$4:$K$65&lt;&gt;"")*($N$4:$N$65=AI48)*($L$4:$L$65&lt;&gt;"")*($K$4:$K$65&gt;$L$4:$L$65))</f>
        <v>0</v>
      </c>
      <c r="AO48" s="909">
        <f t="array" aca="1" ref="AO48" ca="1">SUMIFS($K$4:$K$65,$I$4:$I$65,AI48,$K$4:$K$65,"&lt;&gt;",$L$4:$L$65,"&lt;&gt;")+SUMIFS($L$4:$L$65,$N$4:$N$65,AI48,$K$4:$K$65,"&lt;&gt;",$L$4:$L$65,"&lt;&gt;")</f>
        <v>4</v>
      </c>
      <c r="AP48" s="909">
        <f t="array" aca="1" ref="AP48" ca="1">SUMIFS($K$4:$K$65,$N$4:$N$65,AI48,$K$4:$K$65,"&lt;&gt;",$L$4:$L$65,"&lt;&gt;")+SUMIFS($L$4:$L$65,$I$4:$I$65,AI48,$K$4:$K$65,"&lt;&gt;",$L$4:$L$65,"&lt;&gt;")</f>
        <v>1</v>
      </c>
      <c r="AQ48" s="909">
        <f ca="1">AO48-AP48</f>
        <v>3</v>
      </c>
      <c r="AR48" s="909">
        <f ca="1">IF(AK48=0,-($AW$11*VLOOKUP(AI48,Tabla3[[NombreEquipo]:[Rank]],3,FALSE)),AJ48*$AW$4+AQ48*$AW$5+AO48*$AW$6+BA48-($AW$11*VLOOKUP(AI48,Tabla3[[NombreEquipo]:[Rank]],3,FALSE)/100))</f>
        <v>7796210499.7700005</v>
      </c>
      <c r="AS48" s="909">
        <f ca="1">AH48</f>
        <v>1</v>
      </c>
      <c r="AT48" s="909"/>
      <c r="AU48" s="909">
        <f ca="1">IFERROR(AR48-VLOOKUP(AI48,$AB$46:$AC$49,2,0),AR48)</f>
        <v>7796210499.7700005</v>
      </c>
      <c r="AV48" s="909"/>
      <c r="AW48" s="912"/>
      <c r="AX48" s="909"/>
      <c r="AY48" s="916" t="str">
        <f ca="1">AI48</f>
        <v>Marruecos</v>
      </c>
      <c r="AZ48" s="909">
        <f ca="1">COUNTIF(AJ46:AJ49,AJ48)</f>
        <v>1</v>
      </c>
      <c r="BA48" s="909">
        <f t="shared" ca="1" si="8"/>
        <v>210500</v>
      </c>
      <c r="BB48" s="917">
        <f ca="1">RANK(BC48,BC46:BC49,1)</f>
        <v>1</v>
      </c>
      <c r="BC48" s="917">
        <f ca="1">SUM(IF(AND(AJ48=AJ49,AQ48=AQ49,AO48=AO49),BG48,0),IF(AND(AJ48=AJ46,AQ48=AQ46,AO48=AO46),BD48,0),IF(AND(AJ48=AJ47,AQ48=AQ47,AO48=AO47),BE48,0))</f>
        <v>0</v>
      </c>
      <c r="BD48" s="917">
        <f t="array" aca="1" ref="BD48" ca="1">SUMIFS($K$44:$K$49,$I$44:$I$49,$AY48,$K$44:$K$49,"&lt;&gt;",$L$44:$L$49,"&lt;&gt;",$N$44:$N$49,BD45)+SUMIFS($L$44:$L$49,$I$44:$I$49,BD45,$K$44:$K$49,"&lt;&gt;",$L$44:$L$49,"&lt;&gt;",$N$44:$N$49,$AY48)</f>
        <v>2</v>
      </c>
      <c r="BE48" s="917">
        <f t="array" aca="1" ref="BE48" ca="1">SUMIFS($K$44:$K$49,$I$44:$I$49,$AY48,$K$44:$K$49,"&lt;&gt;",$L$44:$L$49,"&lt;&gt;",$N$44:$N$49,BE45)+SUMIFS($L$44:$L$49,$I$44:$I$49,BE45,$K$44:$K$49,"&lt;&gt;",$L$44:$L$49,"&lt;&gt;",$N$44:$N$49,$AY48)</f>
        <v>2</v>
      </c>
      <c r="BF48" s="917">
        <v>0</v>
      </c>
      <c r="BG48" s="917">
        <f t="array" aca="1" ref="BG48" ca="1">SUMIFS($K$44:$K$49,$I$44:$I$49,$AY48,$K$44:$K$49,"&lt;&gt;",$L$44:$L$49,"&lt;&gt;",$N$44:$N$49,BG45)+SUMIFS($L$44:$L$49,$I$44:$I$49,BG45,$K$44:$K$49,"&lt;&gt;",$L$44:$L$49,"&lt;&gt;",$N$44:$N$49,$AY48)</f>
        <v>0</v>
      </c>
      <c r="BH48" s="917">
        <f ca="1">RANK(BI48,BI46:BI49,1)</f>
        <v>1</v>
      </c>
      <c r="BI48" s="917">
        <f ca="1">SUM(IF(AND(AJ48=AJ49,AQ48=AQ49,AO48=AO49),BM48,0),IF(AND(AJ48=AJ46,AQ48=AQ46,AO48=AO46),BJ48,0),IF(AND(AJ48=AJ47,AQ48=AQ47,AO48=AO47),BK48,0))</f>
        <v>0</v>
      </c>
      <c r="BJ48" s="917">
        <f ca="1">BD48-BF46</f>
        <v>2</v>
      </c>
      <c r="BK48" s="917">
        <f ca="1">BE48-BF47</f>
        <v>1</v>
      </c>
      <c r="BL48" s="917">
        <v>0</v>
      </c>
      <c r="BM48" s="917">
        <f ca="1">BG48-BF49</f>
        <v>0</v>
      </c>
      <c r="BN48" s="917">
        <f ca="1">RANK(BO48,BO46:BO49,1)</f>
        <v>1</v>
      </c>
      <c r="BO48" s="917">
        <f ca="1">SUM(IF(AND(AJ48=AJ49,AQ48=AQ49,AO48=AO49),BS48,0),IF(AND(AJ48=AJ46,AQ48=AQ46,AO48=AO46),BP48,0),IF(AND(AJ48=AJ47,AQ48=AQ47,AO48=AO47),BQ48,0))</f>
        <v>0</v>
      </c>
      <c r="BP48" s="917">
        <f t="array" aca="1" ref="BP48" ca="1">SUM((I$4:I$49=AY48)*(N$4:N$49=BP45)*(K$4:K$49&lt;&gt;"")*(L$4:L$49&lt;&gt;"")*(K$4:K$49&gt;L$4:L$49)*3,(N$4:N$49=AY48)*(I$4:I$49=BP45)*(K$4:K$49&lt;&gt;"")*(L$4:L$49&lt;&gt;"")*(K$4:K$49=L$4:L$49)*1,(N$4:N$49=AY48)*(I$4:I$49=BP45)*(K$4:K$49&lt;&gt;"")*(L$4:L$49&lt;&gt;"")*(K$4:K$49&lt;L$4:L$49)*3,(I$4:I$49=AY48)*(N$4:N$49=BP45)*(K$4:K$49&lt;&gt;"")*(L$4:L$49&lt;&gt;"")*(K$4:K$49=L$4:L$49)*1)</f>
        <v>3</v>
      </c>
      <c r="BQ48" s="917">
        <f t="array" aca="1" ref="BQ48" ca="1">SUM((I$4:I$49=AY48)*(N$4:N$49=BQ45)*(K$4:K$49&lt;&gt;"")*(L$4:L$49&lt;&gt;"")*(K$4:K$49&gt;L$4:L$49)*3,(N$4:N$49=AY48)*(I$4:I$49=BQ45)*(K$4:K$49&lt;&gt;"")*(L$4:L$49&lt;&gt;"")*(K$4:K$49=L$4:L$49)*1,(N$4:N$49=AY48)*(I$4:I$49=BQ45)*(K$4:K$49&lt;&gt;"")*(L$4:L$49&lt;&gt;"")*(K$4:K$49&lt;L$4:L$49)*3,(I$4:I$49=AY48)*(N$4:N$49=BQ45)*(K$4:K$49&lt;&gt;"")*(L$4:L$49&lt;&gt;"")*(K$4:K$49=L$4:L$49)*1)</f>
        <v>3</v>
      </c>
      <c r="BR48" s="917">
        <v>0</v>
      </c>
      <c r="BS48" s="917">
        <f t="array" aca="1" ref="BS48" ca="1">SUM((I$4:I$49=AY48)*(N$4:N$49=BS45)*(K$4:K$49&lt;&gt;"")*(L$4:L$49&lt;&gt;"")*(K$4:K$49&gt;L$4:L$49)*3,(N$4:N$49=AY48)*(I$4:I$49=BS45)*(K$4:K$49&lt;&gt;"")*(L$4:L$49&lt;&gt;"")*(K$4:K$49=L$4:L$49)*1,(N$4:N$49=AY48)*(I$4:I$49=BS45)*(K$4:K$49&lt;&gt;"")*(L$4:L$49&lt;&gt;"")*(K$4:K$49&lt;L$4:L$49)*3,(I$4:I$49=AY48)*(N$4:N$49=BS45)*(K$4:K$49&lt;&gt;"")*(L$4:L$49&lt;&gt;"")*(K$4:K$49=L$4:L$49)*1)</f>
        <v>1</v>
      </c>
      <c r="BT48" s="911">
        <v>3</v>
      </c>
      <c r="BU48" s="911">
        <f ca="1">RANK(BW48,$BW$46:$BW$49)</f>
        <v>1</v>
      </c>
      <c r="BV48" s="911" t="str">
        <f ca="1">A47</f>
        <v>Marruecos</v>
      </c>
      <c r="BW48" s="911">
        <f t="shared" ca="1" si="9"/>
        <v>7796210499.7700005</v>
      </c>
      <c r="BX48" s="911" t="str">
        <f ca="1">VLOOKUP(Q48,$AH$46:$AI$49,2,0)</f>
        <v>Bélgica</v>
      </c>
      <c r="BY48" s="911">
        <f ca="1">VLOOKUP($BX48,$AI$46:$AR$49,10,FALSE)</f>
        <v>4440210499.79</v>
      </c>
      <c r="CA48" s="911">
        <v>3</v>
      </c>
      <c r="CB48" s="911" t="str">
        <f ca="1">VLOOKUP(CA48,$AH$46:$AI$49,2,0)</f>
        <v>Bélgica</v>
      </c>
      <c r="CC48" s="911">
        <f ca="1">VLOOKUP(CB48,$AI$46:$AR$49,2,FALSE)</f>
        <v>4</v>
      </c>
      <c r="CD48" s="918">
        <f ca="1">IF(SUM($AK$46:$AK$49)=12,MIN(ABS(BY47-BY48),ABS(BY48-BY49)),100)</f>
        <v>1133999999.9700003</v>
      </c>
      <c r="CE48" s="911">
        <f ca="1">VLOOKUP($CB48,$AI$46:$AR$49,9,FALSE)</f>
        <v>-1</v>
      </c>
      <c r="CF48" s="911">
        <f ca="1">VLOOKUP($CB48,$AI$46:$AR$49,7,FALSE)</f>
        <v>1</v>
      </c>
      <c r="CH48" s="911">
        <f t="array" aca="1" ref="CH48" ca="1">IF($CI$46=$CL$45,$EC$45:$EC$48,IF($CI$46=$CM$45,$ED$45:$ED$47,IF(OR($CI$46=$CN$45,$CI$46=$CR$45),$EG$45:$EG$46,IF($CI$46=$CP$45,$EF$45:$EF$47,(IF($CI$46=$CQ$45,$EH$45:$EH$46,$EK$45))))))</f>
        <v>3</v>
      </c>
      <c r="CK48" s="909">
        <v>3</v>
      </c>
      <c r="CL48" s="909">
        <f t="array" aca="1" ref="CL48" ca="1">IF(AND($CC$46:$CC$49=$CC$48,$CD$46:$CD$49&lt;90,$AQ$46:$AQ$49=$AQ$48,$CF$46:$CF$49=$CF$48),1,0)</f>
        <v>0</v>
      </c>
      <c r="CM48" s="909">
        <f t="array" aca="1" ref="CM48" ca="1">IF(AND($CC$46:$CC$48=$CC$48,$CD$46:$CD$48&lt;90,$CC$48&lt;&gt;$CC$49),1,0)</f>
        <v>0</v>
      </c>
      <c r="CN48" s="909">
        <f t="array" aca="1" ref="CN48" ca="1">IF(AND($CC$48:$CC$49=$CC$48,$CD$48:$CD$49&lt;90,$CC$48&lt;&gt;$CC$47),1,0)</f>
        <v>0</v>
      </c>
      <c r="CO48" s="909">
        <f t="array" aca="1" ref="CO48" ca="1">IF(OR(AND($CC$48&lt;&gt;$CC$47,$CC$48&lt;&gt;$CC$49),AND($CC$48&lt;&gt;$CC$47,$CC$48=$CC$49,$CD$48&gt;90,$CD$49&gt;90)),1,0)</f>
        <v>1</v>
      </c>
      <c r="CP48" s="909">
        <f t="array" aca="1" ref="CP48" ca="1">IF(AND($CC$47:$CC$49=$CC$47,$CD$47:$CD$49&lt;90,$CC$46&lt;&gt;$CC$48),1,0)</f>
        <v>0</v>
      </c>
      <c r="CQ48" s="909">
        <f t="array" aca="1" ref="CQ48" ca="1">IF(AND($CC$47:$CC$48=$CC$48,$CD$47:$CD$48&lt;90,$CC$48&lt;&gt;$CC$46,$CC$48&lt;&gt;$CC$49),1,0)</f>
        <v>0</v>
      </c>
      <c r="CR48" s="909">
        <f t="array" aca="1" ref="CR48" ca="1">IF(AND($CC$48:$CC$49=$CC$48,$CD$48:$CD$49&lt;90,$CC$48&lt;&gt;$CC$47),1,0)</f>
        <v>0</v>
      </c>
      <c r="CS48" s="909">
        <f t="array" aca="1" ref="CS48" ca="1">IF(AND($CC$48&lt;&gt;$CC$47,$CC$48&lt;&gt;$CC$49),1,0)</f>
        <v>1</v>
      </c>
      <c r="CT48" s="909">
        <f t="array" aca="1" ref="CT48" ca="1">IF(AND($CC$46:$CC$49=$CC$46,$CD$46:$CD$49&lt;90,$CE$48:$CE$49=$CE$48,$CE$47&lt;&gt;$CE$48),1,0)</f>
        <v>0</v>
      </c>
      <c r="CU48" s="909">
        <f t="array" aca="1" ref="CU48" ca="1">IF(AND($CC$46:$CC$49=$CC$46,$CD$46:$CD$49&lt;90,$CE$46:$CE$49=$CE$46,$CF$48=$CF$49,$CF$47&lt;&gt;$CF$48),1,0)</f>
        <v>0</v>
      </c>
      <c r="CV48" s="909">
        <f t="array" aca="1" ref="CV48" ca="1">IF(AND($CC$46:$CC$48=$CC$48,$CD$46:$CD$47&lt;90,$CD$48&gt;90),1,0)</f>
        <v>0</v>
      </c>
      <c r="CW48" s="909">
        <f t="array" aca="1" ref="CW48" ca="1">IF(AND($CC$47&lt;&gt;$CC$46,$CC$47:$CC$49=$CC$48,$CD$47&gt;90,$CD$48:$CD$49&lt;90),1,0)</f>
        <v>0</v>
      </c>
      <c r="CX48" s="909">
        <f t="array" aca="1" ref="CX48" ca="1">IF(AND($CC$47&lt;&gt;$CC$46,$CC$47:$CC$49=$CC$47,$CD$49&gt;90,$CD$47:$CD$48&lt;90),1,0)</f>
        <v>0</v>
      </c>
      <c r="CY48" s="909">
        <f t="array" aca="1" ref="CY48" ca="1">IF(AND($CC$48&lt;&gt;$CC$49,$CC$46:$CC$48=$CC$48,$CD$46&gt;90,$CD$47:$CD$48&lt;90),1,0)</f>
        <v>0</v>
      </c>
      <c r="CZ48" s="909">
        <f t="array" aca="1" ref="CZ48" ca="1">IF(AND($CC$46:$CC$49=$CC$47,$CD$47:$CD$49&lt;90,$CD$46&lt;&gt;$CD$48),1,0)</f>
        <v>0</v>
      </c>
      <c r="DA48" s="909">
        <f t="array" aca="1" ref="DA48" ca="1">IF(AND($CC$46:$CC$49=$CC$48,$CD$46:$CD$48&lt;90,$CD$48&lt;&gt;$CD$49),1,0)</f>
        <v>0</v>
      </c>
      <c r="DB48" s="909">
        <f t="array" aca="1" ref="DB48" ca="1">IF(AND($CC$46:$CC$49=$CC$48,$CD$46:$CD$47&gt;90,$CD$48:$CD$49&lt;90,$CE$46:$CE$49=$CE$48,$CF$46&gt;$CF$47,$CF$47&gt;$CF$48,$CF$48=$CF$49),1,0)</f>
        <v>0</v>
      </c>
      <c r="DC48" s="909">
        <f t="array" aca="1" ref="DC48" ca="1">IF(AND($CC$46:$CC$49=$CC$48,$CD$46&gt;90,$CD$47:$CD$48&lt;90,$CD$49&gt;90,$CE$46:$CE$49=$CE$48,$CF$46&gt;$CF$47,$CF$47=$CF$48,$CF$48&gt;$CF$49),1,0)</f>
        <v>0</v>
      </c>
      <c r="DD48" s="909">
        <f t="array" aca="1" ref="DD48" ca="1">IF(AND($CC$46:$CC$49=$CC$48,$CD$46:$CD$47&lt;90,$CD$48:$CD$49&gt;90,$CE$46:$CE$49=$CE$48,$CF$46=$CF$47,$CF$47&gt;$CF$48,$CF$48&gt;$CF$49),1,0)</f>
        <v>0</v>
      </c>
      <c r="DE48" s="909">
        <f t="array" aca="1" ref="DE48" ca="1">IF(AND($CC$46:$CC$49=$CC$48,$CD$46:$CD$47&gt;90,$CD$48:$CD$49&lt;90,$CE$46:$CE$49=$CE$47,$CF$46&gt;$CF$48,$CF$47:$CF$49=$CF$48),1,0)</f>
        <v>0</v>
      </c>
      <c r="DF48" s="909">
        <f t="array" aca="1" ref="DF48" ca="1">IF(AND($CC$46:$CC$49=$CC$48,$CD$46:$CD$47&lt;90,$CD$48:$CD$49&gt;90,$CE$46:$CE$49=$CE$48,$CF$46:$CF$48=$CF$48,$CF$48&gt;$CF$49),1,0)</f>
        <v>0</v>
      </c>
      <c r="DG48" s="909">
        <f t="array" aca="1" ref="DG48" ca="1">IF(AND($CC$46:$CC$49=$CC$48,$CD$46&gt;90,$CD$49&gt;90,$CD$47:$CD$48&lt;90,$CE$46:$CE$49=$CE$48,$CF$46&gt;$CF$47:$CF$49,$CF$47:$CF$49=$CF$48),1,0)</f>
        <v>0</v>
      </c>
      <c r="EC48" s="911">
        <v>4</v>
      </c>
      <c r="ED48" s="911"/>
      <c r="EE48" s="911"/>
      <c r="EF48" s="911"/>
      <c r="EG48" s="911"/>
      <c r="EH48" s="911"/>
      <c r="EI48" s="911"/>
      <c r="EJ48" s="911"/>
      <c r="EK48" s="911"/>
      <c r="EL48" s="911"/>
      <c r="FI48" s="917"/>
      <c r="FK48" s="917"/>
      <c r="FM48" s="917"/>
    </row>
    <row r="49" spans="1:2374 10958:10958" ht="16" thickBot="1">
      <c r="A49" s="875"/>
      <c r="B49" s="875"/>
      <c r="C49" s="875"/>
      <c r="D49" s="152"/>
      <c r="E49" s="981"/>
      <c r="F49" s="383">
        <f>Horarios!C49</f>
        <v>44896.75</v>
      </c>
      <c r="G49" s="384">
        <f>Horarios!C49</f>
        <v>44896.75</v>
      </c>
      <c r="H49" s="383" t="s">
        <v>71</v>
      </c>
      <c r="I49" s="385" t="str">
        <f ca="1">A46</f>
        <v>Canadá</v>
      </c>
      <c r="J49" s="386" t="str">
        <f ca="1">VLOOKUP(I49,Equipos!$H$2:$I$33,2,0)</f>
        <v>🇨🇦</v>
      </c>
      <c r="K49" s="395">
        <v>1</v>
      </c>
      <c r="L49" s="395">
        <v>2</v>
      </c>
      <c r="M49" s="391" t="str">
        <f ca="1">VLOOKUP(N49,Equipos!$H$2:$I$33,2,0)</f>
        <v>🇲🇦</v>
      </c>
      <c r="N49" s="392" t="str">
        <f ca="1">A47</f>
        <v>Marruecos</v>
      </c>
      <c r="O49" s="347">
        <f t="shared" si="31"/>
        <v>1</v>
      </c>
      <c r="P49" s="82"/>
      <c r="Q49" s="367">
        <v>4</v>
      </c>
      <c r="R49" s="368" t="str">
        <f ca="1">VLOOKUP(Q49,$AG$46:$AI$49,3,0)</f>
        <v>Canadá</v>
      </c>
      <c r="S49" s="369">
        <f ca="1">VLOOKUP(R49,$AI$46:$AR$49,2,FALSE)</f>
        <v>0</v>
      </c>
      <c r="T49" s="369">
        <f ca="1">VLOOKUP($R49,$AI$46:$AR$49,3,FALSE)</f>
        <v>3</v>
      </c>
      <c r="U49" s="369">
        <f ca="1">VLOOKUP($R49,$AI$46:$AR$49,4,FALSE)</f>
        <v>0</v>
      </c>
      <c r="V49" s="369">
        <f ca="1">VLOOKUP($R49,$AI$46:$AR$49,5,FALSE)</f>
        <v>0</v>
      </c>
      <c r="W49" s="369">
        <f ca="1">VLOOKUP($R49,$AI$46:$AR$49,6,FALSE)</f>
        <v>3</v>
      </c>
      <c r="X49" s="369">
        <f ca="1">VLOOKUP($R49,$AI$46:$AR$49,7,FALSE)</f>
        <v>2</v>
      </c>
      <c r="Y49" s="369">
        <f ca="1">VLOOKUP($R49,$AI$46:$AR$49,8,FALSE)</f>
        <v>7</v>
      </c>
      <c r="Z49" s="370">
        <f ca="1">VLOOKUP($R49,$AI$46:$AR$49,9,FALSE)</f>
        <v>-5</v>
      </c>
      <c r="AA49" s="357">
        <f ca="1">IF(SUM($AK$46:$AK$49)=12,MIN(ABS(BY48-BY49),ABS(BY49-BY50)),100)</f>
        <v>22789500.219999999</v>
      </c>
      <c r="AB49" s="94" t="str">
        <f ca="1">IF(AND(AA49&gt;=0,AA49&lt;90),VLOOKUP(Q49,$BU$46:$BV$49,2,0),"")</f>
        <v/>
      </c>
      <c r="AC49" s="73"/>
      <c r="AD49" s="74"/>
      <c r="AE49" s="328"/>
      <c r="AF49" s="910">
        <f ca="1">VLOOKUP($R49,$AI$46:$AR$49,10,FALSE)</f>
        <v>-22789500.219999999</v>
      </c>
      <c r="AG49" s="909">
        <f ca="1">RANK(AU49,$AU$46:$AU$49)</f>
        <v>2</v>
      </c>
      <c r="AH49" s="909">
        <f ca="1">RANK(AR49,$AR$46:$AR$49)</f>
        <v>2</v>
      </c>
      <c r="AI49" s="911" t="str">
        <f ca="1">A48</f>
        <v>Croacia</v>
      </c>
      <c r="AJ49" s="909">
        <f ca="1">AL49*3+AM49*1+AN49*0</f>
        <v>5</v>
      </c>
      <c r="AK49" s="909">
        <f ca="1">COUNTIFS($I$4:$I$65,AI49,$K$4:$K$65,"&lt;&gt;",$L$4:$L$65,"&lt;&gt;")+COUNTIFS($N$4:$N$65,AI49,$L$4:$L$65,"&lt;&gt;",$K$4:$K$65,"&lt;&gt;")</f>
        <v>3</v>
      </c>
      <c r="AL49" s="909">
        <f t="array" aca="1" ref="AL49" ca="1">SUM(($I$4:$I$65=AI49)*($K$4:$K$65&lt;&gt;"")*($L$4:$L$65&lt;&gt;"")*($K$4:$K$65&gt;$L$4:$L$65),($N$4:$N$65=AI49)*($K$4:$K$65&lt;&gt;"")*($L$4:$L$65&lt;&gt;"")*($K$4:$K$65&lt;$L$4:$L$65))</f>
        <v>1</v>
      </c>
      <c r="AM49" s="909">
        <f t="array" aca="1" ref="AM49" ca="1">SUM(($I$4:$I$65=AI49)*($K$4:$K$65&lt;&gt;"")*($L$4:$L$65&lt;&gt;"")*($K$4:$K$65=$L$4:$L$65),($N$4:$N$65=AI49)*($K$4:$K$65&lt;&gt;"")*($L$4:$L$65&lt;&gt;"")*($K$4:$K$65=$L$4:$L$65))</f>
        <v>2</v>
      </c>
      <c r="AN49" s="909">
        <f t="array" aca="1" ref="AN49" ca="1">SUM(($I$4:$I$65=AI49)*($L$4:$L$65&lt;&gt;"")*($K$4:$K$65&lt;&gt;"")*($K$4:$K$65&lt;$L$4:$L$65),($K$4:$K$65&lt;&gt;"")*($N$4:$N$65=AI49)*($L$4:$L$65&lt;&gt;"")*($K$4:$K$65&gt;$L$4:$L$65))</f>
        <v>0</v>
      </c>
      <c r="AO49" s="909">
        <f t="array" aca="1" ref="AO49" ca="1">SUMIFS($K$4:$K$65,$I$4:$I$65,AI49,$K$4:$K$65,"&lt;&gt;",$L$4:$L$65,"&lt;&gt;")+SUMIFS($L$4:$L$65,$N$4:$N$65,AI49,$K$4:$K$65,"&lt;&gt;",$L$4:$L$65,"&lt;&gt;")</f>
        <v>4</v>
      </c>
      <c r="AP49" s="909">
        <f t="array" aca="1" ref="AP49" ca="1">SUMIFS($K$4:$K$65,$N$4:$N$65,AI49,$K$4:$K$65,"&lt;&gt;",$L$4:$L$65,"&lt;&gt;")+SUMIFS($L$4:$L$65,$I$4:$I$65,AI49,$K$4:$K$65,"&lt;&gt;",$L$4:$L$65,"&lt;&gt;")</f>
        <v>1</v>
      </c>
      <c r="AQ49" s="909">
        <f ca="1">AO49-AP49</f>
        <v>3</v>
      </c>
      <c r="AR49" s="909">
        <f ca="1">IF(AK49=0,-($AW$11*VLOOKUP(AI49,Tabla3[[NombreEquipo]:[Rank]],3,FALSE)),AJ49*$AW$4+AQ49*$AW$5+AO49*$AW$6+BA49-($AW$11*VLOOKUP(AI49,Tabla3[[NombreEquipo]:[Rank]],3,FALSE)/100))</f>
        <v>5574210499.7600002</v>
      </c>
      <c r="AS49" s="909">
        <f ca="1">AH49</f>
        <v>2</v>
      </c>
      <c r="AT49" s="909"/>
      <c r="AU49" s="909">
        <f ca="1">IFERROR(AR49-VLOOKUP(AI49,$AB$46:$AC$49,2,0),AR49)</f>
        <v>5574210499.7600002</v>
      </c>
      <c r="AV49" s="909"/>
      <c r="AW49" s="912"/>
      <c r="AX49" s="909"/>
      <c r="AY49" s="916" t="str">
        <f ca="1">AI49</f>
        <v>Croacia</v>
      </c>
      <c r="AZ49" s="909">
        <f ca="1">COUNTIF(AJ46:AJ49,AJ49)</f>
        <v>1</v>
      </c>
      <c r="BA49" s="909">
        <f t="shared" ca="1" si="8"/>
        <v>210500</v>
      </c>
      <c r="BB49" s="917">
        <f ca="1">RANK(BC49,BC46:BC49,1)</f>
        <v>1</v>
      </c>
      <c r="BC49" s="917">
        <f ca="1">SUM(IF(AND(AJ49=AJ46,AQ49=AQ46,AO49=AO46),BD49,0),IF(AND(AJ49=AJ47,AQ49=AQ47,AO49=AO47),BE49,0),IF(AND(AJ49=AJ48,AQ49=AQ48,AO49=AO48),BF49,0))</f>
        <v>0</v>
      </c>
      <c r="BD49" s="917">
        <f t="array" aca="1" ref="BD49" ca="1">SUMIFS($K$44:$K$49,$I$44:$I$49,$AY49,$K$44:$K$49,"&lt;&gt;",$L$44:$L$49,"&lt;&gt;",$N$44:$N$49,BD45)+SUMIFS($L$44:$L$49,$I$44:$I$49,BD45,$K$44:$K$49,"&lt;&gt;",$L$44:$L$49,"&lt;&gt;",$N$44:$N$49,$AY49)</f>
        <v>0</v>
      </c>
      <c r="BE49" s="917">
        <f t="array" aca="1" ref="BE49" ca="1">SUMIFS($K$44:$K$49,$I$44:$I$49,$AY49,$K$44:$K$49,"&lt;&gt;",$L$44:$L$49,"&lt;&gt;",$N$44:$N$49,BE45)+SUMIFS($L$44:$L$49,$I$44:$I$49,BE45,$K$44:$K$49,"&lt;&gt;",$L$44:$L$49,"&lt;&gt;",$N$44:$N$49,$AY49)</f>
        <v>4</v>
      </c>
      <c r="BF49" s="917">
        <f t="array" aca="1" ref="BF49" ca="1">SUMIFS($K$44:$K$49,$I$44:$I$49,$AY49,$K$44:$K$49,"&lt;&gt;",$L$44:$L$49,"&lt;&gt;",$N$44:$N$49,BF45)+SUMIFS($L$44:$L$49,$I$44:$I$49,BF45,$K$44:$K$49,"&lt;&gt;",$L$44:$L$49,"&lt;&gt;",$N$44:$N$49,$AY49)</f>
        <v>0</v>
      </c>
      <c r="BG49" s="917">
        <v>0</v>
      </c>
      <c r="BH49" s="917">
        <f ca="1">RANK(BI49,BI46:BI49,1)</f>
        <v>1</v>
      </c>
      <c r="BI49" s="917">
        <f ca="1">SUM(IF(AND(AJ49=AJ46,AQ49=AQ46,AO49=AO46),BJ49,0),IF(AND(AJ49=AJ47,AQ49=AQ47,AO49=AO47),BK49,0),IF(AND(AJ49=AJ48,AQ49=AQ48,AO49=AO48),BL49,0))</f>
        <v>0</v>
      </c>
      <c r="BJ49" s="917">
        <f ca="1">BD49-BG46</f>
        <v>0</v>
      </c>
      <c r="BK49" s="917">
        <f ca="1">BE49-BG47</f>
        <v>3</v>
      </c>
      <c r="BL49" s="917">
        <f ca="1">BF49-BG48</f>
        <v>0</v>
      </c>
      <c r="BM49" s="917">
        <v>0</v>
      </c>
      <c r="BN49" s="917">
        <f ca="1">RANK(BO49,BO46:BO49,1)</f>
        <v>1</v>
      </c>
      <c r="BO49" s="917">
        <f ca="1">SUM(IF(AND(AJ49=AJ46,AQ49=AQ46,AO49=AO46),BP49,0),IF(AND(AJ49=AJ47,AQ49=AQ47,AO49=AO47),BQ49,0),IF(AND(AJ49=AJ48,AQ49=AQ48,AO49=AO48),BR49,0))</f>
        <v>0</v>
      </c>
      <c r="BP49" s="917">
        <f t="array" aca="1" ref="BP49" ca="1">SUM((I$4:I$49=AY49)*(N$4:N$49=BP45)*(K$4:K$49&lt;&gt;"")*(L$4:L$49&lt;&gt;"")*(K$4:K$49&gt;L$4:L$49)*3,(N$4:N$49=AY49)*(I$4:I$49=BP45)*(K$4:K$49&lt;&gt;"")*(L$4:L$49&lt;&gt;"")*(K$4:K$49=L$4:L$49)*1,(N$4:N$49=AY49)*(I$4:I$49=BP45)*(K$4:K$49&lt;&gt;"")*(L$4:L$49&lt;&gt;"")*(K$4:K$49&lt;L$4:L$49)*3,(I$4:I$49=AY49)*(N$4:N$49=BP45)*(K$4:K$49&lt;&gt;"")*(L$4:L$49&lt;&gt;"")*(K$4:K$49=L$4:L$49)*1)</f>
        <v>1</v>
      </c>
      <c r="BQ49" s="917">
        <f t="array" aca="1" ref="BQ49" ca="1">SUM((I$4:I$49=AY49)*(N$4:N$49=BQ45)*(K$4:K$49&lt;&gt;"")*(L$4:L$49&lt;&gt;"")*(K$4:K$49&gt;L$4:L$49)*3,(N$4:N$49=AY49)*(I$4:I$49=BQ45)*(K$4:K$49&lt;&gt;"")*(L$4:L$49&lt;&gt;"")*(K$4:K$49=L$4:L$49)*1,(N$4:N$49=AY49)*(I$4:I$49=BQ45)*(K$4:K$49&lt;&gt;"")*(L$4:L$49&lt;&gt;"")*(K$4:K$49&lt;L$4:L$49)*3,(I$4:I$49=AY49)*(N$4:N$49=BQ45)*(K$4:K$49&lt;&gt;"")*(L$4:L$49&lt;&gt;"")*(K$4:K$49=L$4:L$49)*1)</f>
        <v>3</v>
      </c>
      <c r="BR49" s="917">
        <f t="array" aca="1" ref="BR49" ca="1">SUM((I$4:I$49=AY49)*(N$4:N$49=BR45)*(K$4:K$49&lt;&gt;"")*(L$4:L$49&lt;&gt;"")*(K$4:K$49&gt;L$4:L$49)*3,(N$4:N$49=AY49)*(I$4:I$49=BR45)*(K$4:K$49&lt;&gt;"")*(L$4:L$49&lt;&gt;"")*(K$4:K$49=L$4:L$49)*1,(N$4:N$49=AY49)*(I$4:I$49=BR45)*(K$4:K$49&lt;&gt;"")*(L$4:L$49&lt;&gt;"")*(K$4:K$49&lt;L$4:L$49)*3,(I$4:I$49=AY49)*(N$4:N$49=BR45)*(K$4:K$49&lt;&gt;"")*(L$4:L$49&lt;&gt;"")*(K$4:K$49=L$4:L$49)*1)</f>
        <v>1</v>
      </c>
      <c r="BS49" s="917">
        <v>0</v>
      </c>
      <c r="BT49" s="911">
        <v>4</v>
      </c>
      <c r="BU49" s="911">
        <f ca="1">RANK(BW49,$BW$46:$BW$49)</f>
        <v>2</v>
      </c>
      <c r="BV49" s="911" t="str">
        <f ca="1">A48</f>
        <v>Croacia</v>
      </c>
      <c r="BW49" s="911">
        <f t="shared" ca="1" si="9"/>
        <v>5574210499.7600002</v>
      </c>
      <c r="BX49" s="911" t="str">
        <f ca="1">VLOOKUP(Q49,$AH$46:$AI$49,2,0)</f>
        <v>Canadá</v>
      </c>
      <c r="BY49" s="911">
        <f ca="1">VLOOKUP($BX49,$AI$46:$AR$49,10,FALSE)</f>
        <v>-22789500.219999999</v>
      </c>
      <c r="CA49" s="911">
        <v>4</v>
      </c>
      <c r="CB49" s="911" t="str">
        <f ca="1">VLOOKUP(CA49,$AH$46:$AI$49,2,0)</f>
        <v>Canadá</v>
      </c>
      <c r="CC49" s="911">
        <f ca="1">VLOOKUP(CB49,$AI$46:$AR$49,2,FALSE)</f>
        <v>0</v>
      </c>
      <c r="CD49" s="918">
        <f ca="1">IF(SUM($AK$46:$AK$49)=12,MIN(ABS(BY48-BY49),ABS(BY49-BY50)),100)</f>
        <v>22789500.219999999</v>
      </c>
      <c r="CE49" s="911">
        <f ca="1">VLOOKUP($CB49,$AI$46:$AR$49,9,FALSE)</f>
        <v>-5</v>
      </c>
      <c r="CF49" s="911">
        <f ca="1">VLOOKUP($CB49,$AI$46:$AR$49,7,FALSE)</f>
        <v>2</v>
      </c>
      <c r="CH49" s="911">
        <f t="array" aca="1" ref="CH49" ca="1">IF($CI$46=$CL$45,$EC$45:$EC$48,IF(OR($CI$46=$CN$45,$CI$46=$CR$45),$EG$45:$EG$46,IF($CI$46=$CP$45,$EF$45:$EF$47,$EL$45)))</f>
        <v>4</v>
      </c>
      <c r="CK49" s="909">
        <v>4</v>
      </c>
      <c r="CL49" s="909">
        <f t="array" aca="1" ref="CL49" ca="1">IF(AND($CC$46:$CC$49=$CC$49,$CD$46:$CD$49&lt;90,$AQ$46:$AQ$49=$AQ$49,$CF$46:$CF$49=$CF$49),1,0)</f>
        <v>0</v>
      </c>
      <c r="CM49" s="909">
        <f t="array" aca="1" ref="CM49" ca="1">IF(AND($CC$46:$CC$48=$CC$46,$CD$46:$CD$48&lt;90,$CD$49&gt;90,$CC$46&lt;&gt;$CC$49),1,0)</f>
        <v>0</v>
      </c>
      <c r="CN49" s="909">
        <f t="array" aca="1" ref="CN49" ca="1">IF(AND($CC$48:$CC$49=$CC$48,$CD$48:$CD$49&lt;90,$CC$48&lt;&gt;$CC$47),1,0)</f>
        <v>0</v>
      </c>
      <c r="CO49" s="909">
        <f t="array" aca="1" ref="CO49" ca="1">IF(AND($CC$49&lt;&gt;$CC$47,$CC$49&lt;&gt;$CC$46),1,0)</f>
        <v>1</v>
      </c>
      <c r="CP49" s="909">
        <f t="array" aca="1" ref="CP49" ca="1">IF(AND($CC$47:$CC$49=$CC$47,$CD$47:$CD$49&lt;90,$CC$46&lt;&gt;$CC$49),1,0)</f>
        <v>0</v>
      </c>
      <c r="CQ49" s="909">
        <f t="array" aca="1" ref="CQ49" ca="1">IF(AND($CC$49&lt;&gt;$CC$47,$CC$49&lt;&gt;$CC$46),1,0)</f>
        <v>1</v>
      </c>
      <c r="CR49" s="909">
        <f t="array" aca="1" ref="CR49" ca="1">IF(AND($CC$48:$CC$49=$CC$48,$CD$48:$CD$49&lt;90,$CC$48&lt;&gt;$CC$47),1,0)</f>
        <v>0</v>
      </c>
      <c r="CS49" s="909">
        <f t="array" aca="1" ref="CS49" ca="1">IF(AND($CC$49&lt;&gt;$CC$47,$CC$49&lt;&gt;$CC$46),1,0)</f>
        <v>1</v>
      </c>
      <c r="CT49" s="909">
        <f t="array" aca="1" ref="CT49" ca="1">IF(AND($CC$46:$CC$49=$CC$46,$CD$46:$CD$49&lt;90,$CE$48:$CE$49=$CE$49,$CE$47&lt;&gt;$CE$49),1,0)</f>
        <v>0</v>
      </c>
      <c r="CU49" s="909">
        <f t="array" aca="1" ref="CU49" ca="1">IF(AND($CC$46:$CC$49=$CC$46,$CD$46:$CD$49&lt;90,$CE$46:$CE$49=$CE$46,$CF$48=$CF$49,$CF$47&lt;&gt;$CF$48),1,0)</f>
        <v>0</v>
      </c>
      <c r="CV49" s="909">
        <f t="array" aca="1" ref="CV49" ca="1">IF(AND($CC$46:$CC$48=$CC$46,$CD$46:$CD$47&lt;90,$CC$48&lt;&gt;$CC$49),1,0)</f>
        <v>0</v>
      </c>
      <c r="CW49" s="909">
        <f t="array" aca="1" ref="CW49" ca="1">IF(AND($CC$47&lt;&gt;$CC$46,$CC$47:$CC$49=$CC$48,$CD$47&gt;90,$CD$48:$CD$49&lt;90),1,0)</f>
        <v>0</v>
      </c>
      <c r="CX49" s="909">
        <f t="array" aca="1" ref="CX49" ca="1">IF(AND($CC$47&lt;&gt;$CC$46,$CC$47:$CC$49=$CC$47,$CD$49&gt;90,$CD$47:$CD$48&lt;90),1,0)</f>
        <v>0</v>
      </c>
      <c r="CY49" s="909">
        <f t="array" aca="1" ref="CY49" ca="1">IF(AND($CC$49&lt;&gt;$CC$47,$CC$49&lt;&gt;$CC$48),1,0)</f>
        <v>1</v>
      </c>
      <c r="CZ49" s="909">
        <f t="array" aca="1" ref="CZ49" ca="1">IF(AND($CC$46:$CC$49=$CC$47,$CD$47:$CD$49&lt;90,$CD$46&lt;&gt;$CD$49),1,0)</f>
        <v>0</v>
      </c>
      <c r="DA49" s="909">
        <f t="array" aca="1" ref="DA49" ca="1">IF(AND($CC$46:$CC$49=$CC$46,$CD$46:$CD$48&lt;90,$CD$48&lt;&gt;$CD$49),1,0)</f>
        <v>0</v>
      </c>
      <c r="DB49" s="909">
        <f t="array" aca="1" ref="DB49" ca="1">IF(AND($CC$46:$CC$49=$CC$49,$CD$46:$CD$47&gt;90,$CD$48:$CD$49&lt;90,$CE$46:$CE$49=$CE$49,$CF$46&gt;$CF$47,$CF$47&gt;$CF$49,$CF$48=$CF$49),1,0)</f>
        <v>0</v>
      </c>
      <c r="DC49" s="909">
        <f t="array" aca="1" ref="DC49" ca="1">IF(AND($CC$46:$CC$49=$CC$47,$CD$46&gt;90,$CD$47:$CD$48&lt;90,$CD$49&gt;90,$CE$46:$CE$49=$CE$49,$CF$46&gt;$CF$49,$CF$47=$CF$48,$CF$47&gt;$CF$49),1,0)</f>
        <v>0</v>
      </c>
      <c r="DD49" s="909">
        <f t="array" aca="1" ref="DD49" ca="1">IF(AND($CC$46:$CC$49=$CC$49,$CD$46:$CD$47&lt;90,$CD$48:$CD$49&gt;90,$CE$46:$CE$49=$CE$49,$CF$46=$CF$47,$CF$47&gt;$CF$48,$CF$48&gt;$CF$49),1,0)</f>
        <v>0</v>
      </c>
      <c r="DE49" s="909">
        <f t="array" aca="1" ref="DE49" ca="1">IF(AND($CC$46:$CC$49=$CC$49,$CD$46:$CD$47&gt;90,$CD$48:$CD$49&lt;90,$CE$46:$CE$49=$CE$49,$CF$46&gt;$CF$49,$CF$47:$CF$49=$CF$49),1,0)</f>
        <v>0</v>
      </c>
      <c r="DF49" s="909">
        <f t="array" aca="1" ref="DF49" ca="1">IF(AND($CC$46:$CC$49=$CC$49,$CD$46:$CD$47&lt;90,$CD$48:$CD$49&gt;90,$CE$46:$CE$49=$CE$49,$CF$46:$CF$48=$CF$48,$CF$46:$CF$48&gt;$CF$49),1,0)</f>
        <v>0</v>
      </c>
      <c r="DG49" s="909">
        <f t="array" aca="1" ref="DG49" ca="1">IF(AND($CC$46:$CC$49=$CC$49,$CD$46&gt;90,$CD$49&gt;90,$CD$47:$CD$48&lt;90,$CE$46:$CE$49=$CE$49,$CF$46&gt;$CF$47:$CF$49,$CF$47:$CF$49=$CF$49),1,0)</f>
        <v>0</v>
      </c>
      <c r="FI49" s="917"/>
      <c r="FK49" s="917"/>
      <c r="FM49" s="917"/>
    </row>
    <row r="50" spans="1:2374 10958:10958">
      <c r="A50" s="875"/>
      <c r="B50" s="875"/>
      <c r="C50" s="875"/>
      <c r="D50" s="152"/>
      <c r="E50" s="66"/>
      <c r="F50" s="77"/>
      <c r="G50" s="66"/>
      <c r="H50" s="66"/>
      <c r="I50" s="66"/>
      <c r="J50" s="66"/>
      <c r="K50" s="66"/>
      <c r="L50" s="66"/>
      <c r="M50" s="89"/>
      <c r="N50" s="66"/>
      <c r="O50" s="348"/>
      <c r="P50" s="66"/>
      <c r="Q50" s="66"/>
      <c r="R50" s="66"/>
      <c r="S50" s="66"/>
      <c r="T50" s="66"/>
      <c r="U50" s="66"/>
      <c r="V50" s="66"/>
      <c r="W50" s="66"/>
      <c r="X50" s="66"/>
      <c r="Y50" s="66"/>
      <c r="Z50" s="66"/>
      <c r="AA50" s="77"/>
      <c r="AB50" s="66"/>
      <c r="AC50" s="75"/>
      <c r="AD50" s="74"/>
      <c r="AE50" s="328"/>
      <c r="AF50" s="910"/>
      <c r="AG50" s="909"/>
      <c r="AH50" s="909"/>
      <c r="AJ50" s="909"/>
      <c r="AK50" s="909"/>
      <c r="AL50" s="909"/>
      <c r="AM50" s="909"/>
      <c r="AN50" s="909"/>
      <c r="AO50" s="909"/>
      <c r="AP50" s="909"/>
      <c r="AQ50" s="909"/>
      <c r="AR50" s="909"/>
      <c r="AS50" s="909"/>
      <c r="AT50" s="909"/>
      <c r="AU50" s="909"/>
      <c r="AV50" s="909"/>
      <c r="AW50" s="912"/>
      <c r="AX50" s="909"/>
      <c r="AY50" s="916"/>
      <c r="AZ50" s="909"/>
      <c r="BA50" s="909"/>
      <c r="BB50" s="917"/>
      <c r="BC50" s="917"/>
      <c r="BD50" s="917"/>
      <c r="BE50" s="917"/>
      <c r="BF50" s="917"/>
      <c r="BG50" s="917"/>
      <c r="BH50" s="917"/>
      <c r="BI50" s="917"/>
      <c r="BJ50" s="917"/>
      <c r="BK50" s="917"/>
      <c r="BL50" s="917"/>
      <c r="BM50" s="917"/>
      <c r="BN50" s="917"/>
      <c r="BO50" s="917"/>
      <c r="BP50" s="917"/>
      <c r="BQ50" s="917"/>
      <c r="BR50" s="917"/>
      <c r="BS50" s="917"/>
      <c r="CD50" s="918"/>
      <c r="FI50" s="917"/>
      <c r="FK50" s="917"/>
      <c r="FM50" s="917"/>
    </row>
    <row r="51" spans="1:2374 10958:10958" ht="15" customHeight="1" thickBot="1">
      <c r="A51" s="875"/>
      <c r="B51" s="872"/>
      <c r="C51" s="875"/>
      <c r="D51" s="66"/>
      <c r="E51" s="84"/>
      <c r="F51" s="83" t="str">
        <f>F35</f>
        <v>Fecha</v>
      </c>
      <c r="G51" s="83" t="str">
        <f t="shared" ref="G51:I51" si="34">G35</f>
        <v>Hora</v>
      </c>
      <c r="H51" s="85" t="str">
        <f t="shared" si="34"/>
        <v>Jor.</v>
      </c>
      <c r="I51" s="86" t="str">
        <f t="shared" si="34"/>
        <v>Casa</v>
      </c>
      <c r="J51" s="83"/>
      <c r="K51" s="87" t="s">
        <v>22</v>
      </c>
      <c r="L51" s="87" t="s">
        <v>22</v>
      </c>
      <c r="M51" s="87"/>
      <c r="N51" s="88" t="str">
        <f t="shared" ref="N51" si="35">N35</f>
        <v>Fuera</v>
      </c>
      <c r="O51" s="349"/>
      <c r="P51" s="69"/>
      <c r="Q51" s="69"/>
      <c r="R51" s="69"/>
      <c r="S51" s="69"/>
      <c r="T51" s="69"/>
      <c r="U51" s="69"/>
      <c r="V51" s="69"/>
      <c r="W51" s="69"/>
      <c r="X51" s="69"/>
      <c r="Y51" s="69"/>
      <c r="Z51" s="69"/>
      <c r="AA51" s="358"/>
      <c r="AB51" s="70"/>
      <c r="AC51" s="70"/>
      <c r="AD51" s="70"/>
      <c r="AE51" s="327"/>
      <c r="AF51" s="910"/>
      <c r="AG51" s="909"/>
      <c r="AH51" s="909"/>
      <c r="AI51" s="909"/>
      <c r="AJ51" s="909"/>
      <c r="AK51" s="909"/>
      <c r="AL51" s="909"/>
      <c r="AM51" s="909"/>
      <c r="AN51" s="909"/>
      <c r="AO51" s="909"/>
      <c r="AP51" s="909"/>
      <c r="AQ51" s="909"/>
      <c r="AR51" s="909"/>
      <c r="AS51" s="909"/>
      <c r="AT51" s="909"/>
      <c r="AU51" s="909"/>
      <c r="AV51" s="909"/>
      <c r="AW51" s="912"/>
      <c r="AX51" s="909"/>
      <c r="AY51" s="909"/>
      <c r="AZ51" s="909"/>
      <c r="BA51" s="909"/>
      <c r="BB51" s="909"/>
      <c r="BC51" s="909"/>
      <c r="BD51" s="909"/>
      <c r="BE51" s="909"/>
      <c r="BF51" s="909"/>
      <c r="BG51" s="909"/>
      <c r="BH51" s="909"/>
      <c r="BI51" s="909"/>
      <c r="BJ51" s="909"/>
      <c r="BK51" s="909"/>
      <c r="BL51" s="909"/>
      <c r="BM51" s="909"/>
      <c r="BN51" s="909"/>
      <c r="BO51" s="909"/>
      <c r="BP51" s="909"/>
      <c r="BQ51" s="909"/>
      <c r="BR51" s="909"/>
      <c r="BS51" s="909"/>
      <c r="BT51" s="909"/>
      <c r="BU51" s="909"/>
      <c r="BV51" s="909"/>
      <c r="BW51" s="909"/>
      <c r="BX51" s="909"/>
      <c r="BY51" s="909"/>
      <c r="BZ51" s="909"/>
      <c r="CA51" s="909"/>
      <c r="CB51" s="909"/>
      <c r="CC51" s="909"/>
      <c r="CD51" s="909"/>
      <c r="CE51" s="909"/>
      <c r="CF51" s="909"/>
      <c r="CG51" s="909"/>
      <c r="CL51" s="910">
        <v>1</v>
      </c>
      <c r="CM51" s="910">
        <v>12</v>
      </c>
      <c r="CN51" s="910">
        <v>18</v>
      </c>
      <c r="CO51" s="910">
        <v>19</v>
      </c>
      <c r="CP51" s="910">
        <v>13</v>
      </c>
      <c r="CQ51" s="910">
        <v>20</v>
      </c>
      <c r="CR51" s="910">
        <v>21</v>
      </c>
      <c r="CS51" s="910">
        <v>22</v>
      </c>
      <c r="CT51" s="910">
        <v>3</v>
      </c>
      <c r="CU51" s="910">
        <v>2</v>
      </c>
      <c r="CV51" s="910">
        <v>14</v>
      </c>
      <c r="CW51" s="910">
        <v>17</v>
      </c>
      <c r="CX51" s="910">
        <v>16</v>
      </c>
      <c r="CY51" s="910">
        <v>15</v>
      </c>
      <c r="CZ51" s="910">
        <v>4</v>
      </c>
      <c r="DA51" s="910">
        <v>5</v>
      </c>
      <c r="DB51" s="910">
        <v>10</v>
      </c>
      <c r="DC51" s="910">
        <v>8</v>
      </c>
      <c r="DD51" s="910">
        <v>6</v>
      </c>
      <c r="DE51" s="910">
        <v>11</v>
      </c>
      <c r="DF51" s="910">
        <v>7</v>
      </c>
      <c r="DG51" s="910">
        <v>9</v>
      </c>
      <c r="DH51" s="910"/>
      <c r="DI51" s="910"/>
      <c r="EC51" s="911" t="s">
        <v>41</v>
      </c>
      <c r="ED51" s="911" t="s">
        <v>42</v>
      </c>
      <c r="EE51" s="911" t="s">
        <v>44</v>
      </c>
      <c r="EF51" s="911" t="s">
        <v>45</v>
      </c>
      <c r="EG51" s="911" t="s">
        <v>46</v>
      </c>
      <c r="EH51" s="911" t="s">
        <v>47</v>
      </c>
      <c r="EI51" s="911" t="s">
        <v>48</v>
      </c>
      <c r="EJ51" s="911" t="s">
        <v>49</v>
      </c>
      <c r="EK51" s="911" t="s">
        <v>50</v>
      </c>
      <c r="EL51" s="911" t="s">
        <v>51</v>
      </c>
    </row>
    <row r="52" spans="1:2374 10958:10958">
      <c r="A52" s="871" t="s">
        <v>74</v>
      </c>
      <c r="B52" s="872" t="s">
        <v>7</v>
      </c>
      <c r="C52" s="873">
        <f>COUNTIF(Equipos!$C$2:$C$33,MUNDIAL!B52)</f>
        <v>4</v>
      </c>
      <c r="D52" s="152"/>
      <c r="E52" s="976" t="s">
        <v>7</v>
      </c>
      <c r="F52" s="253">
        <f>Horarios!C52</f>
        <v>44889.541666666664</v>
      </c>
      <c r="G52" s="254">
        <f>Horarios!C52</f>
        <v>44889.541666666664</v>
      </c>
      <c r="H52" s="253" t="s">
        <v>69</v>
      </c>
      <c r="I52" s="255" t="str">
        <f ca="1">A55</f>
        <v>Suiza</v>
      </c>
      <c r="J52" s="256" t="str">
        <f ca="1">VLOOKUP(I52,Equipos!$H$2:$I$33,2,0)</f>
        <v>🇨🇭</v>
      </c>
      <c r="K52" s="257">
        <v>1</v>
      </c>
      <c r="L52" s="257">
        <v>0</v>
      </c>
      <c r="M52" s="343" t="str">
        <f ca="1">VLOOKUP(N52,Equipos!$H$2:$I$33,2,0)</f>
        <v>🇨🇲</v>
      </c>
      <c r="N52" s="258" t="str">
        <f ca="1">A56</f>
        <v>Camerún</v>
      </c>
      <c r="O52" s="347">
        <f>IF(NOT(OR(ISBLANK(K52),ISBLANK(L52))),1,0)</f>
        <v>1</v>
      </c>
      <c r="P52" s="82"/>
      <c r="Q52" s="300" t="str">
        <f>CONCATENATE("Grupo"," ",B52)</f>
        <v>Grupo G</v>
      </c>
      <c r="R52" s="301"/>
      <c r="S52" s="301"/>
      <c r="T52" s="301"/>
      <c r="U52" s="301"/>
      <c r="V52" s="301"/>
      <c r="W52" s="301"/>
      <c r="X52" s="301"/>
      <c r="Y52" s="301"/>
      <c r="Z52" s="302"/>
      <c r="AA52" s="359"/>
      <c r="AB52" s="1015" t="s">
        <v>65</v>
      </c>
      <c r="AC52" s="1015"/>
      <c r="AD52" s="1015"/>
      <c r="AE52" s="327"/>
      <c r="AF52" s="910"/>
      <c r="AG52" s="909"/>
      <c r="AH52" s="909" t="str">
        <f>CONCATENATE("Auxiliar - ",Q52)</f>
        <v>Auxiliar - Grupo G</v>
      </c>
      <c r="AI52" s="909"/>
      <c r="AJ52" s="909"/>
      <c r="AK52" s="909"/>
      <c r="AL52" s="909"/>
      <c r="AM52" s="909"/>
      <c r="AN52" s="909"/>
      <c r="AO52" s="909"/>
      <c r="AP52" s="909"/>
      <c r="AQ52" s="909"/>
      <c r="AR52" s="909"/>
      <c r="AS52" s="909"/>
      <c r="AT52" s="909"/>
      <c r="AU52" s="909" t="s">
        <v>38</v>
      </c>
      <c r="AV52" s="909"/>
      <c r="AW52" s="912"/>
      <c r="AX52" s="909"/>
      <c r="AY52" s="910" t="str">
        <f>CONCATENATE(Q52," - GOLAVERAGE")</f>
        <v>Grupo G - GOLAVERAGE</v>
      </c>
      <c r="AZ52" s="909"/>
      <c r="BA52" s="909"/>
      <c r="BB52" s="909" t="s">
        <v>28</v>
      </c>
      <c r="BC52" s="909"/>
      <c r="BD52" s="909"/>
      <c r="BE52" s="909"/>
      <c r="BF52" s="909"/>
      <c r="BG52" s="909"/>
      <c r="BH52" s="909" t="s">
        <v>27</v>
      </c>
      <c r="BI52" s="909"/>
      <c r="BJ52" s="909"/>
      <c r="BK52" s="909"/>
      <c r="BL52" s="909"/>
      <c r="BM52" s="909"/>
      <c r="BN52" s="909" t="s">
        <v>123</v>
      </c>
      <c r="BO52" s="917"/>
      <c r="BP52" s="917"/>
      <c r="BQ52" s="917"/>
      <c r="BR52" s="917"/>
      <c r="BS52" s="917"/>
      <c r="CI52" s="909" t="s">
        <v>62</v>
      </c>
      <c r="CK52" s="909" t="s">
        <v>63</v>
      </c>
      <c r="CL52" s="909">
        <f t="shared" ref="CL52:DG52" ca="1" si="36">SUM(CL54:CL57)</f>
        <v>0</v>
      </c>
      <c r="CM52" s="909">
        <f t="shared" ca="1" si="36"/>
        <v>0</v>
      </c>
      <c r="CN52" s="909">
        <f t="shared" ca="1" si="36"/>
        <v>0</v>
      </c>
      <c r="CO52" s="909">
        <f t="shared" ca="1" si="36"/>
        <v>2</v>
      </c>
      <c r="CP52" s="909">
        <f t="shared" ca="1" si="36"/>
        <v>0</v>
      </c>
      <c r="CQ52" s="909">
        <f t="shared" ca="1" si="36"/>
        <v>1</v>
      </c>
      <c r="CR52" s="909">
        <f t="shared" ca="1" si="36"/>
        <v>0</v>
      </c>
      <c r="CS52" s="909">
        <f t="shared" ca="1" si="36"/>
        <v>2</v>
      </c>
      <c r="CT52" s="909">
        <f t="shared" ca="1" si="36"/>
        <v>0</v>
      </c>
      <c r="CU52" s="909">
        <f t="shared" ca="1" si="36"/>
        <v>0</v>
      </c>
      <c r="CV52" s="909">
        <f t="shared" ca="1" si="36"/>
        <v>0</v>
      </c>
      <c r="CW52" s="909">
        <f t="shared" ca="1" si="36"/>
        <v>0</v>
      </c>
      <c r="CX52" s="909">
        <f t="shared" ca="1" si="36"/>
        <v>0</v>
      </c>
      <c r="CY52" s="909">
        <f t="shared" ca="1" si="36"/>
        <v>1</v>
      </c>
      <c r="CZ52" s="909">
        <f t="shared" ca="1" si="36"/>
        <v>0</v>
      </c>
      <c r="DA52" s="909">
        <f t="shared" ca="1" si="36"/>
        <v>0</v>
      </c>
      <c r="DB52" s="909">
        <f t="shared" ca="1" si="36"/>
        <v>0</v>
      </c>
      <c r="DC52" s="909">
        <f t="shared" ca="1" si="36"/>
        <v>0</v>
      </c>
      <c r="DD52" s="909">
        <f t="shared" ca="1" si="36"/>
        <v>0</v>
      </c>
      <c r="DE52" s="909">
        <f t="shared" ca="1" si="36"/>
        <v>0</v>
      </c>
      <c r="DF52" s="909">
        <f t="shared" ca="1" si="36"/>
        <v>0</v>
      </c>
      <c r="DG52" s="909">
        <f t="shared" ca="1" si="36"/>
        <v>0</v>
      </c>
      <c r="EC52" s="911">
        <v>1234</v>
      </c>
      <c r="ED52" s="911">
        <v>123</v>
      </c>
      <c r="EE52" s="911">
        <v>12</v>
      </c>
      <c r="EF52" s="911">
        <v>234</v>
      </c>
      <c r="EG52" s="911">
        <v>34</v>
      </c>
      <c r="EH52" s="911">
        <v>23</v>
      </c>
      <c r="EI52" s="911">
        <v>1</v>
      </c>
      <c r="EJ52" s="911">
        <v>2</v>
      </c>
      <c r="EK52" s="911">
        <v>3</v>
      </c>
      <c r="EL52" s="911">
        <v>4</v>
      </c>
      <c r="FM52" s="917"/>
      <c r="CJJ52" s="910"/>
      <c r="CJK52" s="910"/>
      <c r="CJL52" s="910"/>
      <c r="CJM52" s="910"/>
      <c r="CJN52" s="910"/>
      <c r="CJO52" s="910"/>
    </row>
    <row r="53" spans="1:2374 10958:10958" ht="16" thickBot="1">
      <c r="A53" s="871" t="str" cm="1">
        <f t="array" aca="1" ref="A53" ca="1">IF(ROWS(A$53:A53)&lt;=$C$52,INDEX(INDIRECT(A$52),SMALL(IF(Nivell=$B$52,ROW(Nivell)-ROW(Equipos!$C$2)+1),ROWS(B$52:B52))),"")</f>
        <v>Brasil</v>
      </c>
      <c r="B53" s="872"/>
      <c r="C53" s="872"/>
      <c r="D53" s="152"/>
      <c r="E53" s="977"/>
      <c r="F53" s="248">
        <f>Horarios!C53</f>
        <v>44889.916666666664</v>
      </c>
      <c r="G53" s="249">
        <f>Horarios!C53</f>
        <v>44889.916666666664</v>
      </c>
      <c r="H53" s="248" t="s">
        <v>69</v>
      </c>
      <c r="I53" s="250" t="str">
        <f ca="1">A53</f>
        <v>Brasil</v>
      </c>
      <c r="J53" s="251" t="str">
        <f ca="1">VLOOKUP(I53,Equipos!$H$2:$I$33,2,0)</f>
        <v>🇧🇷</v>
      </c>
      <c r="K53" s="252">
        <v>2</v>
      </c>
      <c r="L53" s="252">
        <v>0</v>
      </c>
      <c r="M53" s="344" t="str">
        <f ca="1">VLOOKUP(N53,Equipos!$H$2:$I$33,2,0)</f>
        <v>🇷🇸</v>
      </c>
      <c r="N53" s="259" t="str">
        <f ca="1">A54</f>
        <v>Serbia</v>
      </c>
      <c r="O53" s="347">
        <f t="shared" ref="O53:O57" si="37">IF(NOT(OR(ISBLANK(K53),ISBLANK(L53))),1,0)</f>
        <v>1</v>
      </c>
      <c r="P53" s="82"/>
      <c r="Q53" s="409" t="s">
        <v>17</v>
      </c>
      <c r="R53" s="410" t="s">
        <v>100</v>
      </c>
      <c r="S53" s="411" t="s">
        <v>76</v>
      </c>
      <c r="T53" s="411" t="s">
        <v>6</v>
      </c>
      <c r="U53" s="411" t="s">
        <v>7</v>
      </c>
      <c r="V53" s="411" t="s">
        <v>3</v>
      </c>
      <c r="W53" s="411" t="s">
        <v>8</v>
      </c>
      <c r="X53" s="411" t="s">
        <v>9</v>
      </c>
      <c r="Y53" s="411" t="s">
        <v>10</v>
      </c>
      <c r="Z53" s="412" t="s">
        <v>99</v>
      </c>
      <c r="AA53" s="359">
        <f ca="1">COUNTIF(AA54:AA57,"&lt;100")</f>
        <v>0</v>
      </c>
      <c r="AB53" s="1015"/>
      <c r="AC53" s="1015"/>
      <c r="AD53" s="1015"/>
      <c r="AE53" s="327"/>
      <c r="AF53" s="910"/>
      <c r="AG53" s="913" t="s">
        <v>38</v>
      </c>
      <c r="AH53" s="913" t="s">
        <v>13</v>
      </c>
      <c r="AI53" s="913" t="s">
        <v>5</v>
      </c>
      <c r="AJ53" s="913" t="s">
        <v>14</v>
      </c>
      <c r="AK53" s="913" t="s">
        <v>6</v>
      </c>
      <c r="AL53" s="913" t="s">
        <v>7</v>
      </c>
      <c r="AM53" s="913" t="s">
        <v>3</v>
      </c>
      <c r="AN53" s="913" t="s">
        <v>8</v>
      </c>
      <c r="AO53" s="913" t="s">
        <v>9</v>
      </c>
      <c r="AP53" s="913" t="s">
        <v>10</v>
      </c>
      <c r="AQ53" s="913" t="s">
        <v>11</v>
      </c>
      <c r="AR53" s="913" t="s">
        <v>15</v>
      </c>
      <c r="AS53" s="913" t="s">
        <v>13</v>
      </c>
      <c r="AT53" s="909"/>
      <c r="AU53" s="909"/>
      <c r="AV53" s="909"/>
      <c r="AW53" s="912"/>
      <c r="AX53" s="909"/>
      <c r="AY53" s="913" t="s">
        <v>5</v>
      </c>
      <c r="AZ53" s="913" t="s">
        <v>29</v>
      </c>
      <c r="BA53" s="913" t="s">
        <v>32</v>
      </c>
      <c r="BB53" s="913" t="s">
        <v>31</v>
      </c>
      <c r="BC53" s="913" t="s">
        <v>26</v>
      </c>
      <c r="BD53" s="913" t="str">
        <f ca="1">AY54</f>
        <v>Brasil</v>
      </c>
      <c r="BE53" s="913" t="str">
        <f ca="1">AY55</f>
        <v>Serbia</v>
      </c>
      <c r="BF53" s="913" t="str">
        <f ca="1">AY56</f>
        <v>Suiza</v>
      </c>
      <c r="BG53" s="913" t="str">
        <f ca="1">AY57</f>
        <v>Camerún</v>
      </c>
      <c r="BH53" s="913" t="s">
        <v>31</v>
      </c>
      <c r="BI53" s="913" t="s">
        <v>26</v>
      </c>
      <c r="BJ53" s="913" t="str">
        <f ca="1">BD53</f>
        <v>Brasil</v>
      </c>
      <c r="BK53" s="913" t="str">
        <f ca="1">BE53</f>
        <v>Serbia</v>
      </c>
      <c r="BL53" s="913" t="str">
        <f ca="1">BF53</f>
        <v>Suiza</v>
      </c>
      <c r="BM53" s="913" t="str">
        <f ca="1">BG53</f>
        <v>Camerún</v>
      </c>
      <c r="BN53" s="913" t="s">
        <v>31</v>
      </c>
      <c r="BO53" s="913" t="s">
        <v>26</v>
      </c>
      <c r="BP53" s="913" t="str">
        <f ca="1">BD53</f>
        <v>Brasil</v>
      </c>
      <c r="BQ53" s="913" t="str">
        <f ca="1">BE53</f>
        <v>Serbia</v>
      </c>
      <c r="BR53" s="913" t="str">
        <f ca="1">BF53</f>
        <v>Suiza</v>
      </c>
      <c r="BS53" s="913" t="str">
        <f ca="1">BG53</f>
        <v>Camerún</v>
      </c>
      <c r="BU53" s="914"/>
      <c r="BV53" s="914" t="s">
        <v>39</v>
      </c>
      <c r="BW53" s="914"/>
      <c r="BX53" s="914" t="s">
        <v>40</v>
      </c>
      <c r="BY53" s="914"/>
      <c r="CA53" s="914"/>
      <c r="CB53" s="914" t="s">
        <v>5</v>
      </c>
      <c r="CC53" s="914" t="s">
        <v>14</v>
      </c>
      <c r="CD53" s="914" t="s">
        <v>59</v>
      </c>
      <c r="CE53" s="914" t="s">
        <v>11</v>
      </c>
      <c r="CF53" s="914" t="s">
        <v>60</v>
      </c>
      <c r="CG53" s="914"/>
      <c r="CK53" s="909" t="s">
        <v>64</v>
      </c>
      <c r="CL53" s="909" t="s">
        <v>43</v>
      </c>
      <c r="CM53" s="909" t="s">
        <v>52</v>
      </c>
      <c r="CN53" s="909" t="s">
        <v>53</v>
      </c>
      <c r="CO53" s="909" t="s">
        <v>54</v>
      </c>
      <c r="CP53" s="909" t="s">
        <v>55</v>
      </c>
      <c r="CQ53" s="909" t="s">
        <v>56</v>
      </c>
      <c r="CR53" s="909" t="s">
        <v>57</v>
      </c>
      <c r="CS53" s="909" t="s">
        <v>58</v>
      </c>
      <c r="CT53" s="909" t="s">
        <v>53</v>
      </c>
      <c r="CU53" s="909" t="s">
        <v>53</v>
      </c>
      <c r="CV53" s="909" t="s">
        <v>54</v>
      </c>
      <c r="CW53" s="909" t="s">
        <v>57</v>
      </c>
      <c r="CX53" s="909" t="s">
        <v>56</v>
      </c>
      <c r="CY53" s="909" t="s">
        <v>56</v>
      </c>
      <c r="CZ53" s="909" t="s">
        <v>55</v>
      </c>
      <c r="DA53" s="909" t="s">
        <v>52</v>
      </c>
      <c r="DB53" s="909" t="s">
        <v>57</v>
      </c>
      <c r="DC53" s="909" t="s">
        <v>56</v>
      </c>
      <c r="DD53" s="909" t="s">
        <v>54</v>
      </c>
      <c r="DE53" s="909" t="s">
        <v>57</v>
      </c>
      <c r="DF53" s="909" t="s">
        <v>54</v>
      </c>
      <c r="DG53" s="909" t="s">
        <v>56</v>
      </c>
      <c r="EC53" s="911">
        <v>1</v>
      </c>
      <c r="ED53" s="911">
        <v>1</v>
      </c>
      <c r="EE53" s="911">
        <v>1</v>
      </c>
      <c r="EF53" s="911">
        <v>2</v>
      </c>
      <c r="EG53" s="911">
        <v>3</v>
      </c>
      <c r="EH53" s="911">
        <v>2</v>
      </c>
      <c r="EI53" s="911">
        <v>1</v>
      </c>
      <c r="EJ53" s="911">
        <v>2</v>
      </c>
      <c r="EK53" s="911">
        <v>3</v>
      </c>
      <c r="EL53" s="911">
        <v>4</v>
      </c>
      <c r="FI53" s="913"/>
      <c r="FK53" s="913"/>
      <c r="FM53" s="913"/>
      <c r="HW53" s="917"/>
      <c r="CJI53" s="910"/>
    </row>
    <row r="54" spans="1:2374 10958:10958">
      <c r="A54" s="871" t="str" cm="1">
        <f t="array" aca="1" ref="A54" ca="1">IF(ROWS(A$53:A54)&lt;=$C$52,INDEX(INDIRECT(A$52),SMALL(IF(Nivell=$B$52,ROW(Nivell)-ROW(Equipos!$C$2)+1),ROWS(B$52:B53))),"")</f>
        <v>Serbia</v>
      </c>
      <c r="B54" s="872"/>
      <c r="C54" s="874"/>
      <c r="D54" s="152"/>
      <c r="E54" s="977"/>
      <c r="F54" s="248">
        <f>Horarios!C54</f>
        <v>44893.541666666664</v>
      </c>
      <c r="G54" s="249">
        <f>Horarios!C54</f>
        <v>44893.541666666664</v>
      </c>
      <c r="H54" s="248" t="s">
        <v>70</v>
      </c>
      <c r="I54" s="250" t="str">
        <f ca="1">A56</f>
        <v>Camerún</v>
      </c>
      <c r="J54" s="251" t="str">
        <f ca="1">VLOOKUP(I54,Equipos!$H$2:$I$33,2,0)</f>
        <v>🇨🇲</v>
      </c>
      <c r="K54" s="252">
        <v>3</v>
      </c>
      <c r="L54" s="252">
        <v>3</v>
      </c>
      <c r="M54" s="344" t="str">
        <f ca="1">VLOOKUP(N54,Equipos!$H$2:$I$33,2,0)</f>
        <v>🇷🇸</v>
      </c>
      <c r="N54" s="259" t="str">
        <f ca="1">A54</f>
        <v>Serbia</v>
      </c>
      <c r="O54" s="347">
        <f t="shared" si="37"/>
        <v>1</v>
      </c>
      <c r="P54" s="82"/>
      <c r="Q54" s="309">
        <v>1</v>
      </c>
      <c r="R54" s="310" t="str">
        <f ca="1">VLOOKUP(Q54,$AG$54:$AI$57,3,0)</f>
        <v>Brasil</v>
      </c>
      <c r="S54" s="311">
        <f ca="1">VLOOKUP(R54,$AI$54:$AR$57,2,FALSE)</f>
        <v>6</v>
      </c>
      <c r="T54" s="311">
        <f ca="1">VLOOKUP($R54,$AI$54:$AR$57,3,FALSE)</f>
        <v>3</v>
      </c>
      <c r="U54" s="311">
        <f ca="1">VLOOKUP($R54,$AI$54:$AR$57,4,FALSE)</f>
        <v>2</v>
      </c>
      <c r="V54" s="311">
        <f ca="1">VLOOKUP($R54,$AI$54:$AR$57,5,FALSE)</f>
        <v>0</v>
      </c>
      <c r="W54" s="311">
        <f ca="1">VLOOKUP($R54,$AI$54:$AR$57,6,FALSE)</f>
        <v>1</v>
      </c>
      <c r="X54" s="311">
        <f ca="1">VLOOKUP($R54,$AI$54:$AR$57,7,FALSE)</f>
        <v>3</v>
      </c>
      <c r="Y54" s="311">
        <f ca="1">VLOOKUP($R54,$AI$54:$AR$57,8,FALSE)</f>
        <v>1</v>
      </c>
      <c r="Z54" s="312">
        <f ca="1">VLOOKUP($R54,$AI$54:$AR$57,9,FALSE)</f>
        <v>2</v>
      </c>
      <c r="AA54" s="357">
        <f ca="1">IF(SUM($AK$54:$AK$57)=12,MIN(ABS(BY53-BY54),ABS(BY54-BY55)),100)</f>
        <v>4000000.0200004578</v>
      </c>
      <c r="AB54" s="94" t="str">
        <f ca="1">IF(AND(AA54&gt;=0,AA54&lt;90),VLOOKUP(Q54,$BU$54:$BV$57,2,0),"")</f>
        <v/>
      </c>
      <c r="AC54" s="73"/>
      <c r="AD54" s="74"/>
      <c r="AE54" s="328"/>
      <c r="AF54" s="910">
        <f ca="1">VLOOKUP($R54,$AI$54:$AR$57,10,FALSE)</f>
        <v>6679210499.75</v>
      </c>
      <c r="AG54" s="909">
        <f ca="1">RANK(AU54,$AU$54:$AU$57)</f>
        <v>1</v>
      </c>
      <c r="AH54" s="909">
        <f ca="1">RANK(AR54,$AR$54:$AR$57)</f>
        <v>1</v>
      </c>
      <c r="AI54" s="911" t="str">
        <f ca="1">A53</f>
        <v>Brasil</v>
      </c>
      <c r="AJ54" s="909">
        <f ca="1">AL54*3+AM54*1+AN54*0</f>
        <v>6</v>
      </c>
      <c r="AK54" s="909">
        <f ca="1">COUNTIFS($I$4:$I$65,AI54,$K$4:$K$65,"&lt;&gt;",$L$4:$L$65,"&lt;&gt;")+COUNTIFS($N$4:$N$65,AI54,$L$4:$L$65,"&lt;&gt;",$K$4:$K$65,"&lt;&gt;")</f>
        <v>3</v>
      </c>
      <c r="AL54" s="909">
        <f t="array" aca="1" ref="AL54" ca="1">SUM(($I$4:$I$65=AI54)*($K$4:$K$65&lt;&gt;"")*($L$4:$L$65&lt;&gt;"")*($K$4:$K$65&gt;$L$4:$L$65),($N$4:$N$65=AI54)*($K$4:$K$65&lt;&gt;"")*($L$4:$L$65&lt;&gt;"")*($K$4:$K$65&lt;$L$4:$L$65))</f>
        <v>2</v>
      </c>
      <c r="AM54" s="909">
        <f t="array" aca="1" ref="AM54" ca="1">SUM(($I$4:$I$65=AI54)*($K$4:$K$65&lt;&gt;"")*($L$4:$L$65&lt;&gt;"")*($K$4:$K$65=$L$4:$L$65),($N$4:$N$65=AI54)*($K$4:$K$65&lt;&gt;"")*($L$4:$L$65&lt;&gt;"")*($K$4:$K$65=$L$4:$L$65))</f>
        <v>0</v>
      </c>
      <c r="AN54" s="909">
        <f t="array" aca="1" ref="AN54" ca="1">SUM(($I$4:$I$65=AI54)*($L$4:$L$65&lt;&gt;"")*($K$4:$K$65&lt;&gt;"")*($K$4:$K$65&lt;$L$4:$L$65),($K$4:$K$65&lt;&gt;"")*($N$4:$N$65=AI54)*($L$4:$L$65&lt;&gt;"")*($K$4:$K$65&gt;$L$4:$L$65))</f>
        <v>1</v>
      </c>
      <c r="AO54" s="909">
        <f t="array" aca="1" ref="AO54" ca="1">SUMIFS($K$4:$K$65,$I$4:$I$65,AI54,$K$4:$K$65,"&lt;&gt;",$L$4:$L$65,"&lt;&gt;")+SUMIFS($L$4:$L$65,$N$4:$N$65,AI54,$K$4:$K$65,"&lt;&gt;",$L$4:$L$65,"&lt;&gt;")</f>
        <v>3</v>
      </c>
      <c r="AP54" s="909">
        <f t="array" aca="1" ref="AP54" ca="1">SUMIFS($K$4:$K$65,$N$4:$N$65,AI54,$K$4:$K$65,"&lt;&gt;",$L$4:$L$65,"&lt;&gt;")+SUMIFS($L$4:$L$65,$I$4:$I$65,AI54,$K$4:$K$65,"&lt;&gt;",$L$4:$L$65,"&lt;&gt;")</f>
        <v>1</v>
      </c>
      <c r="AQ54" s="909">
        <f ca="1">AO54-AP54</f>
        <v>2</v>
      </c>
      <c r="AR54" s="909">
        <f ca="1">IF(AK54=0,-($AW$11*VLOOKUP(AI54,Tabla3[[NombreEquipo]:[Rank]],3,FALSE)),AJ54*$AW$4+AQ54*$AW$5+AO54*$AW$6+BA54-($AW$11*VLOOKUP(AI54,Tabla3[[NombreEquipo]:[Rank]],3,FALSE)/100))</f>
        <v>6679210499.75</v>
      </c>
      <c r="AS54" s="909">
        <f ca="1">AH54</f>
        <v>1</v>
      </c>
      <c r="AT54" s="909"/>
      <c r="AU54" s="909">
        <f ca="1">IFERROR(AR54-VLOOKUP(AI54,$AB$54:$AC$57,2,0),AR54)</f>
        <v>6679210499.75</v>
      </c>
      <c r="AV54" s="909"/>
      <c r="AW54" s="912"/>
      <c r="AX54" s="909"/>
      <c r="AY54" s="916" t="str">
        <f ca="1">AI54</f>
        <v>Brasil</v>
      </c>
      <c r="AZ54" s="909">
        <f ca="1">COUNTIF(AJ54:AJ57,AJ54)</f>
        <v>2</v>
      </c>
      <c r="BA54" s="909">
        <f t="shared" ref="BA54:BA55" ca="1" si="38">(BB54*$AW$9)+(BH54*$AW$8)+(BN54*$AW$7)</f>
        <v>210500</v>
      </c>
      <c r="BB54" s="917">
        <f ca="1">RANK(BC54,BC54:BC57,1)</f>
        <v>1</v>
      </c>
      <c r="BC54" s="917">
        <f ca="1">SUM(IF(AND(AJ54=AJ55,AQ54=AQ55,AO54=AO55),BE54,0),IF(AND(AJ54=AJ56,AQ54=AQ56,AO54=AO56),BF54,0),IF(AND(AJ54=AJ57,AQ54=AQ57,AO54=AO57),BG54,0))</f>
        <v>0</v>
      </c>
      <c r="BD54" s="917">
        <v>0</v>
      </c>
      <c r="BE54" s="917">
        <f t="array" aca="1" ref="BE54" ca="1">SUMIFS($K$52:$K$57,$I$52:$I$57,$AY54,$K$52:$K$57,"&lt;&gt;",$L$52:$L$57,"&lt;&gt;",$N$52:$N$57,BE53)+SUMIFS($L$52:$L$57,$I$52:$I$57,BE53,$K$52:$K$57,"&lt;&gt;",$L$52:$L$57,"&lt;&gt;",$N$52:$N$57,$AY54)</f>
        <v>2</v>
      </c>
      <c r="BF54" s="917">
        <f t="array" aca="1" ref="BF54" ca="1">SUMIFS($K$52:$K$57,$I$52:$I$57,$AY54,$K$52:$K$57,"&lt;&gt;",$L$52:$L$57,"&lt;&gt;",$N$52:$N$57,BF53)+SUMIFS($L$52:$L$57,$I$52:$I$57,BF53,$K$52:$K$57,"&lt;&gt;",$L$52:$L$57,"&lt;&gt;",$N$52:$N$57,$AY54)</f>
        <v>1</v>
      </c>
      <c r="BG54" s="917">
        <f t="array" aca="1" ref="BG54" ca="1">SUMIFS($K$52:$K$57,$I$52:$I$57,$AY54,$K$52:$K$57,"&lt;&gt;",$L$52:$L$57,"&lt;&gt;",$N$52:$N$57,BG53)+SUMIFS($L$52:$L$57,$I$52:$I$57,BG53,$K$52:$K$57,"&lt;&gt;",$L$52:$L$57,"&lt;&gt;",$N$52:$N$57,$AY54)</f>
        <v>0</v>
      </c>
      <c r="BH54" s="917">
        <f ca="1">RANK(BI54,BI54:BI57,1)</f>
        <v>1</v>
      </c>
      <c r="BI54" s="917">
        <f ca="1">SUM(IF(AND(AJ54=AJ55,AQ54=AQ55,AO54=AO55),BK54,0),IF(AND(AJ54=AJ56,AQ54=AQ56,AO54=AO56),BL54,0),IF(AND(AJ54=AJ57,AQ54=AQ57,AO54=AO57),BM54,0))</f>
        <v>0</v>
      </c>
      <c r="BJ54" s="917">
        <v>0</v>
      </c>
      <c r="BK54" s="917">
        <f ca="1">BE54-BD55</f>
        <v>2</v>
      </c>
      <c r="BL54" s="917">
        <f ca="1">BF54-BD56</f>
        <v>1</v>
      </c>
      <c r="BM54" s="917">
        <f ca="1">BG54-BD57</f>
        <v>-1</v>
      </c>
      <c r="BN54" s="917">
        <f ca="1">RANK(BO54,BO54:BO57,1)</f>
        <v>1</v>
      </c>
      <c r="BO54" s="917">
        <f ca="1">SUM(IF(AND(AJ54=AJ55,AQ54=AQ55,AO54=AO55),BQ54,0),IF(AND(AJ54=AJ56,AQ54=AQ56,AO54=AO56),BR54,0),IF(AND(AJ54=AJ57,AQ54=AQ57,AO54=AO57),BS54,0))</f>
        <v>0</v>
      </c>
      <c r="BP54" s="917">
        <v>0</v>
      </c>
      <c r="BQ54" s="917">
        <f t="array" aca="1" ref="BQ54" ca="1">SUM((I$4:I$57=AY54)*(N$4:N$57=BQ53)*(K$4:K$57&lt;&gt;"")*(L$4:L$57&lt;&gt;"")*(K$4:K$57&gt;L$4:L$57)*3,(N$4:N$57=AY54)*(I$4:I$57=BQ53)*(K$4:K$57&lt;&gt;"")*(L$4:L$57&lt;&gt;"")*(K$4:K$57=L$4:L$57)*1,(N$4:N$57=AY54)*(I$4:I$57=BQ53)*(K$4:K$57&lt;&gt;"")*(L$4:L$57&lt;&gt;"")*(K$4:K$57&lt;L$4:L$57)*3,(I$4:I$57=AY54)*(N$4:N$57=BQ53)*(K$4:K$57&lt;&gt;"")*(L$4:L$57&lt;&gt;"")*(K$4:K$57=L$4:L$57)*1)</f>
        <v>3</v>
      </c>
      <c r="BR54" s="917">
        <f t="array" aca="1" ref="BR54" ca="1">SUM((I$4:I$57=AY54)*(N$4:N$57=BR53)*(K$4:K$57&lt;&gt;"")*(L$4:L$57&lt;&gt;"")*(K$4:K$57&gt;L$4:L$57)*3,(N$4:N$57=AY54)*(I$4:I$57=BR53)*(K$4:K$57&lt;&gt;"")*(L$4:L$57&lt;&gt;"")*(K$4:K$57=L$4:L$57)*1,(N$4:N$57=AY54)*(I$4:I$57=BR53)*(K$4:K$57&lt;&gt;"")*(L$4:L$57&lt;&gt;"")*(K$4:K$57&lt;L$4:L$57)*3,(I$4:I$57=AY54)*(N$4:N$57=BR53)*(K$4:K$57&lt;&gt;"")*(L$4:L$57&lt;&gt;"")*(K$4:K$57=L$4:L$57)*1)</f>
        <v>3</v>
      </c>
      <c r="BS54" s="917">
        <f t="array" aca="1" ref="BS54" ca="1">SUM((I$4:I$57=AY54)*(N$4:N$57=BS53)*(K$4:K$57&lt;&gt;"")*(L$4:L$57&lt;&gt;"")*(K$4:K$57&gt;L$4:L$57)*3,(N$4:N$57=AY54)*(I$4:I$57=BS53)*(K$4:K$57&lt;&gt;"")*(L$4:L$57&lt;&gt;"")*(K$4:K$57=L$4:L$57)*1,(N$4:N$57=AY54)*(I$4:I$57=BS53)*(K$4:K$57&lt;&gt;"")*(L$4:L$57&lt;&gt;"")*(K$4:K$57&lt;L$4:L$57)*3,(I$4:I$57=AY54)*(N$4:N$57=BS53)*(K$4:K$57&lt;&gt;"")*(L$4:L$57&lt;&gt;"")*(K$4:K$57=L$4:L$57)*1)</f>
        <v>0</v>
      </c>
      <c r="BT54" s="911">
        <v>1</v>
      </c>
      <c r="BU54" s="911">
        <f ca="1">RANK(BW54,$BW$54:$BW$57)</f>
        <v>1</v>
      </c>
      <c r="BV54" s="911" t="str">
        <f ca="1">A53</f>
        <v>Brasil</v>
      </c>
      <c r="BW54" s="911">
        <f t="shared" ref="BW54" ca="1" si="39">AR54</f>
        <v>6679210499.75</v>
      </c>
      <c r="BX54" s="911" t="str">
        <f ca="1">VLOOKUP(Q54,$AH$54:$AI$57,2,0)</f>
        <v>Brasil</v>
      </c>
      <c r="BY54" s="911">
        <f ca="1">VLOOKUP($BX54,$AI$54:$AR$57,10,FALSE)</f>
        <v>6679210499.75</v>
      </c>
      <c r="CA54" s="911">
        <v>1</v>
      </c>
      <c r="CB54" s="911" t="str">
        <f ca="1">VLOOKUP(CA54,$AH$54:$AI$57,2,0)</f>
        <v>Brasil</v>
      </c>
      <c r="CC54" s="911">
        <f ca="1">VLOOKUP(CB54,$AI$54:$AR$57,2,FALSE)</f>
        <v>6</v>
      </c>
      <c r="CD54" s="918">
        <f ca="1">IF(SUM($AK$54:$AK$57)=12,MIN(ABS(BY53-BY54),ABS(BY54-BY55)),100)</f>
        <v>4000000.0200004578</v>
      </c>
      <c r="CE54" s="911">
        <f ca="1">VLOOKUP($CB54,$AI$54:$AR$57,9,FALSE)</f>
        <v>2</v>
      </c>
      <c r="CF54" s="911">
        <f ca="1">VLOOKUP($CB54,$AI$54:$AR$57,7,FALSE)</f>
        <v>3</v>
      </c>
      <c r="CH54" s="911">
        <f t="array" aca="1" ref="CH54" ca="1">IF($CI$54=$CL$53,$EC$53:$EC$56,IF($CI$54=$CM$53,$ED$53:$ED$55,IF(OR($CI$54=$CN$53,$CI$54=$CO$53),$EE$53:$EE$54,$EI$53)))</f>
        <v>1</v>
      </c>
      <c r="CI54" s="909" t="str">
        <f ca="1">IFERROR(HLOOKUP(4,CL52:DI53,2,0),CS53)</f>
        <v>COM_8</v>
      </c>
      <c r="CK54" s="909">
        <v>1</v>
      </c>
      <c r="CL54" s="909">
        <f t="array" aca="1" ref="CL54" ca="1">IF(AND($CC$54:$CC$57=$CC$54,$CD$54:$CD$57&lt;90,$AQ$54:$AQ$57=$AQ$54,$CF$54:$CF$57=$CF$54),1,0)</f>
        <v>0</v>
      </c>
      <c r="CM54" s="909">
        <f t="array" aca="1" ref="CM54" ca="1">IF(AND($CC$54:$CC$56=$CC$54,$CD$54:$CD$56&lt;90,$CC$54&lt;&gt;$CC$57),1,0)</f>
        <v>0</v>
      </c>
      <c r="CN54" s="909">
        <f t="array" aca="1" ref="CN54" ca="1">IF(AND($CC$54:$CC$55=$CC$54,$CD$54:$CD$55&lt;90,$CC$54&lt;&gt;$CC$56),1,0)</f>
        <v>0</v>
      </c>
      <c r="CO54" s="909">
        <f t="array" aca="1" ref="CO54" ca="1">IF(AND($CC$54:$CC$55=$CC$54,$CD$54:$CD$55&lt;90,$CC$54&lt;&gt;$CC$56),1,0)</f>
        <v>0</v>
      </c>
      <c r="CP54" s="909">
        <f t="array" aca="1" ref="CP54" ca="1">IF(AND($CC$55:$CC$57=$CC$55,$CD$55:$CD$57&lt;90,$CC$54&lt;&gt;$CC$55),1,0)</f>
        <v>0</v>
      </c>
      <c r="CQ54" s="909">
        <f t="array" aca="1" ref="CQ54" ca="1">IF(AND($CC$54&lt;&gt;$CC$55,$CC$54&lt;&gt;$CC$57),1,0)</f>
        <v>0</v>
      </c>
      <c r="CR54" s="909">
        <f t="array" aca="1" ref="CR54" ca="1">IF(AND($CC$54&lt;&gt;$CC$55,$CC$54&lt;&gt;$CC$57),1,0)</f>
        <v>0</v>
      </c>
      <c r="CS54" s="909">
        <f t="array" aca="1" ref="CS54" ca="1">IF(AND($CC$54&lt;&gt;$CC$55,$CC$54&lt;&gt;$CC$57),1,0)</f>
        <v>0</v>
      </c>
      <c r="CT54" s="909">
        <f ca="1">IF(AND($CC$54:$CC$57=$CC$54,$CD$54:$CD$57&lt;90,$CE$54:$CE$55=$CE$54,$CE$54&lt;&gt;$CE$56),1,0)</f>
        <v>0</v>
      </c>
      <c r="CU54" s="909">
        <f t="array" aca="1" ref="CU54" ca="1">IF(AND($CC$54:$CC$57=$CC$54,$CD$54:$CD$57&lt;90,$CE$54:$CE$57=$CE$54,$CF$54=$CF$55,$CF$54&lt;&gt;$CF$56),1,0)</f>
        <v>0</v>
      </c>
      <c r="CV54" s="909">
        <f t="array" aca="1" ref="CV54" ca="1">IF(AND($CC$54:$CC$56=$CC$54,$CD$54:$CD$55&lt;90,$CD$56&gt;90),1,0)</f>
        <v>0</v>
      </c>
      <c r="CW54" s="909">
        <f t="array" aca="1" ref="CW54" ca="1">IF(AND($CC$54&lt;&gt;$CC$55,$CC$54&lt;&gt;$CC$56),1,0)</f>
        <v>0</v>
      </c>
      <c r="CX54" s="909">
        <f t="array" aca="1" ref="CX54" ca="1">IF(AND($CC$54&lt;&gt;$CC$55,$CC$54&lt;&gt;$CC$56),1,0)</f>
        <v>0</v>
      </c>
      <c r="CY54" s="909">
        <f t="array" aca="1" ref="CY54" ca="1">IF(AND($CC$54&lt;&gt;$CC$57,$CC$54:$CC$56=$CC$54,$CD$54&gt;90,$CD$55:$CD$56&lt;90),1,0)</f>
        <v>0</v>
      </c>
      <c r="CZ54" s="909">
        <f t="array" aca="1" ref="CZ54" ca="1">IF(AND($CC$54:$CC$57=$CC$54,$CD$55:$CD$57&lt;90,$CD$54&lt;&gt;$CD$55),1,0)</f>
        <v>0</v>
      </c>
      <c r="DA54" s="909">
        <f t="array" aca="1" ref="DA54" ca="1">IF(AND($CC$54:$CC$57=$CC$54,$CD$54:$CD$56&lt;90,$CD$54&lt;&gt;$CD$57),1,0)</f>
        <v>0</v>
      </c>
      <c r="DB54" s="909">
        <f t="array" aca="1" ref="DB54" ca="1">IF(AND($CC$54:$CC$57=$CC$54,$CD$54:$CD$55&gt;90,$CD$56:$CD$57&lt;90,$CE$54:$CE$57=$CE$54,$CF$54&gt;$CF$55,$CF$54&gt;$CF$56,$CF$54&gt;$CF$57),1,0)</f>
        <v>0</v>
      </c>
      <c r="DC54" s="909">
        <f t="array" aca="1" ref="DC54" ca="1">IF(AND($CC$54:$CC$57=$CC$54,$CD$54&gt;90,$CD$55:$CD$56&lt;90,$CD$57&gt;90,$CE$54:$CE$57=$CE$54,$CF$54&gt;$CF$55,$CF$54&gt;$CF$56,$CF$54&gt;$CF$57),1,0)</f>
        <v>0</v>
      </c>
      <c r="DD54" s="909">
        <f t="array" aca="1" ref="DD54" ca="1">IF(AND($CC$54:$CC$57=$CC$54,$CD$54:$CD$55&lt;90,$CD$56:$CD$57&gt;90,$CE$54:$CE$57=$CE$54,$CF$54=$CF$55,$CF$54&gt;$CF$56,$CF$54&gt;$CF$57),1,0)</f>
        <v>0</v>
      </c>
      <c r="DE54" s="909">
        <f t="array" aca="1" ref="DE54" ca="1">IF(AND($CC$54:$CC$57=$CC$54,$CD$54:$CD$55&gt;90,$CD$56:$CD$57&lt;90,$CE$54:$CE$57=$CE$54,$CF$54&gt;$CF$55,$CF$55:$CF$57=$CF$55),1,0)</f>
        <v>0</v>
      </c>
      <c r="DF54" s="909">
        <f t="array" aca="1" ref="DF54" ca="1">IF(AND($CC$54:$CC$57=$CC$54,$CD$54:$CD$55&lt;90,$CD$56:$CD$57&gt;90,$CE$54:$CE$57=$CE$54,$CF$54:$CF$56=$CF$54,$CF$54&gt;$CF$57),1,0)</f>
        <v>0</v>
      </c>
      <c r="DG54" s="909">
        <f t="array" aca="1" ref="DG54" ca="1">IF(AND($CC$54:$CC$57=$CC$54,$CD$54&gt;90,$CD$57&gt;90,$CD$55:$CD$56&lt;90,$CE$54:$CE$57=$CE$54,$CF$54&gt;$CF$55:$CF$57),1,0)</f>
        <v>0</v>
      </c>
      <c r="EC54" s="911">
        <v>2</v>
      </c>
      <c r="ED54" s="911">
        <v>2</v>
      </c>
      <c r="EE54" s="911">
        <v>2</v>
      </c>
      <c r="EF54" s="911">
        <v>3</v>
      </c>
      <c r="EG54" s="911">
        <v>4</v>
      </c>
      <c r="EH54" s="911">
        <v>3</v>
      </c>
      <c r="EI54" s="911"/>
      <c r="EJ54" s="911"/>
      <c r="EK54" s="911"/>
      <c r="EL54" s="911"/>
      <c r="EM54" s="910"/>
      <c r="EN54" s="910"/>
      <c r="EO54" s="910"/>
      <c r="EP54" s="910"/>
      <c r="EQ54" s="910"/>
      <c r="ER54" s="910"/>
      <c r="ES54" s="910"/>
      <c r="ET54" s="910"/>
      <c r="EU54" s="910"/>
      <c r="EV54" s="910"/>
      <c r="EW54" s="910"/>
      <c r="EX54" s="910"/>
      <c r="EY54" s="910"/>
      <c r="EZ54" s="910"/>
      <c r="FA54" s="910"/>
      <c r="FB54" s="910"/>
      <c r="FC54" s="910"/>
      <c r="FD54" s="910"/>
      <c r="FE54" s="910"/>
      <c r="FF54" s="910"/>
      <c r="FG54" s="910"/>
      <c r="FI54" s="917"/>
      <c r="FK54" s="917"/>
      <c r="FM54" s="917"/>
      <c r="FO54" s="910"/>
      <c r="FP54" s="910"/>
      <c r="FQ54" s="910"/>
      <c r="FR54" s="910"/>
      <c r="FS54" s="910"/>
      <c r="FT54" s="910"/>
      <c r="FU54" s="910"/>
      <c r="FV54" s="910"/>
      <c r="FW54" s="910"/>
      <c r="FX54" s="910"/>
      <c r="FY54" s="910"/>
      <c r="FZ54" s="910"/>
      <c r="GA54" s="910"/>
      <c r="GB54" s="910"/>
      <c r="GC54" s="910"/>
      <c r="GD54" s="910"/>
      <c r="GE54" s="910"/>
      <c r="GF54" s="910"/>
      <c r="GG54" s="910"/>
      <c r="GH54" s="910"/>
      <c r="GI54" s="910"/>
      <c r="GJ54" s="910"/>
      <c r="GK54" s="910"/>
      <c r="GL54" s="910"/>
      <c r="GM54" s="910"/>
      <c r="GN54" s="910"/>
      <c r="GO54" s="910"/>
      <c r="GP54" s="910"/>
      <c r="GQ54" s="910"/>
      <c r="GR54" s="910"/>
      <c r="GS54" s="910"/>
      <c r="GT54" s="910"/>
      <c r="GU54" s="910"/>
      <c r="GV54" s="910"/>
      <c r="GW54" s="910"/>
      <c r="GX54" s="910"/>
      <c r="GY54" s="910"/>
      <c r="GZ54" s="910"/>
      <c r="HA54" s="910"/>
      <c r="HB54" s="910"/>
      <c r="HC54" s="910"/>
      <c r="HD54" s="910"/>
      <c r="HE54" s="910"/>
      <c r="HF54" s="910"/>
      <c r="HG54" s="910"/>
      <c r="HH54" s="910"/>
      <c r="HI54" s="910"/>
      <c r="HJ54" s="910"/>
      <c r="HK54" s="910"/>
      <c r="HL54" s="910"/>
      <c r="HM54" s="910"/>
      <c r="HN54" s="910"/>
      <c r="HO54" s="910"/>
      <c r="HP54" s="910"/>
      <c r="HQ54" s="910"/>
      <c r="HR54" s="910"/>
      <c r="HS54" s="910"/>
      <c r="HT54" s="910"/>
      <c r="HU54" s="910"/>
      <c r="HV54" s="910"/>
      <c r="HW54" s="910"/>
      <c r="HX54" s="910"/>
      <c r="HY54" s="910"/>
      <c r="HZ54" s="910"/>
      <c r="IA54" s="910"/>
      <c r="IB54" s="910"/>
      <c r="IC54" s="910"/>
      <c r="ID54" s="910"/>
      <c r="IE54" s="910"/>
      <c r="IF54" s="910"/>
      <c r="IG54" s="910"/>
      <c r="IH54" s="910"/>
      <c r="II54" s="910"/>
      <c r="IJ54" s="910"/>
      <c r="IK54" s="910"/>
      <c r="IL54" s="910"/>
      <c r="IM54" s="910"/>
      <c r="IN54" s="910"/>
      <c r="IO54" s="910"/>
      <c r="IP54" s="910"/>
      <c r="IQ54" s="910"/>
      <c r="IR54" s="910"/>
      <c r="IS54" s="910"/>
      <c r="IT54" s="910"/>
      <c r="IU54" s="910"/>
      <c r="IV54" s="910"/>
      <c r="IW54" s="910"/>
      <c r="IX54" s="910"/>
      <c r="IY54" s="910"/>
      <c r="IZ54" s="910"/>
      <c r="JA54" s="910"/>
      <c r="JB54" s="910"/>
      <c r="JC54" s="910"/>
      <c r="JD54" s="910"/>
      <c r="JE54" s="910"/>
      <c r="JF54" s="910"/>
      <c r="JG54" s="910"/>
      <c r="JH54" s="910"/>
      <c r="JI54" s="910"/>
      <c r="JJ54" s="910"/>
      <c r="JK54" s="910"/>
      <c r="JL54" s="910"/>
      <c r="JM54" s="910"/>
      <c r="JN54" s="910"/>
      <c r="JO54" s="910"/>
      <c r="JP54" s="910"/>
      <c r="JQ54" s="910"/>
      <c r="JR54" s="910"/>
      <c r="JS54" s="910"/>
      <c r="JT54" s="910"/>
      <c r="JU54" s="910"/>
      <c r="JV54" s="910"/>
      <c r="JW54" s="910"/>
      <c r="JX54" s="910"/>
      <c r="JY54" s="910"/>
      <c r="JZ54" s="910"/>
      <c r="KA54" s="910"/>
      <c r="KB54" s="910"/>
      <c r="KC54" s="910"/>
      <c r="KD54" s="910"/>
      <c r="KE54" s="910"/>
      <c r="KF54" s="910"/>
      <c r="KG54" s="910"/>
      <c r="KH54" s="910"/>
      <c r="KI54" s="910"/>
      <c r="KJ54" s="910"/>
      <c r="KK54" s="910"/>
      <c r="KL54" s="910"/>
      <c r="KM54" s="910"/>
      <c r="KN54" s="910"/>
      <c r="KO54" s="910"/>
      <c r="KP54" s="910"/>
      <c r="KQ54" s="910"/>
      <c r="KR54" s="910"/>
      <c r="KS54" s="910"/>
      <c r="KT54" s="910"/>
      <c r="KU54" s="910"/>
      <c r="KV54" s="910"/>
      <c r="KW54" s="910"/>
      <c r="KX54" s="910"/>
      <c r="KY54" s="910"/>
      <c r="KZ54" s="910"/>
      <c r="LA54" s="910"/>
      <c r="LB54" s="910"/>
      <c r="LC54" s="910"/>
      <c r="LD54" s="910"/>
      <c r="LE54" s="910"/>
      <c r="LF54" s="910"/>
      <c r="LG54" s="910"/>
      <c r="LH54" s="910"/>
      <c r="LI54" s="910"/>
      <c r="LJ54" s="910"/>
      <c r="LK54" s="910"/>
      <c r="LL54" s="910"/>
      <c r="LM54" s="910"/>
      <c r="LN54" s="910"/>
      <c r="LO54" s="910"/>
      <c r="LP54" s="910"/>
      <c r="LQ54" s="910"/>
      <c r="LR54" s="910"/>
      <c r="LS54" s="910"/>
      <c r="LT54" s="910"/>
      <c r="LU54" s="910"/>
      <c r="LV54" s="910"/>
      <c r="LW54" s="910"/>
      <c r="LX54" s="910"/>
      <c r="LY54" s="910"/>
      <c r="LZ54" s="910"/>
      <c r="MA54" s="910"/>
      <c r="MB54" s="910"/>
      <c r="MC54" s="910"/>
      <c r="MD54" s="910"/>
      <c r="ME54" s="910"/>
      <c r="MF54" s="910"/>
      <c r="MG54" s="910"/>
      <c r="MH54" s="910"/>
      <c r="MI54" s="910"/>
      <c r="MJ54" s="910"/>
      <c r="MK54" s="910"/>
      <c r="ML54" s="910"/>
      <c r="MM54" s="910"/>
      <c r="MN54" s="910"/>
      <c r="MO54" s="910"/>
      <c r="MP54" s="910"/>
      <c r="MQ54" s="910"/>
      <c r="MR54" s="910"/>
      <c r="MS54" s="910"/>
      <c r="MT54" s="910"/>
      <c r="MU54" s="910"/>
      <c r="MV54" s="910"/>
      <c r="MW54" s="910"/>
      <c r="MX54" s="910"/>
      <c r="MY54" s="910"/>
      <c r="MZ54" s="910"/>
      <c r="NA54" s="910"/>
      <c r="NB54" s="910"/>
      <c r="NC54" s="910"/>
      <c r="ND54" s="910"/>
      <c r="NE54" s="910"/>
      <c r="NF54" s="910"/>
      <c r="NG54" s="910"/>
      <c r="NH54" s="910"/>
      <c r="NI54" s="910"/>
      <c r="NJ54" s="910"/>
      <c r="NK54" s="910"/>
      <c r="NL54" s="910"/>
      <c r="NM54" s="910"/>
      <c r="NN54" s="910"/>
      <c r="NO54" s="910"/>
      <c r="NP54" s="910"/>
      <c r="NQ54" s="910"/>
      <c r="NR54" s="910"/>
      <c r="NS54" s="910"/>
      <c r="NT54" s="910"/>
      <c r="NU54" s="910"/>
      <c r="NV54" s="910"/>
      <c r="NW54" s="910"/>
      <c r="NX54" s="910"/>
      <c r="NY54" s="910"/>
      <c r="NZ54" s="910"/>
      <c r="OA54" s="910"/>
      <c r="OB54" s="910"/>
      <c r="OC54" s="910"/>
      <c r="OD54" s="910"/>
      <c r="OE54" s="910"/>
      <c r="OF54" s="910"/>
      <c r="OG54" s="910"/>
      <c r="OH54" s="910"/>
      <c r="OI54" s="910"/>
      <c r="OJ54" s="910"/>
      <c r="OK54" s="910"/>
      <c r="OL54" s="910"/>
      <c r="OM54" s="910"/>
      <c r="ON54" s="910"/>
      <c r="OO54" s="910"/>
      <c r="OP54" s="910"/>
      <c r="OQ54" s="910"/>
      <c r="OR54" s="910"/>
      <c r="OS54" s="910"/>
      <c r="OT54" s="910"/>
      <c r="OU54" s="910"/>
      <c r="OV54" s="910"/>
      <c r="OW54" s="910"/>
      <c r="OX54" s="910"/>
      <c r="OY54" s="910"/>
      <c r="OZ54" s="910"/>
      <c r="PA54" s="910"/>
      <c r="PB54" s="910"/>
      <c r="PC54" s="910"/>
      <c r="PD54" s="910"/>
      <c r="PE54" s="910"/>
      <c r="PF54" s="910"/>
      <c r="PG54" s="910"/>
      <c r="PH54" s="910"/>
      <c r="PI54" s="910"/>
      <c r="PJ54" s="910"/>
      <c r="PK54" s="910"/>
      <c r="PL54" s="910"/>
      <c r="PM54" s="910"/>
      <c r="PN54" s="910"/>
      <c r="PO54" s="910"/>
      <c r="PP54" s="910"/>
      <c r="PQ54" s="910"/>
      <c r="PR54" s="910"/>
      <c r="PS54" s="910"/>
      <c r="PT54" s="910"/>
      <c r="PU54" s="910"/>
      <c r="PV54" s="910"/>
      <c r="PW54" s="910"/>
      <c r="PX54" s="910"/>
      <c r="PY54" s="910"/>
      <c r="PZ54" s="910"/>
      <c r="QA54" s="910"/>
      <c r="QB54" s="910"/>
      <c r="QC54" s="910"/>
      <c r="QD54" s="910"/>
      <c r="QE54" s="910"/>
      <c r="QF54" s="910"/>
      <c r="QG54" s="910"/>
      <c r="QH54" s="910"/>
      <c r="QI54" s="910"/>
      <c r="QJ54" s="910"/>
      <c r="QK54" s="910"/>
      <c r="QL54" s="910"/>
      <c r="QM54" s="910"/>
      <c r="QN54" s="910"/>
      <c r="QO54" s="910"/>
      <c r="QP54" s="910"/>
      <c r="QQ54" s="910"/>
      <c r="QR54" s="910"/>
      <c r="QS54" s="910"/>
      <c r="QT54" s="910"/>
      <c r="QU54" s="910"/>
      <c r="QV54" s="910"/>
      <c r="QW54" s="910"/>
      <c r="QX54" s="910"/>
      <c r="QY54" s="910"/>
      <c r="QZ54" s="910"/>
      <c r="RA54" s="910"/>
      <c r="RB54" s="910"/>
      <c r="RC54" s="910"/>
      <c r="RD54" s="910"/>
      <c r="RE54" s="910"/>
      <c r="RF54" s="910"/>
      <c r="RG54" s="910"/>
      <c r="RH54" s="910"/>
      <c r="RI54" s="910"/>
      <c r="RJ54" s="910"/>
      <c r="RK54" s="910"/>
      <c r="RL54" s="910"/>
      <c r="RM54" s="910"/>
      <c r="RN54" s="910"/>
      <c r="RO54" s="910"/>
      <c r="RP54" s="910"/>
      <c r="RQ54" s="910"/>
      <c r="RR54" s="910"/>
      <c r="RS54" s="910"/>
      <c r="RT54" s="910"/>
      <c r="RU54" s="910"/>
      <c r="RV54" s="910"/>
      <c r="RW54" s="910"/>
      <c r="RX54" s="910"/>
      <c r="RY54" s="910"/>
      <c r="RZ54" s="910"/>
      <c r="SA54" s="910"/>
      <c r="SB54" s="910"/>
      <c r="SC54" s="910"/>
      <c r="SD54" s="910"/>
      <c r="SE54" s="910"/>
      <c r="SF54" s="910"/>
      <c r="SG54" s="910"/>
      <c r="SH54" s="910"/>
      <c r="SI54" s="910"/>
      <c r="SJ54" s="910"/>
      <c r="SK54" s="910"/>
      <c r="SL54" s="910"/>
      <c r="SM54" s="910"/>
      <c r="SN54" s="910"/>
      <c r="SO54" s="910"/>
      <c r="SP54" s="910"/>
      <c r="SQ54" s="910"/>
      <c r="SR54" s="910"/>
      <c r="SS54" s="910"/>
      <c r="ST54" s="910"/>
      <c r="SU54" s="910"/>
      <c r="SV54" s="910"/>
      <c r="SW54" s="910"/>
      <c r="SX54" s="910"/>
      <c r="SY54" s="910"/>
      <c r="SZ54" s="910"/>
      <c r="TA54" s="910"/>
      <c r="TB54" s="910"/>
      <c r="TC54" s="910"/>
      <c r="TD54" s="910"/>
      <c r="TE54" s="910"/>
      <c r="TF54" s="910"/>
      <c r="TG54" s="910"/>
      <c r="TH54" s="910"/>
      <c r="TI54" s="910"/>
      <c r="TJ54" s="910"/>
      <c r="TK54" s="910"/>
      <c r="TL54" s="910"/>
      <c r="TM54" s="910"/>
      <c r="TN54" s="910"/>
      <c r="TO54" s="910"/>
      <c r="TP54" s="910"/>
      <c r="TQ54" s="910"/>
      <c r="TR54" s="910"/>
      <c r="TS54" s="910"/>
      <c r="TT54" s="910"/>
      <c r="TU54" s="910"/>
      <c r="TV54" s="910"/>
      <c r="TW54" s="910"/>
      <c r="TX54" s="910"/>
      <c r="TY54" s="910"/>
      <c r="TZ54" s="910"/>
      <c r="UA54" s="910"/>
      <c r="UB54" s="910"/>
      <c r="UC54" s="910"/>
      <c r="UD54" s="910"/>
      <c r="UE54" s="910"/>
      <c r="UF54" s="910"/>
      <c r="UG54" s="910"/>
      <c r="UH54" s="910"/>
      <c r="UI54" s="910"/>
      <c r="UJ54" s="910"/>
      <c r="UK54" s="910"/>
      <c r="UL54" s="910"/>
      <c r="UM54" s="910"/>
      <c r="UN54" s="910"/>
      <c r="UO54" s="910"/>
      <c r="UP54" s="910"/>
      <c r="UQ54" s="910"/>
      <c r="UR54" s="910"/>
      <c r="US54" s="910"/>
      <c r="UT54" s="910"/>
      <c r="UU54" s="910"/>
      <c r="UV54" s="910"/>
      <c r="UW54" s="910"/>
      <c r="UX54" s="910"/>
      <c r="UY54" s="910"/>
      <c r="UZ54" s="910"/>
      <c r="VA54" s="910"/>
      <c r="VB54" s="910"/>
      <c r="VC54" s="910"/>
      <c r="VD54" s="910"/>
      <c r="VE54" s="910"/>
      <c r="VF54" s="910"/>
      <c r="VG54" s="910"/>
      <c r="VH54" s="910"/>
      <c r="VI54" s="910"/>
      <c r="VJ54" s="910"/>
      <c r="VK54" s="910"/>
      <c r="VL54" s="910"/>
      <c r="VM54" s="910"/>
      <c r="VN54" s="910"/>
      <c r="VO54" s="910"/>
      <c r="VP54" s="910"/>
      <c r="VQ54" s="910"/>
      <c r="VR54" s="910"/>
      <c r="VS54" s="910"/>
      <c r="VT54" s="910"/>
      <c r="VU54" s="910"/>
      <c r="VV54" s="910"/>
      <c r="VW54" s="910"/>
      <c r="VX54" s="910"/>
      <c r="VY54" s="910"/>
      <c r="VZ54" s="910"/>
      <c r="WA54" s="910"/>
      <c r="WB54" s="910"/>
      <c r="WC54" s="910"/>
      <c r="WD54" s="910"/>
      <c r="WE54" s="910"/>
      <c r="WF54" s="910"/>
      <c r="WG54" s="910"/>
      <c r="WH54" s="910"/>
      <c r="WI54" s="910"/>
      <c r="WJ54" s="910"/>
      <c r="WK54" s="910"/>
      <c r="WL54" s="910"/>
      <c r="WM54" s="910"/>
      <c r="WN54" s="910"/>
      <c r="WO54" s="910"/>
      <c r="WP54" s="910"/>
      <c r="WQ54" s="910"/>
      <c r="WR54" s="910"/>
      <c r="WS54" s="910"/>
      <c r="WT54" s="910"/>
      <c r="WU54" s="910"/>
      <c r="WV54" s="910"/>
      <c r="WW54" s="910"/>
      <c r="WX54" s="910"/>
      <c r="WY54" s="910"/>
      <c r="WZ54" s="910"/>
      <c r="XA54" s="910"/>
      <c r="XB54" s="910"/>
      <c r="XC54" s="910"/>
      <c r="XD54" s="910"/>
      <c r="XE54" s="910"/>
      <c r="XF54" s="910"/>
      <c r="XG54" s="910"/>
      <c r="XH54" s="910"/>
      <c r="XI54" s="910"/>
      <c r="XJ54" s="910"/>
      <c r="XK54" s="910"/>
      <c r="XL54" s="910"/>
      <c r="XM54" s="910"/>
      <c r="XN54" s="910"/>
      <c r="XO54" s="910"/>
      <c r="XP54" s="910"/>
      <c r="XQ54" s="910"/>
      <c r="XR54" s="910"/>
      <c r="XS54" s="910"/>
      <c r="XT54" s="910"/>
      <c r="XU54" s="910"/>
      <c r="XV54" s="910"/>
      <c r="XW54" s="910"/>
      <c r="XX54" s="910"/>
      <c r="XY54" s="910"/>
      <c r="XZ54" s="910"/>
      <c r="YA54" s="910"/>
      <c r="YB54" s="910"/>
      <c r="YC54" s="910"/>
      <c r="YD54" s="910"/>
      <c r="YE54" s="910"/>
      <c r="YF54" s="910"/>
      <c r="YG54" s="910"/>
      <c r="YH54" s="910"/>
      <c r="YI54" s="910"/>
      <c r="YJ54" s="910"/>
      <c r="YK54" s="910"/>
      <c r="YL54" s="910"/>
      <c r="YM54" s="910"/>
      <c r="YN54" s="910"/>
      <c r="YO54" s="910"/>
      <c r="YP54" s="910"/>
      <c r="YQ54" s="910"/>
      <c r="YR54" s="910"/>
      <c r="YS54" s="910"/>
      <c r="YT54" s="910"/>
      <c r="YU54" s="910"/>
      <c r="YV54" s="910"/>
      <c r="YW54" s="910"/>
      <c r="YX54" s="910"/>
      <c r="YY54" s="910"/>
      <c r="YZ54" s="910"/>
      <c r="ZA54" s="910"/>
      <c r="ZB54" s="910"/>
      <c r="ZC54" s="910"/>
      <c r="ZD54" s="910"/>
      <c r="ZE54" s="910"/>
      <c r="ZF54" s="910"/>
      <c r="ZG54" s="910"/>
      <c r="ZH54" s="910"/>
      <c r="ZI54" s="910"/>
      <c r="ZJ54" s="910"/>
      <c r="ZK54" s="910"/>
      <c r="ZL54" s="910"/>
      <c r="ZM54" s="910"/>
      <c r="ZN54" s="910"/>
      <c r="ZO54" s="910"/>
      <c r="ZP54" s="910"/>
      <c r="ZQ54" s="910"/>
      <c r="ZR54" s="910"/>
      <c r="ZS54" s="910"/>
      <c r="ZT54" s="910"/>
      <c r="ZU54" s="910"/>
      <c r="ZV54" s="910"/>
      <c r="ZW54" s="910"/>
      <c r="ZX54" s="910"/>
      <c r="ZY54" s="910"/>
      <c r="ZZ54" s="910"/>
      <c r="AAA54" s="910"/>
      <c r="AAB54" s="910"/>
      <c r="AAC54" s="910"/>
      <c r="AAD54" s="910"/>
      <c r="AAE54" s="910"/>
      <c r="AAF54" s="910"/>
      <c r="AAG54" s="910"/>
      <c r="AAH54" s="910"/>
      <c r="AAI54" s="910"/>
      <c r="AAJ54" s="910"/>
      <c r="AAK54" s="910"/>
      <c r="AAL54" s="910"/>
      <c r="AAM54" s="910"/>
      <c r="AAN54" s="910"/>
      <c r="AAO54" s="910"/>
      <c r="AAP54" s="910"/>
      <c r="AAQ54" s="910"/>
      <c r="AAR54" s="910"/>
      <c r="AAS54" s="910"/>
      <c r="AAT54" s="910"/>
      <c r="AAU54" s="910"/>
      <c r="AAV54" s="910"/>
      <c r="AAW54" s="910"/>
      <c r="AAX54" s="910"/>
      <c r="AAY54" s="910"/>
      <c r="AAZ54" s="910"/>
      <c r="ABA54" s="910"/>
      <c r="ABB54" s="910"/>
      <c r="ABC54" s="910"/>
      <c r="ABD54" s="910"/>
      <c r="ABE54" s="910"/>
      <c r="ABF54" s="910"/>
      <c r="ABG54" s="910"/>
      <c r="ABH54" s="910"/>
      <c r="ABI54" s="910"/>
      <c r="ABJ54" s="910"/>
      <c r="ABK54" s="910"/>
      <c r="ABL54" s="910"/>
      <c r="ABM54" s="910"/>
      <c r="ABN54" s="910"/>
      <c r="ABO54" s="910"/>
      <c r="ABP54" s="910"/>
      <c r="ABQ54" s="910"/>
      <c r="ABR54" s="910"/>
      <c r="ABS54" s="910"/>
      <c r="ABT54" s="910"/>
      <c r="ABU54" s="910"/>
      <c r="ABV54" s="910"/>
      <c r="ABW54" s="910"/>
      <c r="ABX54" s="910"/>
      <c r="ABY54" s="910"/>
      <c r="ABZ54" s="910"/>
      <c r="ACA54" s="910"/>
      <c r="ACB54" s="910"/>
      <c r="ACC54" s="910"/>
      <c r="ACD54" s="910"/>
      <c r="ACE54" s="910"/>
      <c r="ACF54" s="910"/>
      <c r="ACG54" s="910"/>
      <c r="ACH54" s="910"/>
      <c r="ACI54" s="910"/>
      <c r="ACJ54" s="910"/>
      <c r="ACK54" s="910"/>
      <c r="ACL54" s="910"/>
      <c r="ACM54" s="910"/>
      <c r="ACN54" s="910"/>
      <c r="ACO54" s="910"/>
      <c r="ACP54" s="910"/>
      <c r="ACQ54" s="910"/>
      <c r="ACR54" s="910"/>
      <c r="ACS54" s="910"/>
      <c r="ACT54" s="910"/>
      <c r="ACU54" s="910"/>
      <c r="ACV54" s="910"/>
      <c r="ACW54" s="910"/>
      <c r="ACX54" s="910"/>
      <c r="ACY54" s="910"/>
      <c r="ACZ54" s="910"/>
      <c r="ADA54" s="910"/>
      <c r="ADB54" s="910"/>
      <c r="ADC54" s="910"/>
      <c r="ADD54" s="910"/>
      <c r="ADE54" s="910"/>
      <c r="ADF54" s="910"/>
      <c r="ADG54" s="910"/>
      <c r="ADH54" s="910"/>
      <c r="ADI54" s="910"/>
      <c r="ADJ54" s="910"/>
      <c r="ADK54" s="910"/>
      <c r="ADL54" s="910"/>
      <c r="ADM54" s="910"/>
      <c r="ADN54" s="910"/>
      <c r="ADO54" s="910"/>
      <c r="ADP54" s="910"/>
      <c r="ADQ54" s="910"/>
      <c r="ADR54" s="910"/>
      <c r="ADS54" s="910"/>
      <c r="ADT54" s="910"/>
      <c r="ADU54" s="910"/>
      <c r="ADV54" s="910"/>
      <c r="ADW54" s="910"/>
      <c r="ADX54" s="910"/>
      <c r="ADY54" s="910"/>
      <c r="ADZ54" s="910"/>
      <c r="AEA54" s="910"/>
      <c r="AEB54" s="910"/>
      <c r="AEC54" s="910"/>
      <c r="AED54" s="910"/>
      <c r="AEE54" s="910"/>
      <c r="AEF54" s="910"/>
      <c r="AEG54" s="910"/>
      <c r="AEH54" s="910"/>
      <c r="AEI54" s="910"/>
      <c r="AEJ54" s="910"/>
      <c r="AEK54" s="910"/>
      <c r="AEL54" s="910"/>
      <c r="AEM54" s="910"/>
      <c r="AEN54" s="910"/>
      <c r="AEO54" s="910"/>
      <c r="AEP54" s="910"/>
      <c r="AEQ54" s="910"/>
      <c r="AER54" s="910"/>
      <c r="AES54" s="910"/>
      <c r="AET54" s="910"/>
      <c r="AEU54" s="910"/>
      <c r="AEV54" s="910"/>
      <c r="AEW54" s="910"/>
      <c r="AEX54" s="910"/>
      <c r="AEY54" s="910"/>
      <c r="AEZ54" s="910"/>
      <c r="AFA54" s="910"/>
      <c r="AFB54" s="910"/>
      <c r="AFC54" s="910"/>
      <c r="AFD54" s="910"/>
      <c r="AFE54" s="910"/>
      <c r="AFF54" s="910"/>
      <c r="AFG54" s="910"/>
      <c r="AFH54" s="910"/>
      <c r="AFI54" s="910"/>
      <c r="AFJ54" s="910"/>
      <c r="AFK54" s="910"/>
      <c r="AFL54" s="910"/>
      <c r="AFM54" s="910"/>
      <c r="AFN54" s="910"/>
      <c r="AFO54" s="910"/>
      <c r="AFP54" s="910"/>
      <c r="AFQ54" s="910"/>
      <c r="AFR54" s="910"/>
      <c r="AFS54" s="910"/>
      <c r="AFT54" s="910"/>
      <c r="AFU54" s="910"/>
      <c r="AFV54" s="910"/>
      <c r="AFW54" s="910"/>
      <c r="AFX54" s="910"/>
      <c r="AFY54" s="910"/>
      <c r="AFZ54" s="910"/>
      <c r="AGA54" s="910"/>
      <c r="AGB54" s="910"/>
      <c r="AGC54" s="910"/>
      <c r="AGD54" s="910"/>
      <c r="AGE54" s="910"/>
      <c r="AGF54" s="910"/>
      <c r="AGG54" s="910"/>
      <c r="AGH54" s="910"/>
      <c r="AGI54" s="910"/>
      <c r="AGJ54" s="910"/>
      <c r="AGK54" s="910"/>
      <c r="AGL54" s="910"/>
      <c r="AGM54" s="910"/>
      <c r="AGN54" s="910"/>
      <c r="AGO54" s="910"/>
      <c r="AGP54" s="910"/>
      <c r="AGQ54" s="910"/>
      <c r="AGR54" s="910"/>
      <c r="AGS54" s="910"/>
      <c r="AGT54" s="910"/>
      <c r="AGU54" s="910"/>
      <c r="AGV54" s="910"/>
      <c r="AGW54" s="910"/>
      <c r="AGX54" s="910"/>
      <c r="AGY54" s="910"/>
      <c r="AGZ54" s="910"/>
      <c r="AHA54" s="910"/>
      <c r="AHB54" s="910"/>
      <c r="AHC54" s="910"/>
      <c r="AHD54" s="910"/>
      <c r="AHE54" s="910"/>
      <c r="AHF54" s="910"/>
      <c r="AHG54" s="910"/>
      <c r="AHH54" s="910"/>
      <c r="AHI54" s="910"/>
      <c r="AHJ54" s="910"/>
      <c r="AHK54" s="910"/>
      <c r="AHL54" s="910"/>
      <c r="AHM54" s="910"/>
      <c r="AHN54" s="910"/>
      <c r="AHO54" s="910"/>
      <c r="AHP54" s="910"/>
      <c r="AHQ54" s="910"/>
      <c r="AHR54" s="910"/>
      <c r="AHS54" s="910"/>
      <c r="AHT54" s="910"/>
      <c r="AHU54" s="910"/>
      <c r="AHV54" s="910"/>
      <c r="AHW54" s="910"/>
      <c r="AHX54" s="910"/>
      <c r="AHY54" s="910"/>
      <c r="AHZ54" s="910"/>
      <c r="AIA54" s="910"/>
      <c r="AIB54" s="910"/>
      <c r="AIC54" s="910"/>
      <c r="AID54" s="910"/>
      <c r="AIE54" s="910"/>
      <c r="AIF54" s="910"/>
      <c r="AIG54" s="910"/>
      <c r="AIH54" s="910"/>
      <c r="AII54" s="910"/>
      <c r="AIJ54" s="910"/>
      <c r="AIK54" s="910"/>
      <c r="AIL54" s="910"/>
      <c r="AIM54" s="910"/>
      <c r="AIN54" s="910"/>
      <c r="AIO54" s="910"/>
      <c r="AIP54" s="910"/>
      <c r="AIQ54" s="910"/>
      <c r="AIR54" s="910"/>
      <c r="AIS54" s="910"/>
      <c r="AIT54" s="910"/>
      <c r="AIU54" s="910"/>
      <c r="AIV54" s="910"/>
      <c r="AIW54" s="910"/>
      <c r="AIX54" s="910"/>
      <c r="AIY54" s="910"/>
      <c r="AIZ54" s="910"/>
      <c r="AJA54" s="910"/>
      <c r="AJB54" s="910"/>
      <c r="AJC54" s="910"/>
      <c r="AJD54" s="910"/>
      <c r="AJE54" s="910"/>
      <c r="AJF54" s="910"/>
      <c r="AJG54" s="910"/>
      <c r="AJH54" s="910"/>
      <c r="AJI54" s="910"/>
      <c r="AJJ54" s="910"/>
      <c r="AJK54" s="910"/>
      <c r="AJL54" s="910"/>
      <c r="AJM54" s="910"/>
      <c r="AJN54" s="910"/>
      <c r="AJO54" s="910"/>
      <c r="AJP54" s="910"/>
      <c r="AJQ54" s="910"/>
      <c r="AJR54" s="910"/>
      <c r="AJS54" s="910"/>
      <c r="AJT54" s="910"/>
      <c r="AJU54" s="910"/>
      <c r="AJV54" s="910"/>
      <c r="AJW54" s="910"/>
      <c r="AJX54" s="910"/>
      <c r="AJY54" s="910"/>
      <c r="AJZ54" s="910"/>
      <c r="AKA54" s="910"/>
      <c r="AKB54" s="910"/>
      <c r="AKC54" s="910"/>
      <c r="AKD54" s="910"/>
      <c r="AKE54" s="910"/>
      <c r="AKF54" s="910"/>
      <c r="AKG54" s="910"/>
      <c r="AKH54" s="910"/>
      <c r="AKI54" s="910"/>
      <c r="AKJ54" s="910"/>
      <c r="AKK54" s="910"/>
      <c r="AKL54" s="910"/>
      <c r="AKM54" s="910"/>
      <c r="AKN54" s="910"/>
      <c r="AKO54" s="910"/>
      <c r="AKP54" s="910"/>
      <c r="AKQ54" s="910"/>
      <c r="AKR54" s="910"/>
      <c r="AKS54" s="910"/>
      <c r="AKT54" s="910"/>
      <c r="AKU54" s="910"/>
      <c r="AKV54" s="910"/>
      <c r="AKW54" s="910"/>
      <c r="AKX54" s="910"/>
      <c r="AKY54" s="910"/>
      <c r="AKZ54" s="910"/>
      <c r="ALA54" s="910"/>
      <c r="ALB54" s="910"/>
      <c r="ALC54" s="910"/>
      <c r="ALD54" s="910"/>
      <c r="ALE54" s="910"/>
      <c r="ALF54" s="910"/>
      <c r="ALG54" s="910"/>
      <c r="ALH54" s="910"/>
      <c r="ALI54" s="910"/>
      <c r="ALJ54" s="910"/>
      <c r="ALK54" s="910"/>
      <c r="ALL54" s="910"/>
      <c r="ALM54" s="910"/>
      <c r="ALN54" s="910"/>
      <c r="ALO54" s="910"/>
      <c r="ALP54" s="910"/>
      <c r="ALQ54" s="910"/>
      <c r="ALR54" s="910"/>
      <c r="ALS54" s="910"/>
      <c r="ALT54" s="910"/>
      <c r="ALU54" s="910"/>
      <c r="ALV54" s="910"/>
      <c r="ALW54" s="910"/>
      <c r="ALX54" s="910"/>
      <c r="ALY54" s="910"/>
      <c r="ALZ54" s="910"/>
      <c r="AMA54" s="910"/>
      <c r="AMB54" s="910"/>
      <c r="AMC54" s="910"/>
      <c r="AMD54" s="910"/>
      <c r="AME54" s="910"/>
      <c r="AMF54" s="910"/>
      <c r="AMG54" s="910"/>
      <c r="AMH54" s="910"/>
      <c r="AMI54" s="910"/>
      <c r="AMJ54" s="910"/>
      <c r="AMK54" s="910"/>
      <c r="AML54" s="910"/>
      <c r="AMM54" s="910"/>
      <c r="AMN54" s="910"/>
      <c r="AMO54" s="910"/>
      <c r="AMP54" s="910"/>
      <c r="AMQ54" s="910"/>
      <c r="AMR54" s="910"/>
      <c r="AMS54" s="910"/>
      <c r="AMT54" s="910"/>
      <c r="AMU54" s="910"/>
      <c r="AMV54" s="910"/>
      <c r="AMW54" s="910"/>
      <c r="AMX54" s="910"/>
      <c r="AMY54" s="910"/>
      <c r="AMZ54" s="910"/>
      <c r="ANA54" s="910"/>
      <c r="ANB54" s="910"/>
      <c r="ANC54" s="910"/>
      <c r="AND54" s="910"/>
      <c r="ANE54" s="910"/>
      <c r="ANF54" s="910"/>
      <c r="ANG54" s="910"/>
      <c r="ANH54" s="910"/>
      <c r="ANI54" s="910"/>
      <c r="ANJ54" s="910"/>
      <c r="ANK54" s="910"/>
      <c r="ANL54" s="910"/>
      <c r="ANM54" s="910"/>
      <c r="ANN54" s="910"/>
      <c r="ANO54" s="910"/>
      <c r="ANP54" s="910"/>
      <c r="ANQ54" s="910"/>
      <c r="ANR54" s="910"/>
      <c r="ANS54" s="910"/>
      <c r="ANT54" s="910"/>
      <c r="ANU54" s="910"/>
      <c r="ANV54" s="910"/>
      <c r="ANW54" s="910"/>
      <c r="ANX54" s="910"/>
      <c r="ANY54" s="910"/>
      <c r="ANZ54" s="910"/>
      <c r="AOA54" s="910"/>
      <c r="AOB54" s="910"/>
      <c r="AOC54" s="910"/>
      <c r="AOD54" s="910"/>
      <c r="AOE54" s="910"/>
      <c r="AOF54" s="910"/>
      <c r="AOG54" s="910"/>
      <c r="AOH54" s="910"/>
      <c r="AOI54" s="910"/>
      <c r="AOJ54" s="910"/>
      <c r="AOK54" s="910"/>
      <c r="AOL54" s="910"/>
      <c r="AOM54" s="910"/>
      <c r="AON54" s="910"/>
      <c r="AOO54" s="910"/>
      <c r="AOP54" s="910"/>
      <c r="AOQ54" s="910"/>
      <c r="AOR54" s="910"/>
      <c r="AOS54" s="910"/>
      <c r="AOT54" s="910"/>
      <c r="AOU54" s="910"/>
      <c r="AOV54" s="910"/>
      <c r="AOW54" s="910"/>
      <c r="AOX54" s="910"/>
      <c r="AOY54" s="910"/>
      <c r="AOZ54" s="910"/>
      <c r="APA54" s="910"/>
      <c r="APB54" s="910"/>
      <c r="APC54" s="910"/>
      <c r="APD54" s="910"/>
      <c r="APE54" s="910"/>
      <c r="APF54" s="910"/>
      <c r="APG54" s="910"/>
      <c r="APH54" s="910"/>
      <c r="API54" s="910"/>
      <c r="APJ54" s="910"/>
      <c r="APK54" s="910"/>
      <c r="APL54" s="910"/>
      <c r="APM54" s="910"/>
      <c r="APN54" s="910"/>
      <c r="APO54" s="910"/>
      <c r="APP54" s="910"/>
      <c r="APQ54" s="910"/>
      <c r="APR54" s="910"/>
      <c r="APS54" s="910"/>
      <c r="APT54" s="910"/>
      <c r="APU54" s="910"/>
      <c r="APV54" s="910"/>
      <c r="APW54" s="910"/>
      <c r="APX54" s="910"/>
      <c r="APY54" s="910"/>
      <c r="APZ54" s="910"/>
      <c r="AQA54" s="910"/>
      <c r="AQB54" s="910"/>
      <c r="AQC54" s="910"/>
      <c r="AQD54" s="910"/>
      <c r="AQE54" s="910"/>
      <c r="AQF54" s="910"/>
      <c r="AQG54" s="910"/>
      <c r="AQH54" s="910"/>
      <c r="AQI54" s="910"/>
      <c r="AQJ54" s="910"/>
      <c r="AQK54" s="910"/>
      <c r="AQL54" s="910"/>
      <c r="AQM54" s="910"/>
      <c r="AQN54" s="910"/>
      <c r="AQO54" s="910"/>
      <c r="AQP54" s="910"/>
      <c r="AQQ54" s="910"/>
      <c r="AQR54" s="910"/>
      <c r="AQS54" s="910"/>
      <c r="AQT54" s="910"/>
      <c r="AQU54" s="910"/>
      <c r="AQV54" s="910"/>
      <c r="AQW54" s="910"/>
      <c r="AQX54" s="910"/>
      <c r="AQY54" s="910"/>
      <c r="AQZ54" s="910"/>
      <c r="ARA54" s="910"/>
      <c r="ARB54" s="910"/>
      <c r="ARC54" s="910"/>
      <c r="ARD54" s="910"/>
      <c r="ARE54" s="910"/>
      <c r="ARF54" s="910"/>
      <c r="ARG54" s="910"/>
      <c r="ARH54" s="910"/>
      <c r="ARI54" s="910"/>
      <c r="ARJ54" s="910"/>
      <c r="ARK54" s="910"/>
      <c r="ARL54" s="910"/>
      <c r="ARM54" s="910"/>
      <c r="ARN54" s="910"/>
      <c r="ARO54" s="910"/>
      <c r="ARP54" s="910"/>
      <c r="ARQ54" s="910"/>
      <c r="ARR54" s="910"/>
      <c r="ARS54" s="910"/>
      <c r="ART54" s="910"/>
      <c r="ARU54" s="910"/>
      <c r="ARV54" s="910"/>
      <c r="ARW54" s="910"/>
      <c r="ARX54" s="910"/>
      <c r="ARY54" s="910"/>
      <c r="ARZ54" s="910"/>
      <c r="ASA54" s="910"/>
      <c r="ASB54" s="910"/>
      <c r="ASC54" s="910"/>
      <c r="ASD54" s="910"/>
      <c r="ASE54" s="910"/>
      <c r="ASF54" s="910"/>
      <c r="ASG54" s="910"/>
      <c r="ASH54" s="910"/>
      <c r="ASI54" s="910"/>
      <c r="ASJ54" s="910"/>
      <c r="ASK54" s="910"/>
      <c r="ASL54" s="910"/>
      <c r="ASM54" s="910"/>
      <c r="ASN54" s="910"/>
      <c r="ASO54" s="910"/>
      <c r="ASP54" s="910"/>
      <c r="ASQ54" s="910"/>
      <c r="ASR54" s="910"/>
      <c r="ASS54" s="910"/>
      <c r="AST54" s="910"/>
      <c r="ASU54" s="910"/>
      <c r="ASV54" s="910"/>
      <c r="ASW54" s="910"/>
      <c r="ASX54" s="910"/>
      <c r="ASY54" s="910"/>
      <c r="ASZ54" s="910"/>
      <c r="ATA54" s="910"/>
      <c r="ATB54" s="910"/>
      <c r="ATC54" s="910"/>
      <c r="ATD54" s="910"/>
      <c r="ATE54" s="910"/>
      <c r="ATF54" s="910"/>
      <c r="ATG54" s="910"/>
      <c r="ATH54" s="910"/>
      <c r="ATI54" s="910"/>
      <c r="ATJ54" s="910"/>
      <c r="ATK54" s="910"/>
      <c r="ATL54" s="910"/>
      <c r="ATM54" s="910"/>
      <c r="ATN54" s="910"/>
      <c r="ATO54" s="910"/>
      <c r="ATP54" s="910"/>
      <c r="ATQ54" s="910"/>
      <c r="ATR54" s="910"/>
      <c r="ATS54" s="910"/>
      <c r="ATT54" s="910"/>
      <c r="ATU54" s="910"/>
      <c r="ATV54" s="910"/>
      <c r="ATW54" s="910"/>
      <c r="ATX54" s="910"/>
      <c r="ATY54" s="910"/>
      <c r="ATZ54" s="910"/>
      <c r="AUA54" s="910"/>
      <c r="AUB54" s="910"/>
      <c r="AUC54" s="910"/>
      <c r="AUD54" s="910"/>
      <c r="AUE54" s="910"/>
      <c r="AUF54" s="910"/>
      <c r="AUG54" s="910"/>
      <c r="AUH54" s="910"/>
      <c r="AUI54" s="910"/>
      <c r="AUJ54" s="910"/>
      <c r="AUK54" s="910"/>
      <c r="AUL54" s="910"/>
      <c r="AUM54" s="910"/>
      <c r="AUN54" s="910"/>
      <c r="AUO54" s="910"/>
      <c r="AUP54" s="910"/>
      <c r="AUQ54" s="910"/>
      <c r="AUR54" s="910"/>
      <c r="AUS54" s="910"/>
      <c r="AUT54" s="910"/>
      <c r="AUU54" s="910"/>
      <c r="AUV54" s="910"/>
      <c r="AUW54" s="910"/>
      <c r="AUX54" s="910"/>
      <c r="AUY54" s="910"/>
      <c r="AUZ54" s="910"/>
      <c r="AVA54" s="910"/>
      <c r="AVB54" s="910"/>
      <c r="AVC54" s="910"/>
      <c r="AVD54" s="910"/>
      <c r="AVE54" s="910"/>
      <c r="AVF54" s="910"/>
      <c r="AVG54" s="910"/>
      <c r="AVH54" s="910"/>
      <c r="AVI54" s="910"/>
      <c r="AVJ54" s="910"/>
      <c r="AVK54" s="910"/>
      <c r="AVL54" s="910"/>
      <c r="AVM54" s="910"/>
      <c r="AVN54" s="910"/>
      <c r="AVO54" s="910"/>
      <c r="AVP54" s="910"/>
      <c r="AVQ54" s="910"/>
      <c r="AVR54" s="910"/>
      <c r="AVS54" s="910"/>
      <c r="AVT54" s="910"/>
      <c r="AVU54" s="910"/>
      <c r="AVV54" s="910"/>
      <c r="AVW54" s="910"/>
      <c r="AVX54" s="910"/>
      <c r="AVY54" s="910"/>
      <c r="AVZ54" s="910"/>
      <c r="AWA54" s="910"/>
      <c r="AWB54" s="910"/>
      <c r="AWC54" s="910"/>
      <c r="AWD54" s="910"/>
      <c r="AWE54" s="910"/>
      <c r="AWF54" s="910"/>
      <c r="AWG54" s="910"/>
      <c r="AWH54" s="910"/>
      <c r="AWI54" s="910"/>
      <c r="AWJ54" s="910"/>
      <c r="AWK54" s="910"/>
      <c r="AWL54" s="910"/>
      <c r="AWM54" s="910"/>
      <c r="AWN54" s="910"/>
      <c r="AWO54" s="910"/>
      <c r="AWP54" s="910"/>
      <c r="AWQ54" s="910"/>
      <c r="AWR54" s="910"/>
      <c r="AWS54" s="910"/>
      <c r="AWT54" s="910"/>
      <c r="AWU54" s="910"/>
      <c r="AWV54" s="910"/>
      <c r="AWW54" s="910"/>
      <c r="AWX54" s="910"/>
      <c r="AWY54" s="910"/>
      <c r="AWZ54" s="910"/>
      <c r="AXA54" s="910"/>
      <c r="AXB54" s="910"/>
      <c r="AXC54" s="910"/>
      <c r="AXD54" s="910"/>
      <c r="AXE54" s="910"/>
      <c r="AXF54" s="910"/>
      <c r="AXG54" s="910"/>
      <c r="AXH54" s="910"/>
      <c r="AXI54" s="910"/>
      <c r="AXJ54" s="910"/>
      <c r="AXK54" s="910"/>
      <c r="AXL54" s="910"/>
      <c r="AXM54" s="910"/>
      <c r="AXN54" s="910"/>
      <c r="AXO54" s="910"/>
      <c r="AXP54" s="910"/>
      <c r="AXQ54" s="910"/>
      <c r="AXR54" s="910"/>
      <c r="AXS54" s="910"/>
      <c r="AXT54" s="910"/>
      <c r="AXU54" s="910"/>
      <c r="AXV54" s="910"/>
      <c r="AXW54" s="910"/>
      <c r="AXX54" s="910"/>
      <c r="AXY54" s="910"/>
      <c r="AXZ54" s="910"/>
      <c r="AYA54" s="910"/>
      <c r="AYB54" s="910"/>
      <c r="AYC54" s="910"/>
      <c r="AYD54" s="910"/>
      <c r="AYE54" s="910"/>
      <c r="AYF54" s="910"/>
      <c r="AYG54" s="910"/>
      <c r="AYH54" s="910"/>
      <c r="AYI54" s="910"/>
      <c r="AYJ54" s="910"/>
      <c r="AYK54" s="910"/>
      <c r="AYL54" s="910"/>
      <c r="AYM54" s="910"/>
      <c r="AYN54" s="910"/>
      <c r="AYO54" s="910"/>
      <c r="AYP54" s="910"/>
      <c r="AYQ54" s="910"/>
      <c r="AYR54" s="910"/>
      <c r="AYS54" s="910"/>
      <c r="AYT54" s="910"/>
      <c r="AYU54" s="910"/>
      <c r="AYV54" s="910"/>
      <c r="AYW54" s="910"/>
      <c r="AYX54" s="910"/>
      <c r="AYY54" s="910"/>
      <c r="AYZ54" s="910"/>
      <c r="AZA54" s="910"/>
      <c r="AZB54" s="910"/>
      <c r="AZC54" s="910"/>
      <c r="AZD54" s="910"/>
      <c r="AZE54" s="910"/>
      <c r="AZF54" s="910"/>
      <c r="AZG54" s="910"/>
      <c r="AZH54" s="910"/>
      <c r="AZI54" s="910"/>
      <c r="AZJ54" s="910"/>
      <c r="AZK54" s="910"/>
      <c r="AZL54" s="910"/>
      <c r="AZM54" s="910"/>
      <c r="AZN54" s="910"/>
      <c r="AZO54" s="910"/>
      <c r="AZP54" s="910"/>
      <c r="AZQ54" s="910"/>
      <c r="AZR54" s="910"/>
      <c r="AZS54" s="910"/>
      <c r="AZT54" s="910"/>
      <c r="AZU54" s="910"/>
      <c r="AZV54" s="910"/>
      <c r="AZW54" s="910"/>
      <c r="AZX54" s="910"/>
      <c r="AZY54" s="910"/>
      <c r="AZZ54" s="910"/>
      <c r="BAA54" s="910"/>
      <c r="BAB54" s="910"/>
      <c r="BAC54" s="910"/>
      <c r="BAD54" s="910"/>
      <c r="BAE54" s="910"/>
      <c r="BAF54" s="910"/>
      <c r="BAG54" s="910"/>
      <c r="BAH54" s="910"/>
      <c r="BAI54" s="910"/>
      <c r="BAJ54" s="910"/>
      <c r="BAK54" s="910"/>
      <c r="BAL54" s="910"/>
      <c r="BAM54" s="910"/>
      <c r="BAN54" s="910"/>
      <c r="BAO54" s="910"/>
      <c r="BAP54" s="910"/>
      <c r="BAQ54" s="910"/>
      <c r="BAR54" s="910"/>
      <c r="BAS54" s="910"/>
      <c r="BAT54" s="910"/>
      <c r="BAU54" s="910"/>
      <c r="BAV54" s="910"/>
      <c r="BAW54" s="910"/>
      <c r="BAX54" s="910"/>
      <c r="BAY54" s="910"/>
      <c r="BAZ54" s="910"/>
      <c r="BBA54" s="910"/>
      <c r="BBB54" s="910"/>
      <c r="BBC54" s="910"/>
      <c r="BBD54" s="910"/>
      <c r="BBE54" s="910"/>
      <c r="BBF54" s="910"/>
      <c r="BBG54" s="910"/>
      <c r="BBH54" s="910"/>
      <c r="BBI54" s="910"/>
      <c r="BBJ54" s="910"/>
      <c r="BBK54" s="910"/>
      <c r="BBL54" s="910"/>
      <c r="BBM54" s="910"/>
      <c r="BBN54" s="910"/>
      <c r="BBO54" s="910"/>
      <c r="BBP54" s="910"/>
      <c r="BBQ54" s="910"/>
      <c r="BBR54" s="910"/>
      <c r="BBS54" s="910"/>
      <c r="BBT54" s="910"/>
      <c r="BBU54" s="910"/>
      <c r="BBV54" s="910"/>
      <c r="BBW54" s="910"/>
      <c r="BBX54" s="910"/>
      <c r="BBY54" s="910"/>
      <c r="BBZ54" s="910"/>
      <c r="BCA54" s="910"/>
      <c r="BCB54" s="910"/>
      <c r="BCC54" s="910"/>
      <c r="BCD54" s="910"/>
      <c r="BCE54" s="910"/>
      <c r="BCF54" s="910"/>
      <c r="BCG54" s="910"/>
      <c r="BCH54" s="910"/>
      <c r="BCI54" s="910"/>
      <c r="BCJ54" s="910"/>
      <c r="BCK54" s="910"/>
      <c r="BCL54" s="910"/>
      <c r="BCM54" s="910"/>
      <c r="BCN54" s="910"/>
      <c r="BCO54" s="910"/>
      <c r="BCP54" s="910"/>
      <c r="BCQ54" s="910"/>
      <c r="BCR54" s="910"/>
      <c r="BCS54" s="910"/>
      <c r="BCT54" s="910"/>
      <c r="BCU54" s="910"/>
      <c r="BCV54" s="910"/>
      <c r="BCW54" s="910"/>
      <c r="BCX54" s="910"/>
      <c r="BCY54" s="910"/>
      <c r="BCZ54" s="910"/>
      <c r="BDA54" s="910"/>
      <c r="BDB54" s="910"/>
      <c r="BDC54" s="910"/>
      <c r="BDD54" s="910"/>
      <c r="BDE54" s="910"/>
      <c r="BDF54" s="910"/>
      <c r="BDG54" s="910"/>
      <c r="BDH54" s="910"/>
      <c r="BDI54" s="910"/>
      <c r="BDJ54" s="910"/>
      <c r="BDK54" s="910"/>
      <c r="BDL54" s="910"/>
      <c r="BDM54" s="910"/>
      <c r="BDN54" s="910"/>
      <c r="BDO54" s="910"/>
      <c r="BDP54" s="910"/>
      <c r="BDQ54" s="910"/>
      <c r="BDR54" s="910"/>
      <c r="BDS54" s="910"/>
      <c r="BDT54" s="910"/>
      <c r="BDU54" s="910"/>
      <c r="BDV54" s="910"/>
      <c r="BDW54" s="910"/>
      <c r="BDX54" s="910"/>
      <c r="BDY54" s="910"/>
      <c r="BDZ54" s="910"/>
      <c r="BEA54" s="910"/>
      <c r="BEB54" s="910"/>
      <c r="BEC54" s="910"/>
      <c r="BED54" s="910"/>
      <c r="BEE54" s="910"/>
      <c r="BEF54" s="910"/>
      <c r="BEG54" s="910"/>
      <c r="BEH54" s="910"/>
      <c r="BEI54" s="910"/>
      <c r="BEJ54" s="910"/>
      <c r="BEK54" s="910"/>
      <c r="BEL54" s="910"/>
      <c r="BEM54" s="910"/>
      <c r="BEN54" s="910"/>
      <c r="BEO54" s="910"/>
      <c r="BEP54" s="910"/>
      <c r="BEQ54" s="910"/>
      <c r="BER54" s="910"/>
      <c r="BES54" s="910"/>
      <c r="BET54" s="910"/>
      <c r="BEU54" s="910"/>
      <c r="BEV54" s="910"/>
      <c r="BEW54" s="910"/>
      <c r="BEX54" s="910"/>
      <c r="BEY54" s="910"/>
      <c r="BEZ54" s="910"/>
      <c r="BFA54" s="910"/>
      <c r="BFB54" s="910"/>
      <c r="BFC54" s="910"/>
      <c r="BFD54" s="910"/>
      <c r="BFE54" s="910"/>
      <c r="BFF54" s="910"/>
      <c r="BFG54" s="910"/>
      <c r="BFH54" s="910"/>
      <c r="BFI54" s="910"/>
      <c r="BFJ54" s="910"/>
      <c r="BFK54" s="910"/>
      <c r="BFL54" s="910"/>
      <c r="BFM54" s="910"/>
      <c r="BFN54" s="910"/>
      <c r="BFO54" s="910"/>
      <c r="BFP54" s="910"/>
      <c r="BFQ54" s="910"/>
      <c r="BFR54" s="910"/>
      <c r="BFS54" s="910"/>
      <c r="BFT54" s="910"/>
      <c r="BFU54" s="910"/>
      <c r="BFV54" s="910"/>
      <c r="BFW54" s="910"/>
      <c r="BFX54" s="910"/>
      <c r="BFY54" s="910"/>
      <c r="BFZ54" s="910"/>
      <c r="BGA54" s="910"/>
      <c r="BGB54" s="910"/>
      <c r="BGC54" s="910"/>
      <c r="BGD54" s="910"/>
      <c r="BGE54" s="910"/>
      <c r="BGF54" s="910"/>
      <c r="BGG54" s="910"/>
      <c r="BGH54" s="910"/>
      <c r="BGI54" s="910"/>
      <c r="BGJ54" s="910"/>
      <c r="BGK54" s="910"/>
      <c r="BGL54" s="910"/>
      <c r="BGM54" s="910"/>
      <c r="BGN54" s="910"/>
      <c r="BGO54" s="910"/>
      <c r="BGP54" s="910"/>
      <c r="BGQ54" s="910"/>
      <c r="BGR54" s="910"/>
      <c r="BGS54" s="910"/>
      <c r="BGT54" s="910"/>
      <c r="BGU54" s="910"/>
      <c r="BGV54" s="910"/>
      <c r="BGW54" s="910"/>
      <c r="BGX54" s="910"/>
      <c r="BGY54" s="910"/>
      <c r="BGZ54" s="910"/>
      <c r="BHA54" s="910"/>
      <c r="BHB54" s="910"/>
      <c r="BHC54" s="910"/>
      <c r="BHD54" s="910"/>
      <c r="BHE54" s="910"/>
      <c r="BHF54" s="910"/>
      <c r="BHG54" s="910"/>
      <c r="BHH54" s="910"/>
      <c r="BHI54" s="910"/>
      <c r="BHJ54" s="910"/>
      <c r="BHK54" s="910"/>
      <c r="BHL54" s="910"/>
      <c r="BHM54" s="910"/>
      <c r="BHN54" s="910"/>
      <c r="BHO54" s="910"/>
      <c r="BHP54" s="910"/>
      <c r="BHQ54" s="910"/>
      <c r="BHR54" s="910"/>
      <c r="BHS54" s="910"/>
      <c r="BHT54" s="910"/>
      <c r="BHU54" s="910"/>
      <c r="BHV54" s="910"/>
      <c r="BHW54" s="910"/>
      <c r="BHX54" s="910"/>
      <c r="BHY54" s="910"/>
      <c r="BHZ54" s="910"/>
      <c r="BIA54" s="910"/>
      <c r="BIB54" s="910"/>
      <c r="BIC54" s="910"/>
      <c r="BID54" s="910"/>
      <c r="BIE54" s="910"/>
      <c r="BIF54" s="910"/>
      <c r="BIG54" s="910"/>
      <c r="BIH54" s="910"/>
      <c r="BII54" s="910"/>
      <c r="BIJ54" s="910"/>
      <c r="BIK54" s="910"/>
      <c r="BIL54" s="910"/>
      <c r="BIM54" s="910"/>
      <c r="BIN54" s="910"/>
      <c r="BIO54" s="910"/>
      <c r="BIP54" s="910"/>
      <c r="BIQ54" s="910"/>
      <c r="BIR54" s="910"/>
      <c r="BIS54" s="910"/>
      <c r="BIT54" s="910"/>
      <c r="BIU54" s="910"/>
      <c r="BIV54" s="910"/>
      <c r="BIW54" s="910"/>
      <c r="BIX54" s="910"/>
      <c r="BIY54" s="910"/>
      <c r="BIZ54" s="910"/>
      <c r="BJA54" s="910"/>
      <c r="BJB54" s="910"/>
      <c r="BJC54" s="910"/>
      <c r="BJD54" s="910"/>
      <c r="BJE54" s="910"/>
      <c r="BJF54" s="910"/>
      <c r="BJG54" s="910"/>
      <c r="BJH54" s="910"/>
      <c r="BJI54" s="910"/>
      <c r="BJJ54" s="910"/>
      <c r="BJK54" s="910"/>
      <c r="BJL54" s="910"/>
      <c r="BJM54" s="910"/>
      <c r="BJN54" s="910"/>
      <c r="BJO54" s="910"/>
      <c r="BJP54" s="910"/>
      <c r="BJQ54" s="910"/>
      <c r="BJR54" s="910"/>
      <c r="BJS54" s="910"/>
      <c r="BJT54" s="910"/>
      <c r="BJU54" s="910"/>
      <c r="BJV54" s="910"/>
      <c r="BJW54" s="910"/>
      <c r="BJX54" s="910"/>
      <c r="BJY54" s="910"/>
      <c r="BJZ54" s="910"/>
      <c r="BKA54" s="910"/>
      <c r="BKB54" s="910"/>
      <c r="BKC54" s="910"/>
      <c r="BKD54" s="910"/>
      <c r="BKE54" s="910"/>
      <c r="BKF54" s="910"/>
      <c r="BKG54" s="910"/>
      <c r="BKH54" s="910"/>
      <c r="BKI54" s="910"/>
      <c r="BKJ54" s="910"/>
      <c r="BKK54" s="910"/>
      <c r="BKL54" s="910"/>
      <c r="BKM54" s="910"/>
      <c r="BKN54" s="910"/>
      <c r="BKO54" s="910"/>
      <c r="BKP54" s="910"/>
      <c r="BKQ54" s="910"/>
      <c r="BKR54" s="910"/>
      <c r="BKS54" s="910"/>
      <c r="BKT54" s="910"/>
      <c r="BKU54" s="910"/>
      <c r="BKV54" s="910"/>
      <c r="BKW54" s="910"/>
      <c r="BKX54" s="910"/>
      <c r="BKY54" s="910"/>
      <c r="BKZ54" s="910"/>
      <c r="BLA54" s="910"/>
      <c r="BLB54" s="910"/>
      <c r="BLC54" s="910"/>
      <c r="BLD54" s="910"/>
      <c r="BLE54" s="910"/>
      <c r="BLF54" s="910"/>
      <c r="BLG54" s="910"/>
      <c r="BLH54" s="910"/>
      <c r="BLI54" s="910"/>
      <c r="BLJ54" s="910"/>
      <c r="BLK54" s="910"/>
      <c r="BLL54" s="910"/>
      <c r="BLM54" s="910"/>
      <c r="BLN54" s="910"/>
      <c r="BLO54" s="910"/>
      <c r="BLP54" s="910"/>
      <c r="BLQ54" s="910"/>
      <c r="BLR54" s="910"/>
      <c r="BLS54" s="910"/>
      <c r="BLT54" s="910"/>
      <c r="BLU54" s="910"/>
      <c r="BLV54" s="910"/>
      <c r="BLW54" s="910"/>
      <c r="BLX54" s="910"/>
      <c r="BLY54" s="910"/>
      <c r="BLZ54" s="910"/>
      <c r="BMA54" s="910"/>
      <c r="BMB54" s="910"/>
      <c r="BMC54" s="910"/>
      <c r="BMD54" s="910"/>
      <c r="BME54" s="910"/>
      <c r="BMF54" s="910"/>
      <c r="BMG54" s="910"/>
      <c r="BMH54" s="910"/>
      <c r="BMI54" s="910"/>
      <c r="BMJ54" s="910"/>
      <c r="BMK54" s="910"/>
      <c r="BML54" s="910"/>
      <c r="BMM54" s="910"/>
      <c r="BMN54" s="910"/>
      <c r="BMO54" s="910"/>
      <c r="BMP54" s="910"/>
      <c r="BMQ54" s="910"/>
      <c r="BMR54" s="910"/>
      <c r="BMS54" s="910"/>
      <c r="BMT54" s="910"/>
      <c r="BMU54" s="910"/>
      <c r="BMV54" s="910"/>
      <c r="BMW54" s="910"/>
      <c r="BMX54" s="910"/>
      <c r="BMY54" s="910"/>
      <c r="BMZ54" s="910"/>
      <c r="BNA54" s="910"/>
      <c r="BNB54" s="910"/>
      <c r="BNC54" s="910"/>
      <c r="BND54" s="910"/>
      <c r="BNE54" s="910"/>
      <c r="BNF54" s="910"/>
      <c r="BNG54" s="910"/>
      <c r="BNH54" s="910"/>
      <c r="BNI54" s="910"/>
      <c r="BNJ54" s="910"/>
      <c r="BNK54" s="910"/>
      <c r="BNL54" s="910"/>
      <c r="BNM54" s="910"/>
      <c r="BNN54" s="910"/>
      <c r="BNO54" s="910"/>
      <c r="BNP54" s="910"/>
      <c r="BNQ54" s="910"/>
      <c r="BNR54" s="910"/>
      <c r="BNS54" s="910"/>
      <c r="BNT54" s="910"/>
      <c r="BNU54" s="910"/>
      <c r="BNV54" s="910"/>
      <c r="BNW54" s="910"/>
      <c r="BNX54" s="910"/>
      <c r="BNY54" s="910"/>
      <c r="BNZ54" s="910"/>
      <c r="BOA54" s="910"/>
      <c r="BOB54" s="910"/>
      <c r="BOC54" s="910"/>
      <c r="BOD54" s="910"/>
      <c r="BOE54" s="910"/>
      <c r="BOF54" s="910"/>
      <c r="BOG54" s="910"/>
      <c r="BOH54" s="910"/>
      <c r="BOI54" s="910"/>
      <c r="BOJ54" s="910"/>
      <c r="BOK54" s="910"/>
      <c r="BOL54" s="910"/>
      <c r="BOM54" s="910"/>
      <c r="BON54" s="910"/>
      <c r="BOO54" s="910"/>
      <c r="BOP54" s="910"/>
      <c r="BOQ54" s="910"/>
      <c r="BOR54" s="910"/>
      <c r="BOS54" s="910"/>
      <c r="BOT54" s="910"/>
      <c r="BOU54" s="910"/>
      <c r="BOV54" s="910"/>
      <c r="BOW54" s="910"/>
      <c r="BOX54" s="910"/>
      <c r="BOY54" s="910"/>
      <c r="BOZ54" s="910"/>
      <c r="BPA54" s="910"/>
      <c r="BPB54" s="910"/>
      <c r="BPC54" s="910"/>
      <c r="BPD54" s="910"/>
      <c r="BPE54" s="910"/>
      <c r="BPF54" s="910"/>
      <c r="BPG54" s="910"/>
      <c r="BPH54" s="910"/>
      <c r="BPI54" s="910"/>
      <c r="BPJ54" s="910"/>
      <c r="BPK54" s="910"/>
      <c r="BPL54" s="910"/>
      <c r="BPM54" s="910"/>
      <c r="BPN54" s="910"/>
      <c r="BPO54" s="910"/>
      <c r="BPP54" s="910"/>
      <c r="BPQ54" s="910"/>
      <c r="BPR54" s="910"/>
      <c r="BPS54" s="910"/>
      <c r="BPT54" s="910"/>
      <c r="BPU54" s="910"/>
      <c r="BPV54" s="910"/>
      <c r="BPW54" s="910"/>
      <c r="BPX54" s="910"/>
      <c r="BPY54" s="910"/>
      <c r="BPZ54" s="910"/>
      <c r="BQA54" s="910"/>
      <c r="BQB54" s="910"/>
      <c r="BQC54" s="910"/>
      <c r="BQD54" s="910"/>
      <c r="BQE54" s="910"/>
      <c r="BQF54" s="910"/>
      <c r="BQG54" s="910"/>
      <c r="BQH54" s="910"/>
      <c r="BQI54" s="910"/>
      <c r="BQJ54" s="910"/>
      <c r="BQK54" s="910"/>
      <c r="BQL54" s="910"/>
      <c r="BQM54" s="910"/>
      <c r="BQN54" s="910"/>
      <c r="BQO54" s="910"/>
      <c r="BQP54" s="910"/>
      <c r="BQQ54" s="910"/>
      <c r="BQR54" s="910"/>
      <c r="BQS54" s="910"/>
      <c r="BQT54" s="910"/>
      <c r="BQU54" s="910"/>
      <c r="BQV54" s="910"/>
      <c r="BQW54" s="910"/>
      <c r="BQX54" s="910"/>
      <c r="BQY54" s="910"/>
      <c r="BQZ54" s="910"/>
      <c r="BRA54" s="910"/>
      <c r="BRB54" s="910"/>
      <c r="BRC54" s="910"/>
      <c r="BRD54" s="910"/>
      <c r="BRE54" s="910"/>
      <c r="BRF54" s="910"/>
      <c r="BRG54" s="910"/>
      <c r="BRH54" s="910"/>
      <c r="BRI54" s="910"/>
      <c r="BRJ54" s="910"/>
      <c r="BRK54" s="910"/>
      <c r="BRL54" s="910"/>
      <c r="BRM54" s="910"/>
      <c r="BRN54" s="910"/>
      <c r="BRO54" s="910"/>
      <c r="BRP54" s="910"/>
      <c r="BRQ54" s="910"/>
      <c r="BRR54" s="910"/>
      <c r="BRS54" s="910"/>
      <c r="BRT54" s="910"/>
      <c r="BRU54" s="910"/>
      <c r="BRV54" s="910"/>
      <c r="BRW54" s="910"/>
      <c r="BRX54" s="910"/>
      <c r="BRY54" s="910"/>
      <c r="BRZ54" s="910"/>
      <c r="BSA54" s="910"/>
      <c r="BSB54" s="910"/>
      <c r="BSC54" s="910"/>
      <c r="BSD54" s="910"/>
      <c r="BSE54" s="910"/>
      <c r="BSF54" s="910"/>
      <c r="BSG54" s="910"/>
      <c r="BSH54" s="910"/>
      <c r="BSI54" s="910"/>
      <c r="BSJ54" s="910"/>
      <c r="BSK54" s="910"/>
      <c r="BSL54" s="910"/>
      <c r="BSM54" s="910"/>
      <c r="BSN54" s="910"/>
      <c r="BSO54" s="910"/>
      <c r="BSP54" s="910"/>
      <c r="BSQ54" s="910"/>
      <c r="BSR54" s="910"/>
      <c r="BSS54" s="910"/>
      <c r="BST54" s="910"/>
      <c r="BSU54" s="910"/>
      <c r="BSV54" s="910"/>
      <c r="BSW54" s="910"/>
      <c r="BSX54" s="910"/>
      <c r="BSY54" s="910"/>
      <c r="BSZ54" s="910"/>
      <c r="BTA54" s="910"/>
      <c r="BTB54" s="910"/>
      <c r="BTC54" s="910"/>
      <c r="BTD54" s="910"/>
      <c r="BTE54" s="910"/>
      <c r="BTF54" s="910"/>
      <c r="BTG54" s="910"/>
      <c r="BTH54" s="910"/>
      <c r="BTI54" s="910"/>
      <c r="BTJ54" s="910"/>
      <c r="BTK54" s="910"/>
      <c r="BTL54" s="910"/>
      <c r="BTM54" s="910"/>
      <c r="BTN54" s="910"/>
      <c r="BTO54" s="910"/>
      <c r="BTP54" s="910"/>
      <c r="BTQ54" s="910"/>
      <c r="BTR54" s="910"/>
      <c r="BTS54" s="910"/>
      <c r="BTT54" s="910"/>
      <c r="BTU54" s="910"/>
      <c r="BTV54" s="910"/>
      <c r="BTW54" s="910"/>
      <c r="BTX54" s="910"/>
      <c r="BTY54" s="910"/>
      <c r="BTZ54" s="910"/>
      <c r="BUA54" s="910"/>
      <c r="BUB54" s="910"/>
      <c r="BUC54" s="910"/>
      <c r="BUD54" s="910"/>
      <c r="BUE54" s="910"/>
      <c r="BUF54" s="910"/>
      <c r="BUG54" s="910"/>
      <c r="BUH54" s="910"/>
      <c r="BUI54" s="910"/>
      <c r="BUJ54" s="910"/>
      <c r="BUK54" s="910"/>
      <c r="BUL54" s="910"/>
      <c r="BUM54" s="910"/>
      <c r="BUN54" s="910"/>
      <c r="BUO54" s="910"/>
      <c r="BUP54" s="910"/>
      <c r="BUQ54" s="910"/>
      <c r="BUR54" s="910"/>
      <c r="BUS54" s="910"/>
      <c r="BUT54" s="910"/>
      <c r="BUU54" s="910"/>
      <c r="BUV54" s="910"/>
      <c r="BUW54" s="910"/>
      <c r="BUX54" s="910"/>
      <c r="BUY54" s="910"/>
      <c r="BUZ54" s="910"/>
      <c r="BVA54" s="910"/>
      <c r="BVB54" s="910"/>
      <c r="BVC54" s="910"/>
      <c r="BVD54" s="910"/>
      <c r="BVE54" s="910"/>
      <c r="BVF54" s="910"/>
      <c r="BVG54" s="910"/>
      <c r="BVH54" s="910"/>
      <c r="BVI54" s="910"/>
      <c r="BVJ54" s="910"/>
      <c r="BVK54" s="910"/>
      <c r="BVL54" s="910"/>
      <c r="BVM54" s="910"/>
      <c r="BVN54" s="910"/>
      <c r="BVO54" s="910"/>
      <c r="BVP54" s="910"/>
      <c r="BVQ54" s="910"/>
      <c r="BVR54" s="910"/>
      <c r="BVS54" s="910"/>
      <c r="BVT54" s="910"/>
      <c r="BVU54" s="910"/>
      <c r="BVV54" s="910"/>
      <c r="BVW54" s="910"/>
      <c r="BVX54" s="910"/>
      <c r="BVY54" s="910"/>
      <c r="BVZ54" s="910"/>
      <c r="BWA54" s="910"/>
      <c r="BWB54" s="910"/>
      <c r="BWC54" s="910"/>
      <c r="BWD54" s="910"/>
      <c r="BWE54" s="910"/>
      <c r="BWF54" s="910"/>
      <c r="BWG54" s="910"/>
      <c r="BWH54" s="910"/>
      <c r="BWI54" s="910"/>
      <c r="BWJ54" s="910"/>
      <c r="BWK54" s="910"/>
      <c r="BWL54" s="910"/>
      <c r="BWM54" s="910"/>
      <c r="BWN54" s="910"/>
      <c r="BWO54" s="910"/>
      <c r="BWP54" s="910"/>
      <c r="BWQ54" s="910"/>
      <c r="BWR54" s="910"/>
      <c r="BWS54" s="910"/>
      <c r="BWT54" s="910"/>
      <c r="BWU54" s="910"/>
      <c r="BWV54" s="910"/>
      <c r="BWW54" s="910"/>
      <c r="BWX54" s="910"/>
      <c r="BWY54" s="910"/>
      <c r="BWZ54" s="910"/>
      <c r="BXA54" s="910"/>
      <c r="BXB54" s="910"/>
      <c r="BXC54" s="910"/>
      <c r="BXD54" s="910"/>
      <c r="BXE54" s="910"/>
      <c r="BXF54" s="910"/>
      <c r="BXG54" s="910"/>
      <c r="BXH54" s="910"/>
      <c r="BXI54" s="910"/>
      <c r="BXJ54" s="910"/>
      <c r="BXK54" s="910"/>
      <c r="BXL54" s="910"/>
      <c r="BXM54" s="910"/>
      <c r="BXN54" s="910"/>
      <c r="BXO54" s="910"/>
      <c r="BXP54" s="910"/>
      <c r="BXQ54" s="910"/>
      <c r="BXR54" s="910"/>
      <c r="BXS54" s="910"/>
      <c r="BXT54" s="910"/>
      <c r="BXU54" s="910"/>
      <c r="BXV54" s="910"/>
      <c r="BXW54" s="910"/>
      <c r="BXX54" s="910"/>
      <c r="BXY54" s="910"/>
      <c r="BXZ54" s="910"/>
      <c r="BYA54" s="910"/>
      <c r="BYB54" s="910"/>
      <c r="BYC54" s="910"/>
      <c r="BYD54" s="910"/>
      <c r="BYE54" s="910"/>
      <c r="BYF54" s="910"/>
      <c r="BYG54" s="910"/>
      <c r="BYH54" s="910"/>
      <c r="BYI54" s="910"/>
      <c r="BYJ54" s="910"/>
      <c r="BYK54" s="910"/>
      <c r="BYL54" s="910"/>
      <c r="BYM54" s="910"/>
      <c r="BYN54" s="910"/>
      <c r="BYO54" s="910"/>
      <c r="BYP54" s="910"/>
      <c r="BYQ54" s="910"/>
      <c r="BYR54" s="910"/>
      <c r="BYS54" s="910"/>
      <c r="BYT54" s="910"/>
      <c r="BYU54" s="910"/>
      <c r="BYV54" s="910"/>
      <c r="BYW54" s="910"/>
      <c r="BYX54" s="910"/>
      <c r="BYY54" s="910"/>
      <c r="BYZ54" s="910"/>
      <c r="BZA54" s="910"/>
      <c r="BZB54" s="910"/>
      <c r="BZC54" s="910"/>
      <c r="BZD54" s="910"/>
      <c r="BZE54" s="910"/>
      <c r="BZF54" s="910"/>
      <c r="BZG54" s="910"/>
      <c r="BZH54" s="910"/>
      <c r="BZI54" s="910"/>
      <c r="BZJ54" s="910"/>
      <c r="BZK54" s="910"/>
      <c r="BZL54" s="910"/>
      <c r="BZM54" s="910"/>
      <c r="BZN54" s="910"/>
      <c r="BZO54" s="910"/>
      <c r="BZP54" s="910"/>
      <c r="BZQ54" s="910"/>
      <c r="BZR54" s="910"/>
      <c r="BZS54" s="910"/>
      <c r="BZT54" s="910"/>
      <c r="BZU54" s="910"/>
      <c r="BZV54" s="910"/>
      <c r="BZW54" s="910"/>
      <c r="BZX54" s="910"/>
      <c r="BZY54" s="910"/>
      <c r="BZZ54" s="910"/>
      <c r="CAA54" s="910"/>
      <c r="CAB54" s="910"/>
      <c r="CAC54" s="910"/>
      <c r="CAD54" s="910"/>
      <c r="CAE54" s="910"/>
      <c r="CAF54" s="910"/>
      <c r="CAG54" s="910"/>
      <c r="CAH54" s="910"/>
      <c r="CAI54" s="910"/>
      <c r="CAJ54" s="910"/>
      <c r="CAK54" s="910"/>
      <c r="CAL54" s="910"/>
      <c r="CAM54" s="910"/>
      <c r="CAN54" s="910"/>
      <c r="CAO54" s="910"/>
      <c r="CAP54" s="910"/>
      <c r="CAQ54" s="910"/>
      <c r="CAR54" s="910"/>
      <c r="CAS54" s="910"/>
      <c r="CAT54" s="910"/>
      <c r="CAU54" s="910"/>
      <c r="CAV54" s="910"/>
      <c r="CAW54" s="910"/>
      <c r="CAX54" s="910"/>
      <c r="CAY54" s="910"/>
      <c r="CAZ54" s="910"/>
      <c r="CBA54" s="910"/>
      <c r="CBB54" s="910"/>
      <c r="CBC54" s="910"/>
      <c r="CBD54" s="910"/>
      <c r="CBE54" s="910"/>
      <c r="CBF54" s="910"/>
      <c r="CBG54" s="910"/>
      <c r="CBH54" s="910"/>
      <c r="CBI54" s="910"/>
      <c r="CBJ54" s="910"/>
      <c r="CBK54" s="910"/>
      <c r="CBL54" s="910"/>
      <c r="CBM54" s="910"/>
      <c r="CBN54" s="910"/>
      <c r="CBO54" s="910"/>
      <c r="CBP54" s="910"/>
      <c r="CBQ54" s="910"/>
      <c r="CBR54" s="910"/>
      <c r="CBS54" s="910"/>
      <c r="CBT54" s="910"/>
      <c r="CBU54" s="910"/>
      <c r="CBV54" s="910"/>
      <c r="CBW54" s="910"/>
      <c r="CBX54" s="910"/>
      <c r="CBY54" s="910"/>
      <c r="CBZ54" s="910"/>
      <c r="CCA54" s="910"/>
      <c r="CCB54" s="910"/>
      <c r="CCC54" s="910"/>
      <c r="CCD54" s="910"/>
      <c r="CCE54" s="910"/>
      <c r="CCF54" s="910"/>
      <c r="CCG54" s="910"/>
      <c r="CCH54" s="910"/>
      <c r="CCI54" s="910"/>
      <c r="CCJ54" s="910"/>
      <c r="CCK54" s="910"/>
      <c r="CCL54" s="910"/>
      <c r="CCM54" s="910"/>
      <c r="CCN54" s="910"/>
      <c r="CCO54" s="910"/>
      <c r="CCP54" s="910"/>
      <c r="CCQ54" s="910"/>
      <c r="CCR54" s="910"/>
      <c r="CCS54" s="910"/>
      <c r="CCT54" s="910"/>
      <c r="CCU54" s="910"/>
      <c r="CCV54" s="910"/>
      <c r="CCW54" s="910"/>
      <c r="CCX54" s="910"/>
      <c r="CCY54" s="910"/>
      <c r="CCZ54" s="910"/>
      <c r="CDA54" s="910"/>
      <c r="CDB54" s="910"/>
      <c r="CDC54" s="910"/>
      <c r="CDD54" s="910"/>
      <c r="CDE54" s="910"/>
      <c r="CDF54" s="910"/>
      <c r="CDG54" s="910"/>
      <c r="CDH54" s="910"/>
      <c r="CDI54" s="910"/>
      <c r="CDJ54" s="910"/>
      <c r="CDK54" s="910"/>
      <c r="CDL54" s="910"/>
      <c r="CDM54" s="910"/>
      <c r="CDN54" s="910"/>
      <c r="CDO54" s="910"/>
      <c r="CDP54" s="910"/>
      <c r="CDQ54" s="910"/>
      <c r="CDR54" s="910"/>
      <c r="CDS54" s="910"/>
      <c r="CDT54" s="910"/>
      <c r="CDU54" s="910"/>
      <c r="CDV54" s="910"/>
      <c r="CDW54" s="910"/>
      <c r="CDX54" s="910"/>
      <c r="CDY54" s="910"/>
      <c r="CDZ54" s="910"/>
      <c r="CEA54" s="910"/>
      <c r="CEB54" s="910"/>
      <c r="CEC54" s="910"/>
      <c r="CED54" s="910"/>
      <c r="CEE54" s="910"/>
      <c r="CEF54" s="910"/>
      <c r="CEG54" s="910"/>
      <c r="CEH54" s="910"/>
      <c r="CEI54" s="910"/>
      <c r="CEJ54" s="910"/>
      <c r="CEK54" s="910"/>
      <c r="CEL54" s="910"/>
      <c r="CEM54" s="910"/>
      <c r="CEN54" s="910"/>
      <c r="CEO54" s="910"/>
      <c r="CEP54" s="910"/>
      <c r="CEQ54" s="910"/>
      <c r="CER54" s="910"/>
      <c r="CES54" s="910"/>
      <c r="CET54" s="910"/>
      <c r="CEU54" s="910"/>
      <c r="CEV54" s="910"/>
      <c r="CEW54" s="910"/>
      <c r="CEX54" s="910"/>
      <c r="CEY54" s="910"/>
      <c r="CEZ54" s="910"/>
      <c r="CFA54" s="910"/>
      <c r="CFB54" s="910"/>
      <c r="CFC54" s="910"/>
      <c r="CFD54" s="910"/>
      <c r="CFE54" s="910"/>
      <c r="CFF54" s="910"/>
      <c r="CFG54" s="910"/>
      <c r="CFH54" s="910"/>
      <c r="CFI54" s="910"/>
      <c r="CFJ54" s="910"/>
      <c r="CFK54" s="910"/>
      <c r="CFL54" s="910"/>
      <c r="CFM54" s="910"/>
      <c r="CFN54" s="910"/>
      <c r="CFO54" s="910"/>
      <c r="CFP54" s="910"/>
      <c r="CFQ54" s="910"/>
      <c r="CFR54" s="910"/>
      <c r="CFS54" s="910"/>
      <c r="CFT54" s="910"/>
      <c r="CFU54" s="910"/>
      <c r="CFV54" s="910"/>
      <c r="CFW54" s="910"/>
      <c r="CFX54" s="910"/>
      <c r="CFY54" s="910"/>
      <c r="CFZ54" s="910"/>
      <c r="CGA54" s="910"/>
      <c r="CGB54" s="910"/>
      <c r="CGC54" s="910"/>
      <c r="CGD54" s="910"/>
      <c r="CGE54" s="910"/>
      <c r="CGF54" s="910"/>
      <c r="CGG54" s="910"/>
      <c r="CGH54" s="910"/>
      <c r="CGI54" s="910"/>
      <c r="CGJ54" s="910"/>
      <c r="CGK54" s="910"/>
      <c r="CGL54" s="910"/>
      <c r="CGM54" s="910"/>
      <c r="CGN54" s="910"/>
      <c r="CGO54" s="910"/>
      <c r="CGP54" s="910"/>
      <c r="CGQ54" s="910"/>
      <c r="CGR54" s="910"/>
      <c r="CGS54" s="910"/>
      <c r="CGT54" s="910"/>
      <c r="CGU54" s="910"/>
      <c r="CGV54" s="910"/>
      <c r="CGW54" s="910"/>
      <c r="CGX54" s="910"/>
      <c r="CGY54" s="910"/>
      <c r="CGZ54" s="910"/>
      <c r="CHA54" s="910"/>
      <c r="CHB54" s="910"/>
      <c r="CHC54" s="910"/>
      <c r="CHD54" s="910"/>
      <c r="CHE54" s="910"/>
      <c r="CHF54" s="910"/>
      <c r="CHG54" s="910"/>
      <c r="CHH54" s="910"/>
      <c r="CHI54" s="910"/>
      <c r="CHJ54" s="910"/>
      <c r="CHK54" s="910"/>
      <c r="CHL54" s="910"/>
      <c r="CHM54" s="910"/>
      <c r="CHN54" s="910"/>
      <c r="CHO54" s="910"/>
      <c r="CHP54" s="910"/>
      <c r="CHQ54" s="910"/>
      <c r="CHR54" s="910"/>
      <c r="CHS54" s="910"/>
      <c r="CHT54" s="910"/>
      <c r="CHU54" s="910"/>
      <c r="CHV54" s="910"/>
      <c r="CHW54" s="910"/>
      <c r="CHX54" s="910"/>
      <c r="CHY54" s="910"/>
      <c r="CHZ54" s="910"/>
      <c r="CIA54" s="910"/>
      <c r="CIB54" s="910"/>
      <c r="CIC54" s="910"/>
      <c r="CID54" s="910"/>
      <c r="CIE54" s="910"/>
      <c r="CIF54" s="910"/>
      <c r="CIG54" s="910"/>
      <c r="CIH54" s="910"/>
      <c r="CII54" s="910"/>
      <c r="CIJ54" s="910"/>
      <c r="CIK54" s="910"/>
      <c r="CIL54" s="910"/>
      <c r="CIM54" s="910"/>
      <c r="CIN54" s="910"/>
      <c r="CIO54" s="910"/>
      <c r="CIP54" s="910"/>
      <c r="CIQ54" s="910"/>
      <c r="CIR54" s="910"/>
      <c r="CIS54" s="910"/>
      <c r="CIT54" s="910"/>
      <c r="CIU54" s="910"/>
      <c r="CIV54" s="910"/>
      <c r="CIW54" s="910"/>
      <c r="CIX54" s="910"/>
      <c r="CIY54" s="910"/>
      <c r="CIZ54" s="910"/>
      <c r="CJA54" s="910"/>
      <c r="CJB54" s="910"/>
      <c r="CJC54" s="910"/>
      <c r="CJD54" s="910"/>
      <c r="CJE54" s="910"/>
      <c r="CJF54" s="910"/>
      <c r="CJG54" s="910"/>
      <c r="CJH54" s="910"/>
      <c r="CJI54" s="910"/>
      <c r="CJJ54" s="910"/>
      <c r="CJK54" s="910"/>
      <c r="CJL54" s="910"/>
      <c r="CJM54" s="910"/>
      <c r="CJN54" s="910"/>
      <c r="CJO54" s="910"/>
      <c r="CJP54" s="910"/>
      <c r="CJQ54" s="910"/>
      <c r="CJR54" s="910"/>
      <c r="CJS54" s="910"/>
      <c r="CJT54" s="910"/>
      <c r="CJU54" s="910"/>
      <c r="CJV54" s="910"/>
      <c r="CJW54" s="910"/>
      <c r="CJX54" s="910"/>
      <c r="CJY54" s="910"/>
      <c r="CJZ54" s="910"/>
      <c r="CKA54" s="910"/>
      <c r="CKB54" s="910"/>
      <c r="CKC54" s="910"/>
      <c r="CKD54" s="910"/>
      <c r="CKE54" s="910"/>
      <c r="CKF54" s="910"/>
      <c r="CKG54" s="910"/>
      <c r="CKH54" s="910"/>
      <c r="CKI54" s="910"/>
      <c r="CKJ54" s="910"/>
      <c r="CKK54" s="910"/>
      <c r="CKL54" s="910"/>
      <c r="CKM54" s="910"/>
      <c r="CKN54" s="910"/>
      <c r="CKO54" s="910"/>
      <c r="CKP54" s="910"/>
      <c r="CKQ54" s="910"/>
      <c r="CKR54" s="910"/>
      <c r="CKS54" s="910"/>
      <c r="CKT54" s="910"/>
      <c r="CKU54" s="910"/>
      <c r="CKV54" s="910"/>
      <c r="CKW54" s="910"/>
      <c r="CKX54" s="910"/>
      <c r="CKY54" s="910"/>
      <c r="CKZ54" s="910"/>
      <c r="CLA54" s="910"/>
      <c r="CLB54" s="910"/>
      <c r="CLC54" s="910"/>
      <c r="CLD54" s="910"/>
      <c r="CLE54" s="910"/>
      <c r="CLF54" s="910"/>
      <c r="CLG54" s="910"/>
      <c r="CLH54" s="910"/>
      <c r="CLI54" s="910"/>
      <c r="CLJ54" s="910"/>
      <c r="CLK54" s="910"/>
      <c r="CLL54" s="910"/>
      <c r="CLM54" s="910"/>
      <c r="CLN54" s="910"/>
      <c r="CLO54" s="910"/>
      <c r="CLP54" s="910"/>
      <c r="CLQ54" s="910"/>
      <c r="CLR54" s="910"/>
      <c r="CLS54" s="910"/>
      <c r="CLT54" s="910"/>
      <c r="CLU54" s="910"/>
      <c r="CLV54" s="910"/>
      <c r="CLW54" s="910"/>
      <c r="CLX54" s="910"/>
      <c r="CLY54" s="910"/>
      <c r="CLZ54" s="910"/>
      <c r="CMA54" s="910"/>
      <c r="CMB54" s="910"/>
      <c r="CMC54" s="910"/>
      <c r="CMD54" s="910"/>
      <c r="CME54" s="910"/>
      <c r="CMF54" s="910"/>
      <c r="CMG54" s="910"/>
      <c r="CMH54" s="910"/>
      <c r="PEL54" s="909" t="s">
        <v>18</v>
      </c>
    </row>
    <row r="55" spans="1:2374 10958:10958" ht="16" customHeight="1">
      <c r="A55" s="871" t="str" cm="1">
        <f t="array" aca="1" ref="A55" ca="1">IF(ROWS(A$53:A55)&lt;=$C$52,INDEX(INDIRECT(A$52),SMALL(IF(Nivell=$B$52,ROW(Nivell)-ROW(Equipos!$C$2)+1),ROWS(B$52:B54))),"")</f>
        <v>Suiza</v>
      </c>
      <c r="B55" s="872"/>
      <c r="C55" s="857"/>
      <c r="D55" s="152"/>
      <c r="E55" s="977"/>
      <c r="F55" s="248">
        <f>Horarios!C55</f>
        <v>44893.791666666664</v>
      </c>
      <c r="G55" s="249">
        <f>Horarios!C55</f>
        <v>44893.791666666664</v>
      </c>
      <c r="H55" s="248" t="s">
        <v>70</v>
      </c>
      <c r="I55" s="250" t="str">
        <f ca="1">A53</f>
        <v>Brasil</v>
      </c>
      <c r="J55" s="251" t="str">
        <f ca="1">VLOOKUP(I55,Equipos!$H$2:$I$33,2,0)</f>
        <v>🇧🇷</v>
      </c>
      <c r="K55" s="252">
        <v>1</v>
      </c>
      <c r="L55" s="252">
        <v>0</v>
      </c>
      <c r="M55" s="344" t="str">
        <f ca="1">VLOOKUP(N55,Equipos!$H$2:$I$33,2,0)</f>
        <v>🇨🇭</v>
      </c>
      <c r="N55" s="259" t="str">
        <f ca="1">A55</f>
        <v>Suiza</v>
      </c>
      <c r="O55" s="347">
        <f t="shared" si="37"/>
        <v>1</v>
      </c>
      <c r="P55" s="82"/>
      <c r="Q55" s="303">
        <v>2</v>
      </c>
      <c r="R55" s="5" t="str">
        <f ca="1">VLOOKUP(Q55,$AG$54:$AI$57,3,0)</f>
        <v>Suiza</v>
      </c>
      <c r="S55" s="4">
        <f ca="1">VLOOKUP(R55,$AI$54:$AR$57,2,FALSE)</f>
        <v>6</v>
      </c>
      <c r="T55" s="4">
        <f ca="1">VLOOKUP($R55,$AI$54:$AR$57,3,FALSE)</f>
        <v>3</v>
      </c>
      <c r="U55" s="4">
        <f ca="1">VLOOKUP($R55,$AI$54:$AR$57,4,FALSE)</f>
        <v>2</v>
      </c>
      <c r="V55" s="4">
        <f ca="1">VLOOKUP($R55,$AI$54:$AR$57,5,FALSE)</f>
        <v>0</v>
      </c>
      <c r="W55" s="4">
        <f ca="1">VLOOKUP($R55,$AI$54:$AR$57,6,FALSE)</f>
        <v>1</v>
      </c>
      <c r="X55" s="4">
        <f ca="1">VLOOKUP($R55,$AI$54:$AR$57,7,FALSE)</f>
        <v>4</v>
      </c>
      <c r="Y55" s="4">
        <f ca="1">VLOOKUP($R55,$AI$54:$AR$57,8,FALSE)</f>
        <v>3</v>
      </c>
      <c r="Z55" s="304">
        <f ca="1">VLOOKUP($R55,$AI$54:$AR$57,9,FALSE)</f>
        <v>1</v>
      </c>
      <c r="AA55" s="357">
        <f ca="1">IF(SUM($AK$54:$AK$57)=12,MIN(ABS(BY54-BY55),ABS(BY55-BY56)),100)</f>
        <v>4000000.0200004578</v>
      </c>
      <c r="AB55" s="94" t="str">
        <f ca="1">IF(AND(AA55&gt;=0,AA55&lt;90),VLOOKUP(Q55,$BU$54:$BV$57,2,0),"")</f>
        <v/>
      </c>
      <c r="AC55" s="73"/>
      <c r="AD55" s="74"/>
      <c r="AE55" s="328"/>
      <c r="AF55" s="910">
        <f ca="1">VLOOKUP($R55,$AI$54:$AR$57,10,FALSE)</f>
        <v>6675210499.7299995</v>
      </c>
      <c r="AG55" s="909">
        <f ca="1">RANK(AU55,$AU$54:$AU$57)</f>
        <v>4</v>
      </c>
      <c r="AH55" s="909">
        <f ca="1">RANK(AR55,$AR$54:$AR$57)</f>
        <v>4</v>
      </c>
      <c r="AI55" s="911" t="str">
        <f ca="1">A54</f>
        <v>Serbia</v>
      </c>
      <c r="AJ55" s="909">
        <f ca="1">AL55*3+AM55*1+AN55*0</f>
        <v>1</v>
      </c>
      <c r="AK55" s="909">
        <f ca="1">COUNTIFS($I$4:$I$65,AI55,$K$4:$K$65,"&lt;&gt;",$L$4:$L$65,"&lt;&gt;")+COUNTIFS($N$4:$N$65,AI55,$L$4:$L$65,"&lt;&gt;",$K$4:$K$65,"&lt;&gt;")</f>
        <v>3</v>
      </c>
      <c r="AL55" s="909">
        <f t="array" aca="1" ref="AL55" ca="1">SUM(($I$4:$I$65=AI55)*($K$4:$K$65&lt;&gt;"")*($L$4:$L$65&lt;&gt;"")*($K$4:$K$65&gt;$L$4:$L$65),($N$4:$N$65=AI55)*($K$4:$K$65&lt;&gt;"")*($L$4:$L$65&lt;&gt;"")*($K$4:$K$65&lt;$L$4:$L$65))</f>
        <v>0</v>
      </c>
      <c r="AM55" s="909">
        <f t="array" aca="1" ref="AM55" ca="1">SUM(($I$4:$I$65=AI55)*($K$4:$K$65&lt;&gt;"")*($L$4:$L$65&lt;&gt;"")*($K$4:$K$65=$L$4:$L$65),($N$4:$N$65=AI55)*($K$4:$K$65&lt;&gt;"")*($L$4:$L$65&lt;&gt;"")*($K$4:$K$65=$L$4:$L$65))</f>
        <v>1</v>
      </c>
      <c r="AN55" s="909">
        <f t="array" aca="1" ref="AN55" ca="1">SUM(($I$4:$I$65=AI55)*($L$4:$L$65&lt;&gt;"")*($K$4:$K$65&lt;&gt;"")*($K$4:$K$65&lt;$L$4:$L$65),($K$4:$K$65&lt;&gt;"")*($N$4:$N$65=AI55)*($L$4:$L$65&lt;&gt;"")*($K$4:$K$65&gt;$L$4:$L$65))</f>
        <v>2</v>
      </c>
      <c r="AO55" s="909">
        <f t="array" aca="1" ref="AO55" ca="1">SUMIFS($K$4:$K$65,$I$4:$I$65,AI55,$K$4:$K$65,"&lt;&gt;",$L$4:$L$65,"&lt;&gt;")+SUMIFS($L$4:$L$65,$N$4:$N$65,AI55,$K$4:$K$65,"&lt;&gt;",$L$4:$L$65,"&lt;&gt;")</f>
        <v>5</v>
      </c>
      <c r="AP55" s="909">
        <f t="array" aca="1" ref="AP55" ca="1">SUMIFS($K$4:$K$65,$N$4:$N$65,AI55,$K$4:$K$65,"&lt;&gt;",$L$4:$L$65,"&lt;&gt;")+SUMIFS($L$4:$L$65,$I$4:$I$65,AI55,$K$4:$K$65,"&lt;&gt;",$L$4:$L$65,"&lt;&gt;")</f>
        <v>8</v>
      </c>
      <c r="AQ55" s="909">
        <f ca="1">AO55-AP55</f>
        <v>-3</v>
      </c>
      <c r="AR55" s="909">
        <f ca="1">IF(AK55=0,-($AW$11*VLOOKUP(AI55,Tabla3[[NombreEquipo]:[Rank]],3,FALSE)),AJ55*$AW$4+AQ55*$AW$5+AO55*$AW$6+BA55-($AW$11*VLOOKUP(AI55,Tabla3[[NombreEquipo]:[Rank]],3,FALSE)/100))</f>
        <v>1101210499.74</v>
      </c>
      <c r="AS55" s="909">
        <f ca="1">AH55</f>
        <v>4</v>
      </c>
      <c r="AT55" s="909"/>
      <c r="AU55" s="909">
        <f ca="1">IFERROR(AR55-VLOOKUP(AI55,$AB$54:$AC$57,2,0),AR55)</f>
        <v>1101210499.74</v>
      </c>
      <c r="AV55" s="909"/>
      <c r="AW55" s="910"/>
      <c r="AX55" s="909"/>
      <c r="AY55" s="916" t="str">
        <f ca="1">AI55</f>
        <v>Serbia</v>
      </c>
      <c r="AZ55" s="909">
        <f ca="1">COUNTIF(AJ54:AJ57,AJ55)</f>
        <v>1</v>
      </c>
      <c r="BA55" s="909">
        <f t="shared" ca="1" si="38"/>
        <v>210500</v>
      </c>
      <c r="BB55" s="917">
        <f ca="1">RANK(BC55,BC54:BC57,1)</f>
        <v>1</v>
      </c>
      <c r="BC55" s="917">
        <f ca="1">SUM(IF(AND(AJ55=AJ56,AQ55=AQ56,AO55=AO56),BF55,0),IF(AND(AJ55=AJ57,AQ55=AQ57,AO55=AO57),BG55,0),IF(AND(AJ55=AJ54,AQ55=AQ54,AO55=AO54),BD55,0))</f>
        <v>0</v>
      </c>
      <c r="BD55" s="917">
        <f t="array" aca="1" ref="BD55" ca="1">SUMIFS($K$52:$K$57,$I$52:$I$57,$AY55,$K$52:$K$57,"&lt;&gt;",$L$52:$L$57,"&lt;&gt;",$N$52:$N$57,BD53)+SUMIFS($L$52:$L$57,$I$52:$I$57,BD53,$K$52:$K$57,"&lt;&gt;",$L$52:$L$57,"&lt;&gt;",$N$52:$N$57,$AY55)</f>
        <v>0</v>
      </c>
      <c r="BE55" s="917">
        <v>0</v>
      </c>
      <c r="BF55" s="917">
        <f t="array" aca="1" ref="BF55" ca="1">SUMIFS($K$52:$K$57,$I$52:$I$57,$AY55,$K$52:$K$57,"&lt;&gt;",$L$52:$L$57,"&lt;&gt;",$N$52:$N$57,BF53)+SUMIFS($L$52:$L$57,$I$52:$I$57,BF53,$K$52:$K$57,"&lt;&gt;",$L$52:$L$57,"&lt;&gt;",$N$52:$N$57,$AY55)</f>
        <v>2</v>
      </c>
      <c r="BG55" s="917">
        <f t="array" aca="1" ref="BG55" ca="1">SUMIFS($K$52:$K$57,$I$52:$I$57,$AY55,$K$52:$K$57,"&lt;&gt;",$L$52:$L$57,"&lt;&gt;",$N$52:$N$57,BG53)+SUMIFS($L$52:$L$57,$I$52:$I$57,BG53,$K$52:$K$57,"&lt;&gt;",$L$52:$L$57,"&lt;&gt;",$N$52:$N$57,$AY55)</f>
        <v>3</v>
      </c>
      <c r="BH55" s="917">
        <f ca="1">RANK(BI55,BI54:BI57,1)</f>
        <v>1</v>
      </c>
      <c r="BI55" s="917">
        <f ca="1">SUM(IF(AND(AJ55=AJ56,AQ55=AQ56,AO55=AO56),BL55,0),IF(AND(AJ55=AJ57,AQ55=AQ57,AO55=AO57),BM55,0),IF(AND(AJ55=AJ54,AQ55=AQ54,AO55=AO54),BJ55,0))</f>
        <v>0</v>
      </c>
      <c r="BJ55" s="917">
        <f ca="1">BD55-BE54</f>
        <v>-2</v>
      </c>
      <c r="BK55" s="917">
        <v>0</v>
      </c>
      <c r="BL55" s="917">
        <f ca="1">BF55-BE56</f>
        <v>-1</v>
      </c>
      <c r="BM55" s="917">
        <f ca="1">BG55-BE57</f>
        <v>0</v>
      </c>
      <c r="BN55" s="917">
        <f ca="1">RANK(BO55,BO54:BO57,1)</f>
        <v>1</v>
      </c>
      <c r="BO55" s="917">
        <f ca="1">SUM(IF(AND(AJ55=AJ56,AQ55=AQ56,AO55=AO56),BR55,0),IF(AND(AJ55=AJ57,AQ55=AQ57,AO55=AO57),BS55,0),IF(AND(AJ55=AJ54,AQ55=AQ54,AO55=AO54),BP55,0))</f>
        <v>0</v>
      </c>
      <c r="BP55" s="917">
        <f t="array" aca="1" ref="BP55" ca="1">SUM((I$4:I$57=AY55)*(N$4:N$57=BP53)*(K$4:K$57&lt;&gt;"")*(L$4:L$57&lt;&gt;"")*(K$4:K$57&gt;L$4:L$57)*3,(N$4:N$57=AY55)*(I$4:I$57=BP53)*(K$4:K$57&lt;&gt;"")*(L$4:L$57&lt;&gt;"")*(K$4:K$57=L$4:L$57)*1,(N$4:N$57=AY55)*(I$4:I$57=BP53)*(K$4:K$57&lt;&gt;"")*(L$4:L$57&lt;&gt;"")*(K$4:K$57&lt;L$4:L$57)*3,(I$4:I$57=AY55)*(N$4:N$57=BP53)*(K$4:K$57&lt;&gt;"")*(L$4:L$57&lt;&gt;"")*(K$4:K$57=L$4:L$57)*1)</f>
        <v>0</v>
      </c>
      <c r="BQ55" s="917">
        <v>0</v>
      </c>
      <c r="BR55" s="917">
        <f t="array" aca="1" ref="BR55" ca="1">SUM((I$4:I$57=AY55)*(N$4:N$57=BR53)*(K$4:K$57&lt;&gt;"")*(L$4:L$57&lt;&gt;"")*(K$4:K$57&gt;L$4:L$57)*3,(N$4:N$57=AY55)*(I$4:I$57=BR53)*(K$4:K$57&lt;&gt;"")*(L$4:L$57&lt;&gt;"")*(K$4:K$57=L$4:L$57)*1,(N$4:N$57=AY55)*(I$4:I$57=BR53)*(K$4:K$57&lt;&gt;"")*(L$4:L$57&lt;&gt;"")*(K$4:K$57&lt;L$4:L$57)*3,(I$4:I$57=AY55)*(N$4:N$57=BR53)*(K$4:K$57&lt;&gt;"")*(L$4:L$57&lt;&gt;"")*(K$4:K$57=L$4:L$57)*1)</f>
        <v>0</v>
      </c>
      <c r="BS55" s="917">
        <f t="array" aca="1" ref="BS55" ca="1">SUM((I$4:I$57=AY55)*(N$4:N$57=BS53)*(K$4:K$57&lt;&gt;"")*(L$4:L$57&lt;&gt;"")*(K$4:K$57&gt;L$4:L$57)*3,(N$4:N$57=AY55)*(I$4:I$57=BS53)*(K$4:K$57&lt;&gt;"")*(L$4:L$57&lt;&gt;"")*(K$4:K$57=L$4:L$57)*1,(N$4:N$57=AY55)*(I$4:I$57=BS53)*(K$4:K$57&lt;&gt;"")*(L$4:L$57&lt;&gt;"")*(K$4:K$57&lt;L$4:L$57)*3,(I$4:I$57=AY55)*(N$4:N$57=BS53)*(K$4:K$57&lt;&gt;"")*(L$4:L$57&lt;&gt;"")*(K$4:K$57=L$4:L$57)*1)</f>
        <v>1</v>
      </c>
      <c r="BT55" s="911">
        <v>2</v>
      </c>
      <c r="BU55" s="911">
        <f ca="1">RANK(BW55,$BW$54:$BW$57)</f>
        <v>4</v>
      </c>
      <c r="BV55" s="911" t="str">
        <f ca="1">A54</f>
        <v>Serbia</v>
      </c>
      <c r="BW55" s="911">
        <f t="shared" ca="1" si="9"/>
        <v>1101210499.74</v>
      </c>
      <c r="BX55" s="911" t="str">
        <f ca="1">VLOOKUP(Q55,$AH$54:$AI$57,2,0)</f>
        <v>Suiza</v>
      </c>
      <c r="BY55" s="911">
        <f ca="1">VLOOKUP($BX55,$AI$54:$AR$57,10,FALSE)</f>
        <v>6675210499.7299995</v>
      </c>
      <c r="CA55" s="911">
        <v>2</v>
      </c>
      <c r="CB55" s="911" t="str">
        <f ca="1">VLOOKUP(CA55,$AH$54:$AI$57,2,0)</f>
        <v>Suiza</v>
      </c>
      <c r="CC55" s="911">
        <f ca="1">VLOOKUP(CB55,$AI$54:$AR$57,2,FALSE)</f>
        <v>6</v>
      </c>
      <c r="CD55" s="918">
        <f ca="1">IF(SUM($AK$54:$AK$57)=12,MIN(ABS(BY54-BY55),ABS(BY55-BY56)),100)</f>
        <v>4000000.0200004578</v>
      </c>
      <c r="CE55" s="911">
        <f ca="1">VLOOKUP($CB55,$AI$54:$AR$57,9,FALSE)</f>
        <v>1</v>
      </c>
      <c r="CF55" s="911">
        <f ca="1">VLOOKUP($CB55,$AI$54:$AR$57,7,FALSE)</f>
        <v>4</v>
      </c>
      <c r="CH55" s="911">
        <f t="array" aca="1" ref="CH55" ca="1">IF($CI$54=$CL$53,$EC$53:$EC$56,IF($CI$54=$CM$53,$ED$53:$ED$55,IF(OR($CI$54=$CN$53,$CI$54=$CO$53),$EE$53:$EE$54,IF($CI$54=$CP$53,$EF$53:$EF$55,(IF($CI$54=$CQ$53,$EH$53:$EH$54,$EJ$53))))))</f>
        <v>2</v>
      </c>
      <c r="CK55" s="909">
        <v>2</v>
      </c>
      <c r="CL55" s="909">
        <f t="array" aca="1" ref="CL55" ca="1">IF(AND($CC$54:$CC$57=$CC$55,$CD$54:$CD$57&lt;90,$AQ$54:$AQ$57=$AQ$55,$CF$54:$CF$57=$CF$55),1,0)</f>
        <v>0</v>
      </c>
      <c r="CM55" s="909">
        <f t="array" aca="1" ref="CM55" ca="1">IF(AND($CC$54:$CC$56=$CC$55,$CD$54:$CD$56&lt;90,$CC$55&lt;&gt;$CC$57),1,0)</f>
        <v>0</v>
      </c>
      <c r="CN55" s="909">
        <f t="array" aca="1" ref="CN55" ca="1">IF(AND($CC$54:$CC$55=$CC$54,$CD$54:$CD$55&lt;90,$CC$54&lt;&gt;$CC$56),1,0)</f>
        <v>0</v>
      </c>
      <c r="CO55" s="909">
        <f t="array" aca="1" ref="CO55" ca="1">IF(AND($CC$54:$CC$55=$CC$54,$CD$54:$CD$55&lt;90,$CC$54&lt;&gt;$CC$56),1,0)</f>
        <v>0</v>
      </c>
      <c r="CP55" s="909">
        <f t="array" aca="1" ref="CP55" ca="1">IF(AND($CC$55:$CC$57=$CC$55,$CD$55:$CD$57&lt;90,$CC$54&lt;&gt;$CC$55),1,0)</f>
        <v>0</v>
      </c>
      <c r="CQ55" s="909">
        <f t="array" aca="1" ref="CQ55" ca="1">IF(AND($CC$55:$CC$56=$CC$55,$CD$55:$CD$56&lt;90,$CC$55&lt;&gt;$CC$54,$CC$55&lt;&gt;$CC$57),1,0)</f>
        <v>0</v>
      </c>
      <c r="CR55" s="909">
        <f t="array" aca="1" ref="CR55" ca="1">IF(AND($CC$55&lt;&gt;$CC$54,$CC$55&lt;&gt;$CC$56),1,0)</f>
        <v>0</v>
      </c>
      <c r="CS55" s="909">
        <f t="array" aca="1" ref="CS55" ca="1">IF(AND($CC$55&lt;&gt;$CC$54,$CC$55&lt;&gt;$CC$56),1,0)</f>
        <v>0</v>
      </c>
      <c r="CT55" s="909">
        <f t="array" aca="1" ref="CT55" ca="1">IF(AND($CC$54:$CC$57=$CC$54,$CD$54:$CD$57&lt;90,$CE$54:$CE$55=$CE$54,$CE$55&lt;&gt;$CE$56),1,0)</f>
        <v>0</v>
      </c>
      <c r="CU55" s="909">
        <f t="array" aca="1" ref="CU55" ca="1">IF(AND($CC$54:$CC$57=$CC$54,$CD$54:$CD$57&lt;90,$CE$54:$CE$57=$CE$54,$CF$54=$CF$55,$CF$55&lt;&gt;$CF$56),1,0)</f>
        <v>0</v>
      </c>
      <c r="CV55" s="909">
        <f t="array" aca="1" ref="CV55" ca="1">IF(AND($CC$54:$CC$56=$CC$55,$CD$54:$CD$55&lt;90,$CD$56&gt;90),1,0)</f>
        <v>0</v>
      </c>
      <c r="CW55" s="909">
        <f t="array" aca="1" ref="CW55" ca="1">IF(AND($CC$55&lt;&gt;$CC$54,$CC$55:$CC$57=$CC$55,$CD$55&gt;90,$CD$56:$CD$57&lt;90),1,0)</f>
        <v>0</v>
      </c>
      <c r="CX55" s="909">
        <f t="array" aca="1" ref="CX55" ca="1">IF(AND($CC$55&lt;&gt;$CC$54,$CC$55:$CC$57=$CC$55,$CD$57&gt;90,$CD$55:$CD$56&lt;90),1,0)</f>
        <v>0</v>
      </c>
      <c r="CY55" s="909">
        <f t="array" aca="1" ref="CY55" ca="1">IF(AND($CC$55&lt;&gt;$CC$57,$CC$54:$CC$56=$CC$55,$CD$54&gt;90,$CD$55:$CD$56&lt;90),1,0)</f>
        <v>0</v>
      </c>
      <c r="CZ55" s="909">
        <f t="array" aca="1" ref="CZ55" ca="1">IF(AND($CC$54:$CC$57=$CC$55,$CD$55:$CD$57&lt;90,$CD$54&lt;&gt;$CD$55),1,0)</f>
        <v>0</v>
      </c>
      <c r="DA55" s="909">
        <f t="array" aca="1" ref="DA55" ca="1">IF(AND($CC$54:$CC$57=$CC$55,$CD$54:$CD$56&lt;90,$CD$55&lt;&gt;$CD$57),1,0)</f>
        <v>0</v>
      </c>
      <c r="DB55" s="909">
        <f t="array" aca="1" ref="DB55" ca="1">IF(AND($CC$54:$CC$57=$CC$55,$CD$54:$CD$55&gt;90,$CD$56:$CD$57&lt;90,$CE$54:$CE$57=$CE$55,$CF$54&gt;$CF$55,$CF$55&gt;$CF$56,$CF$55&gt;$CF$57),1,0)</f>
        <v>0</v>
      </c>
      <c r="DC55" s="909">
        <f t="array" aca="1" ref="DC55" ca="1">IF(AND($CC$54:$CC$57=$CC$55,$CD$54&gt;90,$CD$55:$CD$56&lt;90,$CD$57&gt;90,$CE$54:$CE$57=$CE$55,$CF$54&gt;$CF$55,$CF$55=$CF$56,$CF$55&gt;$CF$57),1,0)</f>
        <v>0</v>
      </c>
      <c r="DD55" s="909">
        <f t="array" aca="1" ref="DD55" ca="1">IF(AND($CC$54:$CC$57=$CC$55,$CD$54:$CD$55&lt;90,$CD$56:$CD$57&gt;90,$CE$54:$CE$57=$CE$55,$CF$54=$CF$55,$CF$55&gt;$CF$56,$CF$55&gt;$CF$57),1,0)</f>
        <v>0</v>
      </c>
      <c r="DE55" s="909">
        <f t="array" aca="1" ref="DE55" ca="1">IF(AND($CC$54:$CC$57=$CC$55,$CD$54:$CD$55&gt;90,$CD$56:$CD$57&lt;90,$CE$54:$CE$57=$CE$55,$CF$54&gt;$CF$55,$CF$55:$CF$57=$CF$55),1,0)</f>
        <v>0</v>
      </c>
      <c r="DF55" s="909">
        <f t="array" aca="1" ref="DF55" ca="1">IF(AND($CC$54:$CC$57=$CC$55,$CD$54:$CD$55&lt;90,$CD$56:$CD$57&gt;90,$CE$54:$CE$57=$CE$55,$CF$54:$CF$56=$CF$55,$CF$55&gt;$CF$57),1,0)</f>
        <v>0</v>
      </c>
      <c r="DG55" s="909">
        <f t="array" aca="1" ref="DG55" ca="1">IF(AND($CC$54:$CC$57=$CC$55,$CD$54&gt;90,$CD$57&gt;90,$CD$55:$CD$56&lt;90,$CE$54:$CE$57=$CE$55,$CF$54&gt;$CF$55:$CF$57,$CF$55:$CF$57=$CF$55),1,0)</f>
        <v>0</v>
      </c>
      <c r="EC55" s="911">
        <v>3</v>
      </c>
      <c r="ED55" s="911">
        <v>3</v>
      </c>
      <c r="EE55" s="911"/>
      <c r="EF55" s="911">
        <v>4</v>
      </c>
      <c r="EG55" s="911"/>
      <c r="EH55" s="911"/>
      <c r="EI55" s="911"/>
      <c r="EJ55" s="911"/>
      <c r="EK55" s="911"/>
      <c r="EL55" s="911"/>
      <c r="FI55" s="917"/>
      <c r="FK55" s="917"/>
      <c r="FM55" s="917"/>
    </row>
    <row r="56" spans="1:2374 10958:10958">
      <c r="A56" s="871" t="str" cm="1">
        <f t="array" aca="1" ref="A56" ca="1">IF(ROWS(A$53:A56)&lt;=$C$52,INDEX(INDIRECT(A$52),SMALL(IF(Nivell=$B$52,ROW(Nivell)-ROW(Equipos!$C$2)+1),ROWS(B$52:B55))),"")</f>
        <v>Camerún</v>
      </c>
      <c r="B56" s="872"/>
      <c r="C56" s="857"/>
      <c r="D56" s="152"/>
      <c r="E56" s="977"/>
      <c r="F56" s="248">
        <f>Horarios!C56</f>
        <v>44897.916666666664</v>
      </c>
      <c r="G56" s="249">
        <f>Horarios!C56</f>
        <v>44897.916666666664</v>
      </c>
      <c r="H56" s="248" t="s">
        <v>71</v>
      </c>
      <c r="I56" s="250" t="str">
        <f ca="1">A54</f>
        <v>Serbia</v>
      </c>
      <c r="J56" s="251" t="str">
        <f ca="1">VLOOKUP(I56,Equipos!$H$2:$I$33,2,0)</f>
        <v>🇷🇸</v>
      </c>
      <c r="K56" s="252">
        <v>2</v>
      </c>
      <c r="L56" s="252">
        <v>3</v>
      </c>
      <c r="M56" s="344" t="str">
        <f ca="1">VLOOKUP(N56,Equipos!$H$2:$I$33,2,0)</f>
        <v>🇨🇭</v>
      </c>
      <c r="N56" s="259" t="str">
        <f ca="1">A55</f>
        <v>Suiza</v>
      </c>
      <c r="O56" s="347">
        <f t="shared" si="37"/>
        <v>1</v>
      </c>
      <c r="P56" s="82"/>
      <c r="Q56" s="303">
        <v>3</v>
      </c>
      <c r="R56" s="5" t="str">
        <f ca="1">VLOOKUP(Q56,$AG$54:$AI$57,3,0)</f>
        <v>Camerún</v>
      </c>
      <c r="S56" s="4">
        <f ca="1">VLOOKUP(R56,$AI$54:$AR$57,2,FALSE)</f>
        <v>4</v>
      </c>
      <c r="T56" s="4">
        <f ca="1">VLOOKUP($R56,$AI$54:$AR$57,3,FALSE)</f>
        <v>3</v>
      </c>
      <c r="U56" s="4">
        <f ca="1">VLOOKUP($R56,$AI$54:$AR$57,4,FALSE)</f>
        <v>1</v>
      </c>
      <c r="V56" s="4">
        <f ca="1">VLOOKUP($R56,$AI$54:$AR$57,5,FALSE)</f>
        <v>1</v>
      </c>
      <c r="W56" s="4">
        <f ca="1">VLOOKUP($R56,$AI$54:$AR$57,6,FALSE)</f>
        <v>1</v>
      </c>
      <c r="X56" s="4">
        <f ca="1">VLOOKUP($R56,$AI$54:$AR$57,7,FALSE)</f>
        <v>4</v>
      </c>
      <c r="Y56" s="4">
        <f ca="1">VLOOKUP($R56,$AI$54:$AR$57,8,FALSE)</f>
        <v>4</v>
      </c>
      <c r="Z56" s="304">
        <f ca="1">VLOOKUP($R56,$AI$54:$AR$57,9,FALSE)</f>
        <v>0</v>
      </c>
      <c r="AA56" s="357">
        <f ca="1">IF(SUM($AK$54:$AK$57)=12,MIN(ABS(BY55-BY56),ABS(BY56-BY57)),100)</f>
        <v>2227000000.0099993</v>
      </c>
      <c r="AB56" s="94" t="str">
        <f ca="1">IF(AND(AA56&gt;=0,AA56&lt;90),VLOOKUP(Q56,$BU$54:$BV$57,2,0),"")</f>
        <v/>
      </c>
      <c r="AC56" s="73"/>
      <c r="AD56" s="74"/>
      <c r="AE56" s="328"/>
      <c r="AF56" s="910">
        <f ca="1">VLOOKUP($R56,$AI$54:$AR$57,10,FALSE)</f>
        <v>4448210499.7200003</v>
      </c>
      <c r="AG56" s="909">
        <f ca="1">RANK(AU56,$AU$54:$AU$57)</f>
        <v>2</v>
      </c>
      <c r="AH56" s="909">
        <f ca="1">RANK(AR56,$AR$54:$AR$57)</f>
        <v>2</v>
      </c>
      <c r="AI56" s="911" t="str">
        <f ca="1">A55</f>
        <v>Suiza</v>
      </c>
      <c r="AJ56" s="909">
        <f ca="1">AL56*3+AM56*1+AN56*0</f>
        <v>6</v>
      </c>
      <c r="AK56" s="909">
        <f ca="1">COUNTIFS($I$4:$I$65,AI56,$K$4:$K$65,"&lt;&gt;",$L$4:$L$65,"&lt;&gt;")+COUNTIFS($N$4:$N$65,AI56,$L$4:$L$65,"&lt;&gt;",$K$4:$K$65,"&lt;&gt;")</f>
        <v>3</v>
      </c>
      <c r="AL56" s="909">
        <f t="array" aca="1" ref="AL56" ca="1">SUM(($I$4:$I$65=AI56)*($K$4:$K$65&lt;&gt;"")*($L$4:$L$65&lt;&gt;"")*($K$4:$K$65&gt;$L$4:$L$65),($N$4:$N$65=AI56)*($K$4:$K$65&lt;&gt;"")*($L$4:$L$65&lt;&gt;"")*($K$4:$K$65&lt;$L$4:$L$65))</f>
        <v>2</v>
      </c>
      <c r="AM56" s="909">
        <f t="array" aca="1" ref="AM56" ca="1">SUM(($I$4:$I$65=AI56)*($K$4:$K$65&lt;&gt;"")*($L$4:$L$65&lt;&gt;"")*($K$4:$K$65=$L$4:$L$65),($N$4:$N$65=AI56)*($K$4:$K$65&lt;&gt;"")*($L$4:$L$65&lt;&gt;"")*($K$4:$K$65=$L$4:$L$65))</f>
        <v>0</v>
      </c>
      <c r="AN56" s="909">
        <f t="array" aca="1" ref="AN56" ca="1">SUM(($I$4:$I$65=AI56)*($L$4:$L$65&lt;&gt;"")*($K$4:$K$65&lt;&gt;"")*($K$4:$K$65&lt;$L$4:$L$65),($K$4:$K$65&lt;&gt;"")*($N$4:$N$65=AI56)*($L$4:$L$65&lt;&gt;"")*($K$4:$K$65&gt;$L$4:$L$65))</f>
        <v>1</v>
      </c>
      <c r="AO56" s="909">
        <f t="array" aca="1" ref="AO56" ca="1">SUMIFS($K$4:$K$65,$I$4:$I$65,AI56,$K$4:$K$65,"&lt;&gt;",$L$4:$L$65,"&lt;&gt;")+SUMIFS($L$4:$L$65,$N$4:$N$65,AI56,$K$4:$K$65,"&lt;&gt;",$L$4:$L$65,"&lt;&gt;")</f>
        <v>4</v>
      </c>
      <c r="AP56" s="909">
        <f t="array" aca="1" ref="AP56" ca="1">SUMIFS($K$4:$K$65,$N$4:$N$65,AI56,$K$4:$K$65,"&lt;&gt;",$L$4:$L$65,"&lt;&gt;")+SUMIFS($L$4:$L$65,$I$4:$I$65,AI56,$K$4:$K$65,"&lt;&gt;",$L$4:$L$65,"&lt;&gt;")</f>
        <v>3</v>
      </c>
      <c r="AQ56" s="909">
        <f ca="1">AO56-AP56</f>
        <v>1</v>
      </c>
      <c r="AR56" s="909">
        <f ca="1">IF(AK56=0,-($AW$11*VLOOKUP(AI56,Tabla3[[NombreEquipo]:[Rank]],3,FALSE)),AJ56*$AW$4+AQ56*$AW$5+AO56*$AW$6+BA56-($AW$11*VLOOKUP(AI56,Tabla3[[NombreEquipo]:[Rank]],3,FALSE)/100))</f>
        <v>6675210499.7299995</v>
      </c>
      <c r="AS56" s="909">
        <f ca="1">AH56</f>
        <v>2</v>
      </c>
      <c r="AT56" s="909"/>
      <c r="AU56" s="909">
        <f ca="1">IFERROR(AR56-VLOOKUP(AI56,$AB$54:$AC$57,2,0),AR56)</f>
        <v>6675210499.7299995</v>
      </c>
      <c r="AV56" s="909"/>
      <c r="AW56" s="912"/>
      <c r="AX56" s="909"/>
      <c r="AY56" s="916" t="str">
        <f ca="1">AI56</f>
        <v>Suiza</v>
      </c>
      <c r="AZ56" s="909">
        <f ca="1">COUNTIF(AJ54:AJ57,AJ56)</f>
        <v>2</v>
      </c>
      <c r="BA56" s="909">
        <f t="shared" ca="1" si="8"/>
        <v>210500</v>
      </c>
      <c r="BB56" s="917">
        <f ca="1">RANK(BC56,BC54:BC57,1)</f>
        <v>1</v>
      </c>
      <c r="BC56" s="917">
        <f ca="1">SUM(IF(AND(AJ56=AJ57,AQ56=AQ57,AO56=AO57),BG56,0),IF(AND(AJ56=AJ54,AQ56=AQ54,AO56=AO54),BD56,0),IF(AND(AJ56=AJ55,AQ56=AQ55,AO56=AO55),BE56,0))</f>
        <v>0</v>
      </c>
      <c r="BD56" s="917">
        <f t="array" aca="1" ref="BD56" ca="1">SUMIFS($K$52:$K$57,$I$52:$I$57,$AY56,$K$52:$K$57,"&lt;&gt;",$L$52:$L$57,"&lt;&gt;",$N$52:$N$57,BD53)+SUMIFS($L$52:$L$57,$I$52:$I$57,BD53,$K$52:$K$57,"&lt;&gt;",$L$52:$L$57,"&lt;&gt;",$N$52:$N$57,$AY56)</f>
        <v>0</v>
      </c>
      <c r="BE56" s="917">
        <f t="array" aca="1" ref="BE56" ca="1">SUMIFS($K$52:$K$57,$I$52:$I$57,$AY56,$K$52:$K$57,"&lt;&gt;",$L$52:$L$57,"&lt;&gt;",$N$52:$N$57,BE53)+SUMIFS($L$52:$L$57,$I$52:$I$57,BE53,$K$52:$K$57,"&lt;&gt;",$L$52:$L$57,"&lt;&gt;",$N$52:$N$57,$AY56)</f>
        <v>3</v>
      </c>
      <c r="BF56" s="917">
        <v>0</v>
      </c>
      <c r="BG56" s="917">
        <f t="array" aca="1" ref="BG56" ca="1">SUMIFS($K$52:$K$57,$I$52:$I$57,$AY56,$K$52:$K$57,"&lt;&gt;",$L$52:$L$57,"&lt;&gt;",$N$52:$N$57,BG53)+SUMIFS($L$52:$L$57,$I$52:$I$57,BG53,$K$52:$K$57,"&lt;&gt;",$L$52:$L$57,"&lt;&gt;",$N$52:$N$57,$AY56)</f>
        <v>1</v>
      </c>
      <c r="BH56" s="917">
        <f ca="1">RANK(BI56,BI54:BI57,1)</f>
        <v>1</v>
      </c>
      <c r="BI56" s="917">
        <f ca="1">SUM(IF(AND(AJ56=AJ57,AQ56=AQ57,AO56=AO57),BM56,0),IF(AND(AJ56=AJ54,AQ56=AQ54,AO56=AO54),BJ56,0),IF(AND(AJ56=AJ55,AQ56=AQ55,AO56=AO55),BK56,0))</f>
        <v>0</v>
      </c>
      <c r="BJ56" s="917">
        <f ca="1">BD56-BF54</f>
        <v>-1</v>
      </c>
      <c r="BK56" s="917">
        <f ca="1">BE56-BF55</f>
        <v>1</v>
      </c>
      <c r="BL56" s="917">
        <v>0</v>
      </c>
      <c r="BM56" s="917">
        <f ca="1">BG56-BF57</f>
        <v>1</v>
      </c>
      <c r="BN56" s="917">
        <f ca="1">RANK(BO56,BO54:BO57,1)</f>
        <v>1</v>
      </c>
      <c r="BO56" s="917">
        <f ca="1">SUM(IF(AND(AJ56=AJ57,AQ56=AQ57,AO56=AO57),BS56,0),IF(AND(AJ56=AJ54,AQ56=AQ54,AO56=AO54),BP56,0),IF(AND(AJ56=AJ55,AQ56=AQ55,AO56=AO55),BQ56,0))</f>
        <v>0</v>
      </c>
      <c r="BP56" s="917">
        <f t="array" aca="1" ref="BP56" ca="1">SUM((I$4:I$57=AY56)*(N$4:N$57=BP53)*(K$4:K$57&lt;&gt;"")*(L$4:L$57&lt;&gt;"")*(K$4:K$57&gt;L$4:L$57)*3,(N$4:N$57=AY56)*(I$4:I$57=BP53)*(K$4:K$57&lt;&gt;"")*(L$4:L$57&lt;&gt;"")*(K$4:K$57=L$4:L$57)*1,(N$4:N$57=AY56)*(I$4:I$57=BP53)*(K$4:K$57&lt;&gt;"")*(L$4:L$57&lt;&gt;"")*(K$4:K$57&lt;L$4:L$57)*3,(I$4:I$57=AY56)*(N$4:N$57=BP53)*(K$4:K$57&lt;&gt;"")*(L$4:L$57&lt;&gt;"")*(K$4:K$57=L$4:L$57)*1)</f>
        <v>0</v>
      </c>
      <c r="BQ56" s="917">
        <f t="array" aca="1" ref="BQ56" ca="1">SUM((I$4:I$57=AY56)*(N$4:N$57=BQ53)*(K$4:K$57&lt;&gt;"")*(L$4:L$57&lt;&gt;"")*(K$4:K$57&gt;L$4:L$57)*3,(N$4:N$57=AY56)*(I$4:I$57=BQ53)*(K$4:K$57&lt;&gt;"")*(L$4:L$57&lt;&gt;"")*(K$4:K$57=L$4:L$57)*1,(N$4:N$57=AY56)*(I$4:I$57=BQ53)*(K$4:K$57&lt;&gt;"")*(L$4:L$57&lt;&gt;"")*(K$4:K$57&lt;L$4:L$57)*3,(I$4:I$57=AY56)*(N$4:N$57=BQ53)*(K$4:K$57&lt;&gt;"")*(L$4:L$57&lt;&gt;"")*(K$4:K$57=L$4:L$57)*1)</f>
        <v>3</v>
      </c>
      <c r="BR56" s="917">
        <v>0</v>
      </c>
      <c r="BS56" s="917">
        <f t="array" aca="1" ref="BS56" ca="1">SUM((I$4:I$57=AY56)*(N$4:N$57=BS53)*(K$4:K$57&lt;&gt;"")*(L$4:L$57&lt;&gt;"")*(K$4:K$57&gt;L$4:L$57)*3,(N$4:N$57=AY56)*(I$4:I$57=BS53)*(K$4:K$57&lt;&gt;"")*(L$4:L$57&lt;&gt;"")*(K$4:K$57=L$4:L$57)*1,(N$4:N$57=AY56)*(I$4:I$57=BS53)*(K$4:K$57&lt;&gt;"")*(L$4:L$57&lt;&gt;"")*(K$4:K$57&lt;L$4:L$57)*3,(I$4:I$57=AY56)*(N$4:N$57=BS53)*(K$4:K$57&lt;&gt;"")*(L$4:L$57&lt;&gt;"")*(K$4:K$57=L$4:L$57)*1)</f>
        <v>3</v>
      </c>
      <c r="BT56" s="911">
        <v>3</v>
      </c>
      <c r="BU56" s="911">
        <f ca="1">RANK(BW56,$BW$54:$BW$57)</f>
        <v>2</v>
      </c>
      <c r="BV56" s="911" t="str">
        <f ca="1">A55</f>
        <v>Suiza</v>
      </c>
      <c r="BW56" s="911">
        <f t="shared" ca="1" si="9"/>
        <v>6675210499.7299995</v>
      </c>
      <c r="BX56" s="911" t="str">
        <f ca="1">VLOOKUP(Q56,$AH$54:$AI$57,2,0)</f>
        <v>Camerún</v>
      </c>
      <c r="BY56" s="911">
        <f ca="1">VLOOKUP($BX56,$AI$54:$AR$57,10,FALSE)</f>
        <v>4448210499.7200003</v>
      </c>
      <c r="CA56" s="911">
        <v>3</v>
      </c>
      <c r="CB56" s="911" t="str">
        <f ca="1">VLOOKUP(CA56,$AH$54:$AI$57,2,0)</f>
        <v>Camerún</v>
      </c>
      <c r="CC56" s="911">
        <f ca="1">VLOOKUP(CB56,$AI$54:$AR$57,2,FALSE)</f>
        <v>4</v>
      </c>
      <c r="CD56" s="918">
        <f ca="1">IF(SUM($AK$54:$AK$57)=12,MIN(ABS(BY55-BY56),ABS(BY56-BY57)),100)</f>
        <v>2227000000.0099993</v>
      </c>
      <c r="CE56" s="911">
        <f ca="1">VLOOKUP($CB56,$AI$54:$AR$57,9,FALSE)</f>
        <v>0</v>
      </c>
      <c r="CF56" s="911">
        <f ca="1">VLOOKUP($CB56,$AI$54:$AR$57,7,FALSE)</f>
        <v>4</v>
      </c>
      <c r="CH56" s="911">
        <f t="array" aca="1" ref="CH56" ca="1">IF($CI$54=$CL$53,$EC$53:$EC$56,IF($CI$54=$CM$53,$ED$53:$ED$55,IF(OR($CI$54=$CN$53,$CI$54=$CR$53),$EG$53:$EG$54,IF($CI$54=$CP$53,$EF$53:$EF$55,(IF($CI$54=$CQ$53,$EH$53:$EH$54,$EK$53))))))</f>
        <v>3</v>
      </c>
      <c r="CK56" s="909">
        <v>3</v>
      </c>
      <c r="CL56" s="909">
        <f t="array" aca="1" ref="CL56" ca="1">IF(AND($CC$54:$CC$57=$CC$56,$CD$54:$CD$57&lt;90,$AQ$54:$AQ$57=$AQ$56,$CF$54:$CF$57=$CF$56),1,0)</f>
        <v>0</v>
      </c>
      <c r="CM56" s="909">
        <f t="array" aca="1" ref="CM56" ca="1">IF(AND($CC$54:$CC$56=$CC$56,$CD$54:$CD$56&lt;90,$CC$56&lt;&gt;$CC$57),1,0)</f>
        <v>0</v>
      </c>
      <c r="CN56" s="909">
        <f t="array" aca="1" ref="CN56" ca="1">IF(AND($CC$56:$CC$57=$CC$56,$CD$56:$CD$57&lt;90,$CC$56&lt;&gt;$CC$55),1,0)</f>
        <v>0</v>
      </c>
      <c r="CO56" s="909">
        <f t="array" aca="1" ref="CO56" ca="1">IF(OR(AND($CC$56&lt;&gt;$CC$55,$CC$56&lt;&gt;$CC$57),AND($CC$56&lt;&gt;$CC$55,$CC$56=$CC$57,$CD$56&gt;90,$CD$57&gt;90)),1,0)</f>
        <v>1</v>
      </c>
      <c r="CP56" s="909">
        <f t="array" aca="1" ref="CP56" ca="1">IF(AND($CC$55:$CC$57=$CC$55,$CD$55:$CD$57&lt;90,$CC$54&lt;&gt;$CC$56),1,0)</f>
        <v>0</v>
      </c>
      <c r="CQ56" s="909">
        <f t="array" aca="1" ref="CQ56" ca="1">IF(AND($CC$55:$CC$56=$CC$56,$CD$55:$CD$56&lt;90,$CC$56&lt;&gt;$CC$54,$CC$56&lt;&gt;$CC$57),1,0)</f>
        <v>0</v>
      </c>
      <c r="CR56" s="909">
        <f t="array" aca="1" ref="CR56" ca="1">IF(AND($CC$56:$CC$57=$CC$56,$CD$56:$CD$57&lt;90,$CC$56&lt;&gt;$CC$55),1,0)</f>
        <v>0</v>
      </c>
      <c r="CS56" s="909">
        <f t="array" aca="1" ref="CS56" ca="1">IF(AND($CC$56&lt;&gt;$CC$55,$CC$56&lt;&gt;$CC$57),1,0)</f>
        <v>1</v>
      </c>
      <c r="CT56" s="909">
        <f t="array" aca="1" ref="CT56" ca="1">IF(AND($CC$54:$CC$57=$CC$54,$CD$54:$CD$57&lt;90,$CE$56:$CE$57=$CE$56,$CE$55&lt;&gt;$CE$56),1,0)</f>
        <v>0</v>
      </c>
      <c r="CU56" s="909">
        <f t="array" aca="1" ref="CU56" ca="1">IF(AND($CC$54:$CC$57=$CC$54,$CD$54:$CD$57&lt;90,$CE$54:$CE$57=$CE$54,$CF$56=$CF$57,$CF$55&lt;&gt;$CF$56),1,0)</f>
        <v>0</v>
      </c>
      <c r="CV56" s="909">
        <f t="array" aca="1" ref="CV56" ca="1">IF(AND($CC$54:$CC$56=$CC$56,$CD$54:$CD$55&lt;90,$CD$56&gt;90),1,0)</f>
        <v>0</v>
      </c>
      <c r="CW56" s="909">
        <f t="array" aca="1" ref="CW56" ca="1">IF(AND($CC$55&lt;&gt;$CC$54,$CC$55:$CC$57=$CC$56,$CD$55&gt;90,$CD$56:$CD$57&lt;90),1,0)</f>
        <v>0</v>
      </c>
      <c r="CX56" s="909">
        <f t="array" aca="1" ref="CX56" ca="1">IF(AND($CC$55&lt;&gt;$CC$54,$CC$55:$CC$57=$CC$55,$CD$57&gt;90,$CD$55:$CD$56&lt;90),1,0)</f>
        <v>0</v>
      </c>
      <c r="CY56" s="909">
        <f t="array" aca="1" ref="CY56" ca="1">IF(AND($CC$56&lt;&gt;$CC$57,$CC$54:$CC$56=$CC$56,$CD$54&gt;90,$CD$55:$CD$56&lt;90),1,0)</f>
        <v>0</v>
      </c>
      <c r="CZ56" s="909">
        <f t="array" aca="1" ref="CZ56" ca="1">IF(AND($CC$54:$CC$57=$CC$55,$CD$55:$CD$57&lt;90,$CD$54&lt;&gt;$CD$56),1,0)</f>
        <v>0</v>
      </c>
      <c r="DA56" s="909">
        <f t="array" aca="1" ref="DA56" ca="1">IF(AND($CC$54:$CC$57=$CC$56,$CD$54:$CD$56&lt;90,$CD$56&lt;&gt;$CD$57),1,0)</f>
        <v>0</v>
      </c>
      <c r="DB56" s="909">
        <f t="array" aca="1" ref="DB56" ca="1">IF(AND($CC$54:$CC$57=$CC$56,$CD$54:$CD$55&gt;90,$CD$56:$CD$57&lt;90,$CE$54:$CE$57=$CE$56,$CF$54&gt;$CF$55,$CF$55&gt;$CF$56,$CF$56=$CF$57),1,0)</f>
        <v>0</v>
      </c>
      <c r="DC56" s="909">
        <f t="array" aca="1" ref="DC56" ca="1">IF(AND($CC$54:$CC$57=$CC$56,$CD$54&gt;90,$CD$55:$CD$56&lt;90,$CD$57&gt;90,$CE$54:$CE$57=$CE$56,$CF$54&gt;$CF$55,$CF$55=$CF$56,$CF$56&gt;$CF$57),1,0)</f>
        <v>0</v>
      </c>
      <c r="DD56" s="909">
        <f t="array" aca="1" ref="DD56" ca="1">IF(AND($CC$54:$CC$57=$CC$56,$CD$54:$CD$55&lt;90,$CD$56:$CD$57&gt;90,$CE$54:$CE$57=$CE$56,$CF$54=$CF$55,$CF$55&gt;$CF$56,$CF$56&gt;$CF$57),1,0)</f>
        <v>0</v>
      </c>
      <c r="DE56" s="909">
        <f t="array" aca="1" ref="DE56" ca="1">IF(AND($CC$54:$CC$57=$CC$56,$CD$54:$CD$55&gt;90,$CD$56:$CD$57&lt;90,$CE$54:$CE$57=$CE$55,$CF$54&gt;$CF$56,$CF$55:$CF$57=$CF$56),1,0)</f>
        <v>0</v>
      </c>
      <c r="DF56" s="909">
        <f t="array" aca="1" ref="DF56" ca="1">IF(AND($CC$54:$CC$57=$CC$56,$CD$54:$CD$55&lt;90,$CD$56:$CD$57&gt;90,$CE$54:$CE$57=$CE$56,$CF$54:$CF$56=$CF$56,$CF$56&gt;$CF$57),1,0)</f>
        <v>0</v>
      </c>
      <c r="DG56" s="909">
        <f t="array" aca="1" ref="DG56" ca="1">IF(AND($CC$54:$CC$57=$CC$56,$CD$54&gt;90,$CD$57&gt;90,$CD$55:$CD$56&lt;90,$CE$54:$CE$57=$CE$56,$CF$54&gt;$CF$55:$CF$57,$CF$55:$CF$57=$CF$56),1,0)</f>
        <v>0</v>
      </c>
      <c r="EC56" s="911">
        <v>4</v>
      </c>
      <c r="ED56" s="911"/>
      <c r="EE56" s="911"/>
      <c r="EF56" s="911"/>
      <c r="EG56" s="911"/>
      <c r="EH56" s="911"/>
      <c r="EI56" s="911"/>
      <c r="EJ56" s="911"/>
      <c r="EK56" s="911"/>
      <c r="EL56" s="911"/>
      <c r="FI56" s="917"/>
      <c r="FK56" s="917"/>
      <c r="FM56" s="917"/>
      <c r="CHS56" s="911"/>
      <c r="CHT56" s="911"/>
      <c r="CHU56" s="911"/>
      <c r="CHV56" s="911"/>
      <c r="CHW56" s="911"/>
      <c r="CHX56" s="911"/>
      <c r="CHY56" s="911"/>
      <c r="CHZ56" s="911"/>
      <c r="CIA56" s="911"/>
      <c r="CIB56" s="911"/>
      <c r="CIC56" s="911"/>
      <c r="CID56" s="911"/>
      <c r="CIE56" s="911"/>
      <c r="CIF56" s="911"/>
      <c r="CIG56" s="911"/>
      <c r="CIH56" s="911"/>
      <c r="CII56" s="911"/>
      <c r="CIJ56" s="911"/>
      <c r="CIK56" s="911"/>
      <c r="CIL56" s="911"/>
      <c r="CIM56" s="911"/>
      <c r="CIN56" s="911"/>
      <c r="CIO56" s="911"/>
      <c r="CIP56" s="911"/>
      <c r="CIQ56" s="911"/>
      <c r="CIR56" s="911"/>
      <c r="CIS56" s="911"/>
      <c r="CIT56" s="911"/>
      <c r="CIU56" s="911"/>
      <c r="CIV56" s="911"/>
      <c r="CIW56" s="911"/>
      <c r="CIX56" s="911"/>
      <c r="CIY56" s="911"/>
      <c r="CIZ56" s="911"/>
      <c r="CJA56" s="911"/>
      <c r="CJB56" s="911"/>
      <c r="CJC56" s="911"/>
      <c r="CJD56" s="911"/>
      <c r="CJE56" s="911"/>
      <c r="CJF56" s="911"/>
      <c r="CJG56" s="911"/>
      <c r="CJH56" s="911"/>
      <c r="CJI56" s="911"/>
      <c r="CJJ56" s="911"/>
      <c r="CJK56" s="911"/>
      <c r="CJL56" s="911"/>
      <c r="CJM56" s="911"/>
      <c r="CJN56" s="911"/>
      <c r="CJO56" s="911"/>
      <c r="CJP56" s="911"/>
      <c r="CJQ56" s="911"/>
      <c r="CJR56" s="911"/>
      <c r="CJS56" s="911"/>
      <c r="CJT56" s="911"/>
      <c r="CJU56" s="911"/>
      <c r="CJV56" s="911"/>
      <c r="CJW56" s="911"/>
      <c r="CJX56" s="911"/>
      <c r="CJY56" s="911"/>
      <c r="CJZ56" s="911"/>
      <c r="CKA56" s="911"/>
      <c r="CKB56" s="911"/>
      <c r="CKC56" s="911"/>
      <c r="CKD56" s="911"/>
      <c r="CKE56" s="911"/>
      <c r="CKF56" s="911"/>
      <c r="CKG56" s="911"/>
      <c r="CKH56" s="911"/>
      <c r="CKI56" s="911"/>
      <c r="CKJ56" s="911"/>
      <c r="CKK56" s="911"/>
      <c r="CKL56" s="911"/>
      <c r="CKM56" s="911"/>
      <c r="CKN56" s="911"/>
      <c r="CKO56" s="911"/>
      <c r="CKP56" s="911"/>
      <c r="CKQ56" s="911"/>
      <c r="CKR56" s="911"/>
      <c r="CKS56" s="911"/>
      <c r="CKT56" s="911"/>
      <c r="CKU56" s="911"/>
      <c r="CKV56" s="911"/>
      <c r="CKW56" s="911"/>
      <c r="CKX56" s="911"/>
      <c r="CKY56" s="911"/>
      <c r="CKZ56" s="911"/>
      <c r="CLA56" s="911"/>
      <c r="CLB56" s="911"/>
      <c r="CLC56" s="911"/>
      <c r="CLD56" s="911"/>
      <c r="CLE56" s="911"/>
      <c r="CLF56" s="911"/>
      <c r="CLG56" s="911"/>
      <c r="CLH56" s="911"/>
      <c r="CLI56" s="911"/>
      <c r="CLJ56" s="911"/>
      <c r="CLK56" s="911"/>
      <c r="CLL56" s="911"/>
      <c r="CLM56" s="911"/>
      <c r="CLN56" s="911"/>
      <c r="CLO56" s="911"/>
      <c r="CLP56" s="911"/>
      <c r="CLQ56" s="911"/>
      <c r="CLR56" s="911"/>
      <c r="CLS56" s="911"/>
      <c r="CLT56" s="911"/>
      <c r="CLU56" s="911"/>
      <c r="CLV56" s="911"/>
      <c r="CLW56" s="911"/>
      <c r="CLX56" s="911"/>
      <c r="CLY56" s="911"/>
      <c r="CLZ56" s="911"/>
      <c r="CMA56" s="911"/>
      <c r="CMB56" s="911"/>
      <c r="CMC56" s="911"/>
      <c r="CMD56" s="911"/>
      <c r="CME56" s="911"/>
      <c r="CMF56" s="911"/>
      <c r="CMG56" s="911"/>
      <c r="CMH56" s="911"/>
    </row>
    <row r="57" spans="1:2374 10958:10958" ht="16" thickBot="1">
      <c r="A57" s="875"/>
      <c r="B57" s="875"/>
      <c r="C57" s="875"/>
      <c r="D57" s="152"/>
      <c r="E57" s="978"/>
      <c r="F57" s="260">
        <f>Horarios!C57</f>
        <v>44897.916666666664</v>
      </c>
      <c r="G57" s="261">
        <f>Horarios!C57</f>
        <v>44897.916666666664</v>
      </c>
      <c r="H57" s="260" t="s">
        <v>71</v>
      </c>
      <c r="I57" s="262" t="str">
        <f ca="1">A56</f>
        <v>Camerún</v>
      </c>
      <c r="J57" s="263" t="str">
        <f ca="1">VLOOKUP(I57,Equipos!$H$2:$I$33,2,0)</f>
        <v>🇨🇲</v>
      </c>
      <c r="K57" s="264">
        <v>1</v>
      </c>
      <c r="L57" s="264">
        <v>0</v>
      </c>
      <c r="M57" s="345" t="str">
        <f ca="1">VLOOKUP(N57,Equipos!$H$2:$I$33,2,0)</f>
        <v>🇧🇷</v>
      </c>
      <c r="N57" s="265" t="str">
        <f ca="1">A53</f>
        <v>Brasil</v>
      </c>
      <c r="O57" s="347">
        <f t="shared" si="37"/>
        <v>1</v>
      </c>
      <c r="P57" s="82"/>
      <c r="Q57" s="305">
        <v>4</v>
      </c>
      <c r="R57" s="306" t="str">
        <f ca="1">VLOOKUP(Q57,$AG$54:$AI$57,3,0)</f>
        <v>Serbia</v>
      </c>
      <c r="S57" s="307">
        <f ca="1">VLOOKUP(R57,$AI$54:$AR$57,2,FALSE)</f>
        <v>1</v>
      </c>
      <c r="T57" s="307">
        <f ca="1">VLOOKUP($R57,$AI$54:$AR$57,3,FALSE)</f>
        <v>3</v>
      </c>
      <c r="U57" s="307">
        <f ca="1">VLOOKUP($R57,$AI$54:$AR$57,4,FALSE)</f>
        <v>0</v>
      </c>
      <c r="V57" s="307">
        <f ca="1">VLOOKUP($R57,$AI$54:$AR$57,5,FALSE)</f>
        <v>1</v>
      </c>
      <c r="W57" s="307">
        <f ca="1">VLOOKUP($R57,$AI$54:$AR$57,6,FALSE)</f>
        <v>2</v>
      </c>
      <c r="X57" s="307">
        <f ca="1">VLOOKUP($R57,$AI$54:$AR$57,7,FALSE)</f>
        <v>5</v>
      </c>
      <c r="Y57" s="307">
        <f ca="1">VLOOKUP($R57,$AI$54:$AR$57,8,FALSE)</f>
        <v>8</v>
      </c>
      <c r="Z57" s="308">
        <f ca="1">VLOOKUP($R57,$AI$54:$AR$57,9,FALSE)</f>
        <v>-3</v>
      </c>
      <c r="AA57" s="357">
        <f ca="1">IF(SUM($AK$54:$AK$57)=12,MIN(ABS(BY56-BY57),ABS(BY57-BY58)),100)</f>
        <v>1101210499.74</v>
      </c>
      <c r="AB57" s="94" t="str">
        <f ca="1">IF(AND(AA57&gt;=0,AA57&lt;90),VLOOKUP(Q57,$BU$54:$BV$57,2,0),"")</f>
        <v/>
      </c>
      <c r="AC57" s="73"/>
      <c r="AD57" s="74"/>
      <c r="AE57" s="328"/>
      <c r="AF57" s="910">
        <f ca="1">VLOOKUP($R57,$AI$54:$AR$57,10,FALSE)</f>
        <v>1101210499.74</v>
      </c>
      <c r="AG57" s="909">
        <f ca="1">RANK(AU57,$AU$54:$AU$57)</f>
        <v>3</v>
      </c>
      <c r="AH57" s="909">
        <f ca="1">RANK(AR57,$AR$54:$AR$57)</f>
        <v>3</v>
      </c>
      <c r="AI57" s="911" t="str">
        <f ca="1">A56</f>
        <v>Camerún</v>
      </c>
      <c r="AJ57" s="909">
        <f ca="1">AL57*3+AM57*1+AN57*0</f>
        <v>4</v>
      </c>
      <c r="AK57" s="909">
        <f ca="1">COUNTIFS($I$4:$I$65,AI57,$K$4:$K$65,"&lt;&gt;",$L$4:$L$65,"&lt;&gt;")+COUNTIFS($N$4:$N$65,AI57,$L$4:$L$65,"&lt;&gt;",$K$4:$K$65,"&lt;&gt;")</f>
        <v>3</v>
      </c>
      <c r="AL57" s="909">
        <f t="array" aca="1" ref="AL57" ca="1">SUM(($I$4:$I$65=AI57)*($K$4:$K$65&lt;&gt;"")*($L$4:$L$65&lt;&gt;"")*($K$4:$K$65&gt;$L$4:$L$65),($N$4:$N$65=AI57)*($K$4:$K$65&lt;&gt;"")*($L$4:$L$65&lt;&gt;"")*($K$4:$K$65&lt;$L$4:$L$65))</f>
        <v>1</v>
      </c>
      <c r="AM57" s="909">
        <f t="array" aca="1" ref="AM57" ca="1">SUM(($I$4:$I$65=AI57)*($K$4:$K$65&lt;&gt;"")*($L$4:$L$65&lt;&gt;"")*($K$4:$K$65=$L$4:$L$65),($N$4:$N$65=AI57)*($K$4:$K$65&lt;&gt;"")*($L$4:$L$65&lt;&gt;"")*($K$4:$K$65=$L$4:$L$65))</f>
        <v>1</v>
      </c>
      <c r="AN57" s="909">
        <f t="array" aca="1" ref="AN57" ca="1">SUM(($I$4:$I$65=AI57)*($L$4:$L$65&lt;&gt;"")*($K$4:$K$65&lt;&gt;"")*($K$4:$K$65&lt;$L$4:$L$65),($K$4:$K$65&lt;&gt;"")*($N$4:$N$65=AI57)*($L$4:$L$65&lt;&gt;"")*($K$4:$K$65&gt;$L$4:$L$65))</f>
        <v>1</v>
      </c>
      <c r="AO57" s="909">
        <f t="array" aca="1" ref="AO57" ca="1">SUMIFS($K$4:$K$65,$I$4:$I$65,AI57,$K$4:$K$65,"&lt;&gt;",$L$4:$L$65,"&lt;&gt;")+SUMIFS($L$4:$L$65,$N$4:$N$65,AI57,$K$4:$K$65,"&lt;&gt;",$L$4:$L$65,"&lt;&gt;")</f>
        <v>4</v>
      </c>
      <c r="AP57" s="909">
        <f t="array" aca="1" ref="AP57" ca="1">SUMIFS($K$4:$K$65,$N$4:$N$65,AI57,$K$4:$K$65,"&lt;&gt;",$L$4:$L$65,"&lt;&gt;")+SUMIFS($L$4:$L$65,$I$4:$I$65,AI57,$K$4:$K$65,"&lt;&gt;",$L$4:$L$65,"&lt;&gt;")</f>
        <v>4</v>
      </c>
      <c r="AQ57" s="909">
        <f ca="1">AO57-AP57</f>
        <v>0</v>
      </c>
      <c r="AR57" s="909">
        <f ca="1">IF(AK57=0,-($AW$11*VLOOKUP(AI57,Tabla3[[NombreEquipo]:[Rank]],3,FALSE)),AJ57*$AW$4+AQ57*$AW$5+AO57*$AW$6+BA57-($AW$11*VLOOKUP(AI57,Tabla3[[NombreEquipo]:[Rank]],3,FALSE)/100))</f>
        <v>4448210499.7200003</v>
      </c>
      <c r="AS57" s="909">
        <f ca="1">AH57</f>
        <v>3</v>
      </c>
      <c r="AT57" s="909"/>
      <c r="AU57" s="909">
        <f ca="1">IFERROR(AR57-VLOOKUP(AI57,$AB$54:$AC$57,2,0),AR57)</f>
        <v>4448210499.7200003</v>
      </c>
      <c r="AV57" s="909"/>
      <c r="AW57" s="912"/>
      <c r="AX57" s="909"/>
      <c r="AY57" s="916" t="str">
        <f ca="1">AI57</f>
        <v>Camerún</v>
      </c>
      <c r="AZ57" s="909">
        <f ca="1">COUNTIF(AJ54:AJ57,AJ57)</f>
        <v>1</v>
      </c>
      <c r="BA57" s="909">
        <f t="shared" ca="1" si="8"/>
        <v>210500</v>
      </c>
      <c r="BB57" s="917">
        <f ca="1">RANK(BC57,BC54:BC57,1)</f>
        <v>1</v>
      </c>
      <c r="BC57" s="917">
        <f ca="1">SUM(IF(AND(AJ57=AJ54,AQ57=AQ54,AO57=AO54),BD57,0),IF(AND(AJ57=AJ55,AQ57=AQ55,AO57=AO55),BE57,0),IF(AND(AJ57=AJ56,AQ57=AQ56,AO57=AO56),BF57,0))</f>
        <v>0</v>
      </c>
      <c r="BD57" s="917">
        <f t="array" aca="1" ref="BD57" ca="1">SUMIFS($K$52:$K$57,$I$52:$I$57,$AY57,$K$52:$K$57,"&lt;&gt;",$L$52:$L$57,"&lt;&gt;",$N$52:$N$57,BD53)+SUMIFS($L$52:$L$57,$I$52:$I$57,BD53,$K$52:$K$57,"&lt;&gt;",$L$52:$L$57,"&lt;&gt;",$N$52:$N$57,$AY57)</f>
        <v>1</v>
      </c>
      <c r="BE57" s="917">
        <f t="array" aca="1" ref="BE57" ca="1">SUMIFS($K$52:$K$57,$I$52:$I$57,$AY57,$K$52:$K$57,"&lt;&gt;",$L$52:$L$57,"&lt;&gt;",$N$52:$N$57,BE53)+SUMIFS($L$52:$L$57,$I$52:$I$57,BE53,$K$52:$K$57,"&lt;&gt;",$L$52:$L$57,"&lt;&gt;",$N$52:$N$57,$AY57)</f>
        <v>3</v>
      </c>
      <c r="BF57" s="917">
        <f t="array" aca="1" ref="BF57" ca="1">SUMIFS($K$52:$K$57,$I$52:$I$57,$AY57,$K$52:$K$57,"&lt;&gt;",$L$52:$L$57,"&lt;&gt;",$N$52:$N$57,BF53)+SUMIFS($L$52:$L$57,$I$52:$I$57,BF53,$K$52:$K$57,"&lt;&gt;",$L$52:$L$57,"&lt;&gt;",$N$52:$N$57,$AY57)</f>
        <v>0</v>
      </c>
      <c r="BG57" s="917">
        <v>0</v>
      </c>
      <c r="BH57" s="917">
        <f ca="1">RANK(BI57,BI54:BI57,1)</f>
        <v>1</v>
      </c>
      <c r="BI57" s="917">
        <f ca="1">SUM(IF(AND(AJ57=AJ54,AQ57=AQ54,AO57=AO54),BJ57,0),IF(AND(AJ57=AJ55,AQ57=AQ55,AO57=AO55),BK57,0),IF(AND(AJ57=AJ56,AQ57=AQ56,AO57=AO56),BL57,0))</f>
        <v>0</v>
      </c>
      <c r="BJ57" s="917">
        <f ca="1">BD57-BG54</f>
        <v>1</v>
      </c>
      <c r="BK57" s="917">
        <f ca="1">BE57-BG55</f>
        <v>0</v>
      </c>
      <c r="BL57" s="917">
        <f ca="1">BF57-BG56</f>
        <v>-1</v>
      </c>
      <c r="BM57" s="917">
        <v>0</v>
      </c>
      <c r="BN57" s="917">
        <f ca="1">RANK(BO57,BO54:BO57,1)</f>
        <v>1</v>
      </c>
      <c r="BO57" s="917">
        <f ca="1">SUM(IF(AND(AJ57=AJ54,AQ57=AQ54,AO57=AO54),BP57,0),IF(AND(AJ57=AJ55,AQ57=AQ55,AO57=AO55),BQ57,0),IF(AND(AJ57=AJ56,AQ57=AQ56,AO57=AO56),BR57,0))</f>
        <v>0</v>
      </c>
      <c r="BP57" s="917">
        <f t="array" aca="1" ref="BP57" ca="1">SUM((I$4:I$57=AY57)*(N$4:N$57=BP53)*(K$4:K$57&lt;&gt;"")*(L$4:L$57&lt;&gt;"")*(K$4:K$57&gt;L$4:L$57)*3,(N$4:N$57=AY57)*(I$4:I$57=BP53)*(K$4:K$57&lt;&gt;"")*(L$4:L$57&lt;&gt;"")*(K$4:K$57=L$4:L$57)*1,(N$4:N$57=AY57)*(I$4:I$57=BP53)*(K$4:K$57&lt;&gt;"")*(L$4:L$57&lt;&gt;"")*(K$4:K$57&lt;L$4:L$57)*3,(I$4:I$57=AY57)*(N$4:N$57=BP53)*(K$4:K$57&lt;&gt;"")*(L$4:L$57&lt;&gt;"")*(K$4:K$57=L$4:L$57)*1)</f>
        <v>3</v>
      </c>
      <c r="BQ57" s="917">
        <f t="array" aca="1" ref="BQ57" ca="1">SUM((I$4:I$57=AY57)*(N$4:N$57=BQ53)*(K$4:K$57&lt;&gt;"")*(L$4:L$57&lt;&gt;"")*(K$4:K$57&gt;L$4:L$57)*3,(N$4:N$57=AY57)*(I$4:I$57=BQ53)*(K$4:K$57&lt;&gt;"")*(L$4:L$57&lt;&gt;"")*(K$4:K$57=L$4:L$57)*1,(N$4:N$57=AY57)*(I$4:I$57=BQ53)*(K$4:K$57&lt;&gt;"")*(L$4:L$57&lt;&gt;"")*(K$4:K$57&lt;L$4:L$57)*3,(I$4:I$57=AY57)*(N$4:N$57=BQ53)*(K$4:K$57&lt;&gt;"")*(L$4:L$57&lt;&gt;"")*(K$4:K$57=L$4:L$57)*1)</f>
        <v>1</v>
      </c>
      <c r="BR57" s="917">
        <f t="array" aca="1" ref="BR57" ca="1">SUM((I$4:I$57=AY57)*(N$4:N$57=BR53)*(K$4:K$57&lt;&gt;"")*(L$4:L$57&lt;&gt;"")*(K$4:K$57&gt;L$4:L$57)*3,(N$4:N$57=AY57)*(I$4:I$57=BR53)*(K$4:K$57&lt;&gt;"")*(L$4:L$57&lt;&gt;"")*(K$4:K$57=L$4:L$57)*1,(N$4:N$57=AY57)*(I$4:I$57=BR53)*(K$4:K$57&lt;&gt;"")*(L$4:L$57&lt;&gt;"")*(K$4:K$57&lt;L$4:L$57)*3,(I$4:I$57=AY57)*(N$4:N$57=BR53)*(K$4:K$57&lt;&gt;"")*(L$4:L$57&lt;&gt;"")*(K$4:K$57=L$4:L$57)*1)</f>
        <v>0</v>
      </c>
      <c r="BS57" s="917">
        <v>0</v>
      </c>
      <c r="BT57" s="911">
        <v>4</v>
      </c>
      <c r="BU57" s="911">
        <f ca="1">RANK(BW57,$BW$54:$BW$57)</f>
        <v>3</v>
      </c>
      <c r="BV57" s="911" t="str">
        <f ca="1">A56</f>
        <v>Camerún</v>
      </c>
      <c r="BW57" s="911">
        <f t="shared" ca="1" si="9"/>
        <v>4448210499.7200003</v>
      </c>
      <c r="BX57" s="911" t="str">
        <f ca="1">VLOOKUP(Q57,$AH$54:$AI$57,2,0)</f>
        <v>Serbia</v>
      </c>
      <c r="BY57" s="911">
        <f ca="1">VLOOKUP($BX57,$AI$54:$AR$57,10,FALSE)</f>
        <v>1101210499.74</v>
      </c>
      <c r="CA57" s="911">
        <v>4</v>
      </c>
      <c r="CB57" s="911" t="str">
        <f ca="1">VLOOKUP(CA57,$AH$54:$AI$57,2,0)</f>
        <v>Serbia</v>
      </c>
      <c r="CC57" s="911">
        <f ca="1">VLOOKUP(CB57,$AI$54:$AR$57,2,FALSE)</f>
        <v>1</v>
      </c>
      <c r="CD57" s="918">
        <f ca="1">IF(SUM($AK$54:$AK$57)=12,MIN(ABS(BY56-BY57),ABS(BY57-BY58)),100)</f>
        <v>1101210499.74</v>
      </c>
      <c r="CE57" s="911">
        <f ca="1">VLOOKUP($CB57,$AI$54:$AR$57,9,FALSE)</f>
        <v>-3</v>
      </c>
      <c r="CF57" s="911">
        <f ca="1">VLOOKUP($CB57,$AI$54:$AR$57,7,FALSE)</f>
        <v>5</v>
      </c>
      <c r="CH57" s="911">
        <f t="array" aca="1" ref="CH57" ca="1">IF($CI$54=$CL$53,$EC$53:$EC$56,IF(OR($CI$54=$CN$53,$CI$54=$CR$53),$EG$53:$EG$54,IF($CI$54=$CP$53,$EF$53:$EF$55,$EL$53)))</f>
        <v>4</v>
      </c>
      <c r="CK57" s="909">
        <v>4</v>
      </c>
      <c r="CL57" s="909">
        <f t="array" aca="1" ref="CL57" ca="1">IF(AND($CC$54:$CC$57=$CC$57,$CD$54:$CD$57&lt;90,$AQ$54:$AQ$57=$AQ$57,$CF$54:$CF$57=$CF$57),1,0)</f>
        <v>0</v>
      </c>
      <c r="CM57" s="909">
        <f t="array" aca="1" ref="CM57" ca="1">IF(AND($CC$54:$CC$56=$CC$54,$CD$54:$CD$56&lt;90,$CD$57&gt;90,$CC$54&lt;&gt;$CC$57),1,0)</f>
        <v>0</v>
      </c>
      <c r="CN57" s="909">
        <f t="array" aca="1" ref="CN57" ca="1">IF(AND($CC$56:$CC$57=$CC$56,$CD$56:$CD$57&lt;90,$CC$56&lt;&gt;$CC$55),1,0)</f>
        <v>0</v>
      </c>
      <c r="CO57" s="909">
        <f t="array" aca="1" ref="CO57" ca="1">IF(AND($CC$57&lt;&gt;$CC$55,$CC$57&lt;&gt;$CC$54),1,0)</f>
        <v>1</v>
      </c>
      <c r="CP57" s="909">
        <f t="array" aca="1" ref="CP57" ca="1">IF(AND($CC$55:$CC$57=$CC$55,$CD$55:$CD$57&lt;90,$CC$54&lt;&gt;$CC$57),1,0)</f>
        <v>0</v>
      </c>
      <c r="CQ57" s="909">
        <f t="array" aca="1" ref="CQ57" ca="1">IF(AND($CC$57&lt;&gt;$CC$55,$CC$57&lt;&gt;$CC$54),1,0)</f>
        <v>1</v>
      </c>
      <c r="CR57" s="909">
        <f t="array" aca="1" ref="CR57" ca="1">IF(AND($CC$56:$CC$57=$CC$56,$CD$56:$CD$57&lt;90,$CC$56&lt;&gt;$CC$55),1,0)</f>
        <v>0</v>
      </c>
      <c r="CS57" s="909">
        <f t="array" aca="1" ref="CS57" ca="1">IF(AND($CC$57&lt;&gt;$CC$55,$CC$57&lt;&gt;$CC$54),1,0)</f>
        <v>1</v>
      </c>
      <c r="CT57" s="909">
        <f t="array" aca="1" ref="CT57" ca="1">IF(AND($CC$54:$CC$57=$CC$54,$CD$54:$CD$57&lt;90,$CE$56:$CE$57=$CE$57,$CE$55&lt;&gt;$CE$57),1,0)</f>
        <v>0</v>
      </c>
      <c r="CU57" s="909">
        <f t="array" aca="1" ref="CU57" ca="1">IF(AND($CC$54:$CC$57=$CC$54,$CD$54:$CD$57&lt;90,$CE$54:$CE$57=$CE$54,$CF$56=$CF$57,$CF$55&lt;&gt;$CF$56),1,0)</f>
        <v>0</v>
      </c>
      <c r="CV57" s="909">
        <f t="array" aca="1" ref="CV57" ca="1">IF(AND($CC$54:$CC$56=$CC$54,$CD$54:$CD$55&lt;90,$CC$56&lt;&gt;$CC$57),1,0)</f>
        <v>0</v>
      </c>
      <c r="CW57" s="909">
        <f t="array" aca="1" ref="CW57" ca="1">IF(AND($CC$55&lt;&gt;$CC$54,$CC$55:$CC$57=$CC$56,$CD$55&gt;90,$CD$56:$CD$57&lt;90),1,0)</f>
        <v>0</v>
      </c>
      <c r="CX57" s="909">
        <f t="array" aca="1" ref="CX57" ca="1">IF(AND($CC$55&lt;&gt;$CC$54,$CC$55:$CC$57=$CC$55,$CD$57&gt;90,$CD$55:$CD$56&lt;90),1,0)</f>
        <v>0</v>
      </c>
      <c r="CY57" s="909">
        <f t="array" aca="1" ref="CY57" ca="1">IF(AND($CC$57&lt;&gt;$CC$55,$CC$57&lt;&gt;$CC$56),1,0)</f>
        <v>1</v>
      </c>
      <c r="CZ57" s="909">
        <f t="array" aca="1" ref="CZ57" ca="1">IF(AND($CC$54:$CC$57=$CC$55,$CD$55:$CD$57&lt;90,$CD$54&lt;&gt;$CD$57),1,0)</f>
        <v>0</v>
      </c>
      <c r="DA57" s="909">
        <f t="array" aca="1" ref="DA57" ca="1">IF(AND($CC$54:$CC$57=$CC$54,$CD$54:$CD$56&lt;90,$CD$56&lt;&gt;$CD$57),1,0)</f>
        <v>0</v>
      </c>
      <c r="DB57" s="909">
        <f t="array" aca="1" ref="DB57" ca="1">IF(AND($CC$54:$CC$57=$CC$57,$CD$54:$CD$55&gt;90,$CD$56:$CD$57&lt;90,$CE$54:$CE$57=$CE$57,$CF$54&gt;$CF$55,$CF$55&gt;$CF$57,$CF$56=$CF$57),1,0)</f>
        <v>0</v>
      </c>
      <c r="DC57" s="909">
        <f t="array" aca="1" ref="DC57" ca="1">IF(AND($CC$54:$CC$57=$CC$55,$CD$54&gt;90,$CD$55:$CD$56&lt;90,$CD$57&gt;90,$CE$54:$CE$57=$CE$57,$CF$54&gt;$CF$57,$CF$55=$CF$56,$CF$55&gt;$CF$57),1,0)</f>
        <v>0</v>
      </c>
      <c r="DD57" s="909">
        <f t="array" aca="1" ref="DD57" ca="1">IF(AND($CC$54:$CC$57=$CC$57,$CD$54:$CD$55&lt;90,$CD$56:$CD$57&gt;90,$CE$54:$CE$57=$CE$57,$CF$54=$CF$55,$CF$55&gt;$CF$56,$CF$56&gt;$CF$57),1,0)</f>
        <v>0</v>
      </c>
      <c r="DE57" s="909">
        <f t="array" aca="1" ref="DE57" ca="1">IF(AND($CC$54:$CC$57=$CC$57,$CD$54:$CD$55&gt;90,$CD$56:$CD$57&lt;90,$CE$54:$CE$57=$CE$57,$CF$54&gt;$CF$57,$CF$55:$CF$57=$CF$57),1,0)</f>
        <v>0</v>
      </c>
      <c r="DF57" s="909">
        <f t="array" aca="1" ref="DF57" ca="1">IF(AND($CC$54:$CC$57=$CC$57,$CD$54:$CD$55&lt;90,$CD$56:$CD$57&gt;90,$CE$54:$CE$57=$CE$57,$CF$54:$CF$56=$CF$56,$CF$54:$CF$56&gt;$CF$57),1,0)</f>
        <v>0</v>
      </c>
      <c r="DG57" s="909">
        <f t="array" aca="1" ref="DG57" ca="1">IF(AND($CC$54:$CC$57=$CC$57,$CD$54&gt;90,$CD$57&gt;90,$CD$55:$CD$56&lt;90,$CE$54:$CE$57=$CE$57,$CF$54&gt;$CF$55:$CF$57,$CF$55:$CF$57=$CF$57),1,0)</f>
        <v>0</v>
      </c>
      <c r="FI57" s="917"/>
      <c r="FK57" s="917"/>
      <c r="FM57" s="917"/>
    </row>
    <row r="58" spans="1:2374 10958:10958">
      <c r="A58" s="875"/>
      <c r="B58" s="875"/>
      <c r="C58" s="875"/>
      <c r="D58" s="66"/>
      <c r="E58" s="66"/>
      <c r="F58" s="66"/>
      <c r="G58" s="66"/>
      <c r="H58" s="66"/>
      <c r="I58" s="66"/>
      <c r="J58" s="66"/>
      <c r="K58" s="66"/>
      <c r="L58" s="66"/>
      <c r="M58" s="89"/>
      <c r="N58" s="66"/>
      <c r="O58" s="348"/>
      <c r="P58" s="66"/>
      <c r="Q58" s="66"/>
      <c r="R58" s="71"/>
      <c r="S58" s="76"/>
      <c r="T58" s="76"/>
      <c r="U58" s="76"/>
      <c r="V58" s="76"/>
      <c r="W58" s="76"/>
      <c r="X58" s="76"/>
      <c r="Y58" s="76"/>
      <c r="Z58" s="76"/>
      <c r="AA58" s="360"/>
      <c r="AB58" s="76"/>
      <c r="AC58" s="76"/>
      <c r="AD58" s="76"/>
      <c r="AE58" s="327"/>
      <c r="AF58" s="910"/>
      <c r="AG58" s="909"/>
      <c r="AH58" s="909"/>
      <c r="AR58" s="909"/>
      <c r="AS58" s="909"/>
      <c r="AT58" s="909"/>
      <c r="AU58" s="909"/>
      <c r="AV58" s="909"/>
      <c r="AW58" s="912"/>
      <c r="AX58" s="909"/>
      <c r="AY58" s="909"/>
      <c r="AZ58" s="920"/>
      <c r="BA58" s="909"/>
      <c r="BB58" s="917"/>
      <c r="BD58" s="917"/>
      <c r="BE58" s="917"/>
      <c r="BF58" s="917"/>
      <c r="BG58" s="917"/>
      <c r="BH58" s="917"/>
      <c r="BI58" s="917"/>
      <c r="BJ58" s="917"/>
      <c r="BK58" s="917"/>
      <c r="BL58" s="917"/>
      <c r="BM58" s="917"/>
      <c r="BN58" s="917"/>
      <c r="BO58" s="917"/>
      <c r="BP58" s="917"/>
      <c r="BQ58" s="917"/>
      <c r="BR58" s="917"/>
      <c r="BS58" s="917"/>
      <c r="CD58" s="918"/>
      <c r="FI58" s="917"/>
      <c r="FK58" s="917"/>
      <c r="FM58" s="917"/>
    </row>
    <row r="59" spans="1:2374 10958:10958" ht="15" customHeight="1" thickBot="1">
      <c r="A59" s="875"/>
      <c r="B59" s="872"/>
      <c r="C59" s="875"/>
      <c r="D59" s="66"/>
      <c r="E59" s="84"/>
      <c r="F59" s="83" t="str">
        <f>F43</f>
        <v>Fecha</v>
      </c>
      <c r="G59" s="83" t="str">
        <f t="shared" ref="G59:I59" si="40">G43</f>
        <v>Hora</v>
      </c>
      <c r="H59" s="85" t="str">
        <f t="shared" si="40"/>
        <v>Jor.</v>
      </c>
      <c r="I59" s="86" t="str">
        <f t="shared" si="40"/>
        <v>Casa</v>
      </c>
      <c r="J59" s="83"/>
      <c r="K59" s="87" t="s">
        <v>22</v>
      </c>
      <c r="L59" s="87" t="s">
        <v>22</v>
      </c>
      <c r="M59" s="87"/>
      <c r="N59" s="88" t="str">
        <f t="shared" ref="N59" si="41">N43</f>
        <v>Fuera</v>
      </c>
      <c r="O59" s="349"/>
      <c r="P59" s="69"/>
      <c r="Q59" s="69"/>
      <c r="R59" s="69"/>
      <c r="S59" s="69"/>
      <c r="T59" s="69"/>
      <c r="U59" s="69"/>
      <c r="V59" s="69"/>
      <c r="W59" s="69"/>
      <c r="X59" s="69"/>
      <c r="Y59" s="69"/>
      <c r="Z59" s="69"/>
      <c r="AA59" s="358"/>
      <c r="AB59" s="70"/>
      <c r="AC59" s="70"/>
      <c r="AD59" s="70"/>
      <c r="AE59" s="327"/>
      <c r="AF59" s="910"/>
      <c r="AG59" s="909"/>
      <c r="AH59" s="909"/>
      <c r="AI59" s="909"/>
      <c r="AJ59" s="909"/>
      <c r="AK59" s="909"/>
      <c r="AL59" s="909"/>
      <c r="AM59" s="909"/>
      <c r="AN59" s="909"/>
      <c r="AO59" s="909"/>
      <c r="AP59" s="909"/>
      <c r="AQ59" s="909"/>
      <c r="AR59" s="909"/>
      <c r="AS59" s="909"/>
      <c r="AT59" s="909"/>
      <c r="AU59" s="909"/>
      <c r="AV59" s="909"/>
      <c r="AW59" s="912"/>
      <c r="AX59" s="909"/>
      <c r="AY59" s="909"/>
      <c r="AZ59" s="909"/>
      <c r="BA59" s="909"/>
      <c r="BB59" s="909"/>
      <c r="BC59" s="909"/>
      <c r="BD59" s="909"/>
      <c r="BE59" s="909"/>
      <c r="BF59" s="909"/>
      <c r="BG59" s="909"/>
      <c r="BH59" s="909"/>
      <c r="BI59" s="909"/>
      <c r="BJ59" s="909"/>
      <c r="BK59" s="909"/>
      <c r="BL59" s="909"/>
      <c r="BM59" s="909"/>
      <c r="BN59" s="909"/>
      <c r="BO59" s="909"/>
      <c r="BP59" s="909"/>
      <c r="BQ59" s="909"/>
      <c r="BR59" s="909"/>
      <c r="BS59" s="909"/>
      <c r="BT59" s="909"/>
      <c r="BU59" s="909"/>
      <c r="BV59" s="909"/>
      <c r="BW59" s="909"/>
      <c r="BX59" s="909"/>
      <c r="BY59" s="909"/>
      <c r="BZ59" s="909"/>
      <c r="CA59" s="909"/>
      <c r="CB59" s="909"/>
      <c r="CC59" s="909"/>
      <c r="CD59" s="909"/>
      <c r="CE59" s="909"/>
      <c r="CF59" s="909"/>
      <c r="CG59" s="909"/>
      <c r="CL59" s="910">
        <v>1</v>
      </c>
      <c r="CM59" s="910">
        <v>12</v>
      </c>
      <c r="CN59" s="910">
        <v>18</v>
      </c>
      <c r="CO59" s="910">
        <v>19</v>
      </c>
      <c r="CP59" s="910">
        <v>13</v>
      </c>
      <c r="CQ59" s="910">
        <v>20</v>
      </c>
      <c r="CR59" s="910">
        <v>21</v>
      </c>
      <c r="CS59" s="910">
        <v>22</v>
      </c>
      <c r="CT59" s="910">
        <v>3</v>
      </c>
      <c r="CU59" s="910">
        <v>2</v>
      </c>
      <c r="CV59" s="910">
        <v>14</v>
      </c>
      <c r="CW59" s="910">
        <v>17</v>
      </c>
      <c r="CX59" s="910">
        <v>16</v>
      </c>
      <c r="CY59" s="910">
        <v>15</v>
      </c>
      <c r="CZ59" s="910">
        <v>4</v>
      </c>
      <c r="DA59" s="910">
        <v>5</v>
      </c>
      <c r="DB59" s="910">
        <v>10</v>
      </c>
      <c r="DC59" s="910">
        <v>8</v>
      </c>
      <c r="DD59" s="910">
        <v>6</v>
      </c>
      <c r="DE59" s="910">
        <v>11</v>
      </c>
      <c r="DF59" s="910">
        <v>7</v>
      </c>
      <c r="DG59" s="910">
        <v>9</v>
      </c>
      <c r="DH59" s="910"/>
      <c r="DI59" s="910"/>
      <c r="EC59" s="911" t="s">
        <v>41</v>
      </c>
      <c r="ED59" s="911" t="s">
        <v>42</v>
      </c>
      <c r="EE59" s="911" t="s">
        <v>44</v>
      </c>
      <c r="EF59" s="911" t="s">
        <v>45</v>
      </c>
      <c r="EG59" s="911" t="s">
        <v>46</v>
      </c>
      <c r="EH59" s="911" t="s">
        <v>47</v>
      </c>
      <c r="EI59" s="911" t="s">
        <v>48</v>
      </c>
      <c r="EJ59" s="911" t="s">
        <v>49</v>
      </c>
      <c r="EK59" s="911" t="s">
        <v>50</v>
      </c>
      <c r="EL59" s="911" t="s">
        <v>51</v>
      </c>
    </row>
    <row r="60" spans="1:2374 10958:10958" ht="15" customHeight="1">
      <c r="A60" s="871" t="s">
        <v>74</v>
      </c>
      <c r="B60" s="872" t="s">
        <v>167</v>
      </c>
      <c r="C60" s="873">
        <f>COUNTIF(Equipos!$C$2:$C$33,MUNDIAL!B60)</f>
        <v>4</v>
      </c>
      <c r="D60" s="152"/>
      <c r="E60" s="1016" t="s">
        <v>167</v>
      </c>
      <c r="F60" s="418">
        <f>Horarios!C60</f>
        <v>44889.666666666664</v>
      </c>
      <c r="G60" s="419">
        <f>Horarios!C60</f>
        <v>44889.666666666664</v>
      </c>
      <c r="H60" s="418" t="s">
        <v>69</v>
      </c>
      <c r="I60" s="420" t="str">
        <f ca="1">A63</f>
        <v>Uruguay</v>
      </c>
      <c r="J60" s="421" t="str">
        <f ca="1">VLOOKUP(I60,Equipos!$H$2:$I$33,2,0)</f>
        <v>🇺🇾</v>
      </c>
      <c r="K60" s="422">
        <v>0</v>
      </c>
      <c r="L60" s="422">
        <v>0</v>
      </c>
      <c r="M60" s="423" t="str">
        <f ca="1">VLOOKUP(N60,Equipos!$H$2:$I$33,2,0)</f>
        <v>🇰🇷</v>
      </c>
      <c r="N60" s="424" t="str">
        <f ca="1">A64</f>
        <v>Corea del Sur</v>
      </c>
      <c r="O60" s="347">
        <f>IF(NOT(OR(ISBLANK(K60),ISBLANK(L60))),1,0)</f>
        <v>1</v>
      </c>
      <c r="P60" s="82"/>
      <c r="Q60" s="433" t="str">
        <f>CONCATENATE("Grupo"," ",B60)</f>
        <v>Grupo H</v>
      </c>
      <c r="R60" s="434"/>
      <c r="S60" s="434"/>
      <c r="T60" s="434"/>
      <c r="U60" s="434"/>
      <c r="V60" s="434"/>
      <c r="W60" s="434"/>
      <c r="X60" s="434"/>
      <c r="Y60" s="434"/>
      <c r="Z60" s="435"/>
      <c r="AA60" s="359"/>
      <c r="AB60" s="1015" t="s">
        <v>65</v>
      </c>
      <c r="AC60" s="1015"/>
      <c r="AD60" s="1015"/>
      <c r="AE60" s="327"/>
      <c r="AF60" s="910"/>
      <c r="AG60" s="909"/>
      <c r="AH60" s="909" t="str">
        <f>CONCATENATE("Auxiliar - ",Q60)</f>
        <v>Auxiliar - Grupo H</v>
      </c>
      <c r="AI60" s="909"/>
      <c r="AJ60" s="909"/>
      <c r="AK60" s="909"/>
      <c r="AL60" s="909"/>
      <c r="AM60" s="909"/>
      <c r="AN60" s="909"/>
      <c r="AO60" s="909"/>
      <c r="AP60" s="909"/>
      <c r="AQ60" s="909"/>
      <c r="AR60" s="909"/>
      <c r="AS60" s="909"/>
      <c r="AT60" s="909"/>
      <c r="AU60" s="909" t="s">
        <v>38</v>
      </c>
      <c r="AV60" s="909"/>
      <c r="AW60" s="912"/>
      <c r="AX60" s="909"/>
      <c r="AY60" s="910" t="str">
        <f>CONCATENATE(Q60," - GOLAVERAGE")</f>
        <v>Grupo H - GOLAVERAGE</v>
      </c>
      <c r="AZ60" s="909"/>
      <c r="BA60" s="909"/>
      <c r="BB60" s="909" t="s">
        <v>28</v>
      </c>
      <c r="BC60" s="909"/>
      <c r="BD60" s="909"/>
      <c r="BE60" s="909"/>
      <c r="BF60" s="909"/>
      <c r="BG60" s="909"/>
      <c r="BH60" s="909" t="s">
        <v>27</v>
      </c>
      <c r="BI60" s="909"/>
      <c r="BJ60" s="909"/>
      <c r="BK60" s="909"/>
      <c r="BL60" s="909"/>
      <c r="BM60" s="909"/>
      <c r="BN60" s="909" t="s">
        <v>123</v>
      </c>
      <c r="BO60" s="917"/>
      <c r="BP60" s="917"/>
      <c r="BQ60" s="917"/>
      <c r="BR60" s="917"/>
      <c r="BS60" s="917"/>
      <c r="CI60" s="909" t="s">
        <v>62</v>
      </c>
      <c r="CK60" s="909" t="s">
        <v>63</v>
      </c>
      <c r="CL60" s="909">
        <f t="shared" ref="CL60:DG60" ca="1" si="42">SUM(CL62:CL65)</f>
        <v>0</v>
      </c>
      <c r="CM60" s="909">
        <f t="shared" ca="1" si="42"/>
        <v>0</v>
      </c>
      <c r="CN60" s="909">
        <f t="shared" ca="1" si="42"/>
        <v>0</v>
      </c>
      <c r="CO60" s="909">
        <f t="shared" ca="1" si="42"/>
        <v>1</v>
      </c>
      <c r="CP60" s="909">
        <f t="shared" ca="1" si="42"/>
        <v>0</v>
      </c>
      <c r="CQ60" s="909">
        <f t="shared" ca="1" si="42"/>
        <v>2</v>
      </c>
      <c r="CR60" s="909">
        <f t="shared" ca="1" si="42"/>
        <v>1</v>
      </c>
      <c r="CS60" s="909">
        <f t="shared" ca="1" si="42"/>
        <v>2</v>
      </c>
      <c r="CT60" s="909">
        <f t="shared" ca="1" si="42"/>
        <v>0</v>
      </c>
      <c r="CU60" s="909">
        <f t="shared" ca="1" si="42"/>
        <v>0</v>
      </c>
      <c r="CV60" s="909">
        <f t="shared" ca="1" si="42"/>
        <v>0</v>
      </c>
      <c r="CW60" s="909">
        <f t="shared" ca="1" si="42"/>
        <v>1</v>
      </c>
      <c r="CX60" s="909">
        <f t="shared" ca="1" si="42"/>
        <v>1</v>
      </c>
      <c r="CY60" s="909">
        <f t="shared" ca="1" si="42"/>
        <v>1</v>
      </c>
      <c r="CZ60" s="909">
        <f t="shared" ca="1" si="42"/>
        <v>0</v>
      </c>
      <c r="DA60" s="909">
        <f t="shared" ca="1" si="42"/>
        <v>0</v>
      </c>
      <c r="DB60" s="909">
        <f t="shared" ca="1" si="42"/>
        <v>0</v>
      </c>
      <c r="DC60" s="909">
        <f t="shared" ca="1" si="42"/>
        <v>0</v>
      </c>
      <c r="DD60" s="909">
        <f t="shared" ca="1" si="42"/>
        <v>0</v>
      </c>
      <c r="DE60" s="909">
        <f t="shared" ca="1" si="42"/>
        <v>0</v>
      </c>
      <c r="DF60" s="909">
        <f t="shared" ca="1" si="42"/>
        <v>0</v>
      </c>
      <c r="DG60" s="909">
        <f t="shared" ca="1" si="42"/>
        <v>0</v>
      </c>
      <c r="EC60" s="911">
        <v>1234</v>
      </c>
      <c r="ED60" s="911">
        <v>123</v>
      </c>
      <c r="EE60" s="911">
        <v>12</v>
      </c>
      <c r="EF60" s="911">
        <v>234</v>
      </c>
      <c r="EG60" s="911">
        <v>34</v>
      </c>
      <c r="EH60" s="911">
        <v>23</v>
      </c>
      <c r="EI60" s="911">
        <v>1</v>
      </c>
      <c r="EJ60" s="911">
        <v>2</v>
      </c>
      <c r="EK60" s="911">
        <v>3</v>
      </c>
      <c r="EL60" s="911">
        <v>4</v>
      </c>
      <c r="FM60" s="917"/>
    </row>
    <row r="61" spans="1:2374 10958:10958" ht="15" customHeight="1" thickBot="1">
      <c r="A61" s="871" t="str" cm="1">
        <f t="array" aca="1" ref="A61" ca="1">IF(ROWS(A$61:A61)&lt;=$C$60,INDEX(INDIRECT(A$60),SMALL(IF(Nivell=$B$60,ROW(Nivell)-ROW(Equipos!$C$2)+1),ROWS(B$60:B60))),"")</f>
        <v>Portugal</v>
      </c>
      <c r="B61" s="872"/>
      <c r="C61" s="872"/>
      <c r="D61" s="152"/>
      <c r="E61" s="1017"/>
      <c r="F61" s="404">
        <f>Horarios!C61</f>
        <v>44889.791666666664</v>
      </c>
      <c r="G61" s="405">
        <f>Horarios!C61</f>
        <v>44889.791666666664</v>
      </c>
      <c r="H61" s="404" t="s">
        <v>69</v>
      </c>
      <c r="I61" s="406" t="str">
        <f ca="1">A61</f>
        <v>Portugal</v>
      </c>
      <c r="J61" s="407" t="str">
        <f ca="1">VLOOKUP(I61,Equipos!$H$2:$I$33,2,0)</f>
        <v>🇵🇹</v>
      </c>
      <c r="K61" s="417">
        <v>3</v>
      </c>
      <c r="L61" s="417">
        <v>2</v>
      </c>
      <c r="M61" s="408" t="str">
        <f ca="1">VLOOKUP(N61,Equipos!$H$2:$I$33,2,0)</f>
        <v>🇬🇭</v>
      </c>
      <c r="N61" s="425" t="str">
        <f ca="1">A62</f>
        <v>Ghana</v>
      </c>
      <c r="O61" s="347">
        <f t="shared" ref="O61:O65" si="43">IF(NOT(OR(ISBLANK(K61),ISBLANK(L61))),1,0)</f>
        <v>1</v>
      </c>
      <c r="P61" s="82"/>
      <c r="Q61" s="436" t="s">
        <v>17</v>
      </c>
      <c r="R61" s="437" t="s">
        <v>100</v>
      </c>
      <c r="S61" s="438" t="s">
        <v>76</v>
      </c>
      <c r="T61" s="438" t="s">
        <v>6</v>
      </c>
      <c r="U61" s="438" t="s">
        <v>7</v>
      </c>
      <c r="V61" s="438" t="s">
        <v>3</v>
      </c>
      <c r="W61" s="438" t="s">
        <v>8</v>
      </c>
      <c r="X61" s="438" t="s">
        <v>9</v>
      </c>
      <c r="Y61" s="438" t="s">
        <v>10</v>
      </c>
      <c r="Z61" s="439" t="s">
        <v>99</v>
      </c>
      <c r="AA61" s="359">
        <f ca="1">COUNTIF(AA62:AA65,"&lt;100")</f>
        <v>0</v>
      </c>
      <c r="AB61" s="1015"/>
      <c r="AC61" s="1015"/>
      <c r="AD61" s="1015"/>
      <c r="AE61" s="327"/>
      <c r="AF61" s="910"/>
      <c r="AG61" s="913" t="s">
        <v>38</v>
      </c>
      <c r="AH61" s="913" t="s">
        <v>13</v>
      </c>
      <c r="AI61" s="913" t="s">
        <v>5</v>
      </c>
      <c r="AJ61" s="913" t="s">
        <v>14</v>
      </c>
      <c r="AK61" s="913" t="s">
        <v>6</v>
      </c>
      <c r="AL61" s="913" t="s">
        <v>7</v>
      </c>
      <c r="AM61" s="913" t="s">
        <v>3</v>
      </c>
      <c r="AN61" s="913" t="s">
        <v>8</v>
      </c>
      <c r="AO61" s="913" t="s">
        <v>9</v>
      </c>
      <c r="AP61" s="913" t="s">
        <v>10</v>
      </c>
      <c r="AQ61" s="913" t="s">
        <v>11</v>
      </c>
      <c r="AR61" s="913" t="s">
        <v>15</v>
      </c>
      <c r="AS61" s="913" t="s">
        <v>13</v>
      </c>
      <c r="AT61" s="909"/>
      <c r="AU61" s="909"/>
      <c r="AV61" s="909"/>
      <c r="AW61" s="912"/>
      <c r="AX61" s="909"/>
      <c r="AY61" s="913" t="s">
        <v>5</v>
      </c>
      <c r="AZ61" s="913" t="s">
        <v>29</v>
      </c>
      <c r="BA61" s="913" t="s">
        <v>32</v>
      </c>
      <c r="BB61" s="913" t="s">
        <v>31</v>
      </c>
      <c r="BC61" s="913" t="s">
        <v>26</v>
      </c>
      <c r="BD61" s="913" t="str">
        <f ca="1">AY62</f>
        <v>Portugal</v>
      </c>
      <c r="BE61" s="913" t="str">
        <f ca="1">AY63</f>
        <v>Ghana</v>
      </c>
      <c r="BF61" s="913" t="str">
        <f ca="1">AY64</f>
        <v>Uruguay</v>
      </c>
      <c r="BG61" s="913" t="str">
        <f ca="1">AY65</f>
        <v>Corea del Sur</v>
      </c>
      <c r="BH61" s="913" t="s">
        <v>31</v>
      </c>
      <c r="BI61" s="913" t="s">
        <v>26</v>
      </c>
      <c r="BJ61" s="913" t="str">
        <f ca="1">BD61</f>
        <v>Portugal</v>
      </c>
      <c r="BK61" s="913" t="str">
        <f ca="1">BE61</f>
        <v>Ghana</v>
      </c>
      <c r="BL61" s="913" t="str">
        <f ca="1">BF61</f>
        <v>Uruguay</v>
      </c>
      <c r="BM61" s="913" t="str">
        <f ca="1">BG61</f>
        <v>Corea del Sur</v>
      </c>
      <c r="BN61" s="913" t="s">
        <v>31</v>
      </c>
      <c r="BO61" s="913" t="s">
        <v>26</v>
      </c>
      <c r="BP61" s="913" t="str">
        <f ca="1">BD61</f>
        <v>Portugal</v>
      </c>
      <c r="BQ61" s="913" t="str">
        <f ca="1">BE61</f>
        <v>Ghana</v>
      </c>
      <c r="BR61" s="913" t="str">
        <f ca="1">BF61</f>
        <v>Uruguay</v>
      </c>
      <c r="BS61" s="913" t="str">
        <f ca="1">BG61</f>
        <v>Corea del Sur</v>
      </c>
      <c r="BU61" s="914"/>
      <c r="BV61" s="914" t="s">
        <v>39</v>
      </c>
      <c r="BW61" s="914"/>
      <c r="BX61" s="914" t="s">
        <v>40</v>
      </c>
      <c r="BY61" s="914"/>
      <c r="CA61" s="914"/>
      <c r="CB61" s="914" t="s">
        <v>5</v>
      </c>
      <c r="CC61" s="914" t="s">
        <v>14</v>
      </c>
      <c r="CD61" s="914" t="s">
        <v>59</v>
      </c>
      <c r="CE61" s="914" t="s">
        <v>11</v>
      </c>
      <c r="CF61" s="914" t="s">
        <v>60</v>
      </c>
      <c r="CG61" s="914"/>
      <c r="CK61" s="909" t="s">
        <v>64</v>
      </c>
      <c r="CL61" s="909" t="s">
        <v>43</v>
      </c>
      <c r="CM61" s="909" t="s">
        <v>52</v>
      </c>
      <c r="CN61" s="909" t="s">
        <v>53</v>
      </c>
      <c r="CO61" s="909" t="s">
        <v>54</v>
      </c>
      <c r="CP61" s="909" t="s">
        <v>55</v>
      </c>
      <c r="CQ61" s="909" t="s">
        <v>56</v>
      </c>
      <c r="CR61" s="909" t="s">
        <v>57</v>
      </c>
      <c r="CS61" s="909" t="s">
        <v>58</v>
      </c>
      <c r="CT61" s="909" t="s">
        <v>53</v>
      </c>
      <c r="CU61" s="909" t="s">
        <v>53</v>
      </c>
      <c r="CV61" s="909" t="s">
        <v>54</v>
      </c>
      <c r="CW61" s="909" t="s">
        <v>57</v>
      </c>
      <c r="CX61" s="909" t="s">
        <v>56</v>
      </c>
      <c r="CY61" s="909" t="s">
        <v>56</v>
      </c>
      <c r="CZ61" s="909" t="s">
        <v>55</v>
      </c>
      <c r="DA61" s="909" t="s">
        <v>52</v>
      </c>
      <c r="DB61" s="909" t="s">
        <v>57</v>
      </c>
      <c r="DC61" s="909" t="s">
        <v>56</v>
      </c>
      <c r="DD61" s="909" t="s">
        <v>54</v>
      </c>
      <c r="DE61" s="909" t="s">
        <v>57</v>
      </c>
      <c r="DF61" s="909" t="s">
        <v>54</v>
      </c>
      <c r="DG61" s="909" t="s">
        <v>56</v>
      </c>
      <c r="EC61" s="911">
        <v>1</v>
      </c>
      <c r="ED61" s="911">
        <v>1</v>
      </c>
      <c r="EE61" s="911">
        <v>1</v>
      </c>
      <c r="EF61" s="911">
        <v>2</v>
      </c>
      <c r="EG61" s="911">
        <v>3</v>
      </c>
      <c r="EH61" s="911">
        <v>2</v>
      </c>
      <c r="EI61" s="911">
        <v>1</v>
      </c>
      <c r="EJ61" s="911">
        <v>2</v>
      </c>
      <c r="EK61" s="911">
        <v>3</v>
      </c>
      <c r="EL61" s="911">
        <v>4</v>
      </c>
      <c r="FI61" s="913"/>
      <c r="FK61" s="913"/>
      <c r="FM61" s="913"/>
    </row>
    <row r="62" spans="1:2374 10958:10958" ht="15" customHeight="1">
      <c r="A62" s="871" t="str" cm="1">
        <f t="array" aca="1" ref="A62" ca="1">IF(ROWS(A$61:A62)&lt;=$C$60,INDEX(INDIRECT(A$60),SMALL(IF(Nivell=$B$60,ROW(Nivell)-ROW(Equipos!$C$2)+1),ROWS(B$60:B61))),"")</f>
        <v>Ghana</v>
      </c>
      <c r="B62" s="872"/>
      <c r="C62" s="874"/>
      <c r="D62" s="152"/>
      <c r="E62" s="1017"/>
      <c r="F62" s="404">
        <f>Horarios!C62</f>
        <v>44893.666666666664</v>
      </c>
      <c r="G62" s="405">
        <f>Horarios!C62</f>
        <v>44893.666666666664</v>
      </c>
      <c r="H62" s="404" t="s">
        <v>70</v>
      </c>
      <c r="I62" s="406" t="str">
        <f ca="1">A64</f>
        <v>Corea del Sur</v>
      </c>
      <c r="J62" s="407" t="str">
        <f ca="1">VLOOKUP(I62,Equipos!$H$2:$I$33,2,0)</f>
        <v>🇰🇷</v>
      </c>
      <c r="K62" s="417">
        <v>2</v>
      </c>
      <c r="L62" s="417">
        <v>3</v>
      </c>
      <c r="M62" s="408" t="str">
        <f ca="1">VLOOKUP(N62,Equipos!$H$2:$I$33,2,0)</f>
        <v>🇬🇭</v>
      </c>
      <c r="N62" s="425" t="str">
        <f ca="1">A62</f>
        <v>Ghana</v>
      </c>
      <c r="O62" s="347">
        <f t="shared" si="43"/>
        <v>1</v>
      </c>
      <c r="P62" s="82"/>
      <c r="Q62" s="440">
        <v>1</v>
      </c>
      <c r="R62" s="441" t="str">
        <f ca="1">VLOOKUP(Q62,$AG$62:$AI$65,3,0)</f>
        <v>Portugal</v>
      </c>
      <c r="S62" s="442">
        <f ca="1">VLOOKUP(R62,$AI$62:$AR$65,2,FALSE)</f>
        <v>6</v>
      </c>
      <c r="T62" s="442">
        <f ca="1">VLOOKUP($R62,$AI$62:$AR$65,3,FALSE)</f>
        <v>3</v>
      </c>
      <c r="U62" s="442">
        <f ca="1">VLOOKUP($R62,$AI$62:$AR$65,4,FALSE)</f>
        <v>2</v>
      </c>
      <c r="V62" s="442">
        <f ca="1">VLOOKUP($R62,$AI$62:$AR$65,5,FALSE)</f>
        <v>0</v>
      </c>
      <c r="W62" s="442">
        <f ca="1">VLOOKUP($R62,$AI$62:$AR$65,6,FALSE)</f>
        <v>1</v>
      </c>
      <c r="X62" s="442">
        <f ca="1">VLOOKUP($R62,$AI$62:$AR$65,7,FALSE)</f>
        <v>6</v>
      </c>
      <c r="Y62" s="442">
        <f ca="1">VLOOKUP($R62,$AI$62:$AR$65,8,FALSE)</f>
        <v>4</v>
      </c>
      <c r="Z62" s="443">
        <f ca="1">VLOOKUP($R62,$AI$62:$AR$65,9,FALSE)</f>
        <v>2</v>
      </c>
      <c r="AA62" s="357">
        <f ca="1">IF(SUM($AK$62:$AK$65)=12,MIN(ABS(BY61-BY62),ABS(BY62-BY63)),100)</f>
        <v>2222021100.0299997</v>
      </c>
      <c r="AB62" s="94" t="str">
        <f ca="1">IF(AND(AA62&gt;=0,AA62&lt;90),VLOOKUP(Q62,$BU$62:$BV$65,2,0),"")</f>
        <v/>
      </c>
      <c r="AC62" s="73"/>
      <c r="AD62" s="74"/>
      <c r="AE62" s="328"/>
      <c r="AF62" s="910">
        <f ca="1">VLOOKUP($R62,$AI$62:$AR$65,10,FALSE)</f>
        <v>6666233699.71</v>
      </c>
      <c r="AG62" s="909">
        <f ca="1">RANK(AU62,$AU$62:$AU$65)</f>
        <v>1</v>
      </c>
      <c r="AH62" s="909">
        <f ca="1">RANK(AR62,$AR$62:$AR$65)</f>
        <v>1</v>
      </c>
      <c r="AI62" s="911" t="str">
        <f ca="1">A61</f>
        <v>Portugal</v>
      </c>
      <c r="AJ62" s="909">
        <f ca="1">AL62*3+AM62*1+AN62*0</f>
        <v>6</v>
      </c>
      <c r="AK62" s="909">
        <f ca="1">COUNTIFS($I$4:$I$65,AI62,$K$4:$K$65,"&lt;&gt;",$L$4:$L$65,"&lt;&gt;")+COUNTIFS($N$4:$N$65,AI62,$L$4:$L$65,"&lt;&gt;",$K$4:$K$65,"&lt;&gt;")</f>
        <v>3</v>
      </c>
      <c r="AL62" s="909">
        <f t="array" aca="1" ref="AL62" ca="1">SUM(($I$4:$I$65=AI62)*($K$4:$K$65&lt;&gt;"")*($L$4:$L$65&lt;&gt;"")*($K$4:$K$65&gt;$L$4:$L$65),($N$4:$N$65=AI62)*($K$4:$K$65&lt;&gt;"")*($L$4:$L$65&lt;&gt;"")*($K$4:$K$65&lt;$L$4:$L$65))</f>
        <v>2</v>
      </c>
      <c r="AM62" s="909">
        <f t="array" aca="1" ref="AM62" ca="1">SUM(($I$4:$I$65=AI62)*($K$4:$K$65&lt;&gt;"")*($L$4:$L$65&lt;&gt;"")*($K$4:$K$65=$L$4:$L$65),($N$4:$N$65=AI62)*($K$4:$K$65&lt;&gt;"")*($L$4:$L$65&lt;&gt;"")*($K$4:$K$65=$L$4:$L$65))</f>
        <v>0</v>
      </c>
      <c r="AN62" s="909">
        <f t="array" aca="1" ref="AN62" ca="1">SUM(($I$4:$I$65=AI62)*($L$4:$L$65&lt;&gt;"")*($K$4:$K$65&lt;&gt;"")*($K$4:$K$65&lt;$L$4:$L$65),($K$4:$K$65&lt;&gt;"")*($N$4:$N$65=AI62)*($L$4:$L$65&lt;&gt;"")*($K$4:$K$65&gt;$L$4:$L$65))</f>
        <v>1</v>
      </c>
      <c r="AO62" s="909">
        <f t="array" aca="1" ref="AO62" ca="1">SUMIFS($K$4:$K$65,$I$4:$I$65,AI62,$K$4:$K$65,"&lt;&gt;",$L$4:$L$65,"&lt;&gt;")+SUMIFS($L$4:$L$65,$N$4:$N$65,AI62,$K$4:$K$65,"&lt;&gt;",$L$4:$L$65,"&lt;&gt;")</f>
        <v>6</v>
      </c>
      <c r="AP62" s="909">
        <f t="array" aca="1" ref="AP62" ca="1">SUMIFS($K$4:$K$65,$N$4:$N$65,AI62,$K$4:$K$65,"&lt;&gt;",$L$4:$L$65,"&lt;&gt;")+SUMIFS($L$4:$L$65,$I$4:$I$65,AI62,$K$4:$K$65,"&lt;&gt;",$L$4:$L$65,"&lt;&gt;")</f>
        <v>4</v>
      </c>
      <c r="AQ62" s="909">
        <f ca="1">AO62-AP62</f>
        <v>2</v>
      </c>
      <c r="AR62" s="909">
        <f ca="1">IF(AK62=0,-($AW$11*VLOOKUP(AI62,Tabla3[[NombreEquipo]:[Rank]],3,FALSE)),AJ62*$AW$4+BA62+AQ62*$AW$8+AO62*$AW$9+AL62*$AW$10-($AW$11*VLOOKUP(AI62,Tabla3[[NombreEquipo]:[Rank]],3,FALSE)/100))</f>
        <v>6666233699.71</v>
      </c>
      <c r="AS62" s="909">
        <f ca="1">AH62</f>
        <v>1</v>
      </c>
      <c r="AT62" s="909"/>
      <c r="AU62" s="909">
        <f ca="1">IFERROR(AR62-VLOOKUP(AI62,$AB$62:$AC$65,2,0),AR62)</f>
        <v>6666233699.71</v>
      </c>
      <c r="AV62" s="909"/>
      <c r="AW62" s="912"/>
      <c r="AX62" s="909"/>
      <c r="AY62" s="916" t="str">
        <f ca="1">AI62</f>
        <v>Portugal</v>
      </c>
      <c r="AZ62" s="909">
        <f ca="1">COUNTIF(AJ62:AJ65,AJ62)</f>
        <v>1</v>
      </c>
      <c r="BA62" s="909">
        <f t="shared" ref="BA62:BA63" ca="1" si="44">(BB62*$AW$9)+(BH62*$AW$8)+(BN62*$AW$7)</f>
        <v>210500</v>
      </c>
      <c r="BB62" s="917">
        <f ca="1">RANK(BC62,BC62:BC65,1)</f>
        <v>1</v>
      </c>
      <c r="BC62" s="917">
        <f ca="1">SUM(IF(AND(AJ62=AJ63,AQ62=AQ63,AO62=AO63),BE62,0),IF(AND(AJ62=AJ64,AQ62=AQ64,AO62=AO64),BF62,0),IF(AND(AJ62=AJ65,AQ62=AQ65,AO62=AO65),BG62,0))</f>
        <v>0</v>
      </c>
      <c r="BD62" s="917">
        <v>0</v>
      </c>
      <c r="BE62" s="917">
        <f t="array" aca="1" ref="BE62" ca="1">SUMIFS($K$60:$K$65,$I$60:$I$65,$AY62,$K$60:$K$65,"&lt;&gt;",$L$60:$L$65,"&lt;&gt;",$N$60:$N$65,BE61)+SUMIFS($L$60:$L$65,$I$60:$I$65,BE61,$K$60:$K$65,"&lt;&gt;",$L$60:$L$65,"&lt;&gt;",$N$60:$N$65,$AY62)</f>
        <v>3</v>
      </c>
      <c r="BF62" s="917">
        <f t="array" aca="1" ref="BF62" ca="1">SUMIFS($K$60:$K$65,$I$60:$I$65,$AY62,$K$60:$K$65,"&lt;&gt;",$L$60:$L$65,"&lt;&gt;",$N$60:$N$65,BF61)+SUMIFS($L$60:$L$65,$I$60:$I$65,BF61,$K$60:$K$65,"&lt;&gt;",$L$60:$L$65,"&lt;&gt;",$N$60:$N$65,$AY62)</f>
        <v>2</v>
      </c>
      <c r="BG62" s="917">
        <f t="array" aca="1" ref="BG62" ca="1">SUMIFS($K$60:$K$65,$I$60:$I$65,$AY62,$K$60:$K$65,"&lt;&gt;",$L$60:$L$65,"&lt;&gt;",$N$60:$N$65,BG61)+SUMIFS($L$60:$L$65,$I$60:$I$65,BG61,$K$60:$K$65,"&lt;&gt;",$L$60:$L$65,"&lt;&gt;",$N$60:$N$65,$AY62)</f>
        <v>1</v>
      </c>
      <c r="BH62" s="917">
        <f ca="1">RANK(BI62,BI62:BI65,1)</f>
        <v>1</v>
      </c>
      <c r="BI62" s="917">
        <f ca="1">SUM(IF(AND(AJ62=AJ63,AQ62=AQ63,AO62=AO63),BK62,0),IF(AND(AJ62=AJ64,AQ62=AQ64,AO62=AO64),BL62,0),IF(AND(AJ62=AJ65,AQ62=AQ65,AO62=AO65),BM62,0))</f>
        <v>0</v>
      </c>
      <c r="BJ62" s="917">
        <v>0</v>
      </c>
      <c r="BK62" s="917">
        <f ca="1">BE62-BD63</f>
        <v>1</v>
      </c>
      <c r="BL62" s="917">
        <f ca="1">BF62-BD64</f>
        <v>2</v>
      </c>
      <c r="BM62" s="917">
        <f ca="1">BG62-BD65</f>
        <v>-1</v>
      </c>
      <c r="BN62" s="917">
        <f ca="1">RANK(BO62,BO62:BO65,1)</f>
        <v>1</v>
      </c>
      <c r="BO62" s="917">
        <f ca="1">SUM(IF(AND(AJ62=AJ63,AQ62=AQ63,AO62=AO63),BQ62,0),IF(AND(AJ62=AJ64,AQ62=AQ64,AO62=AO64),BR62,0),IF(AND(AJ62=AJ65,AQ62=AQ65,AO62=AO65),BS62,0))</f>
        <v>0</v>
      </c>
      <c r="BP62" s="917">
        <v>0</v>
      </c>
      <c r="BQ62" s="917">
        <f t="array" aca="1" ref="BQ62" ca="1">SUM((I$4:I$65=AY62)*(N$4:N$65=BQ61)*(K$4:K$65&lt;&gt;"")*(L$4:L$65&lt;&gt;"")*(K$4:K$65&gt;L$4:L$65)*3,(N$4:N$65=AY62)*(I$4:I$65=BQ61)*(K$4:K$65&lt;&gt;"")*(L$4:L$65&lt;&gt;"")*(K$4:K$65=L$4:L$65)*1,(N$4:N$65=AY62)*(I$4:I$65=BQ61)*(K$4:K$65&lt;&gt;"")*(L$4:L$65&lt;&gt;"")*(K$4:K$65&lt;L$4:L$65)*3,(I$4:I$65=AY62)*(N$4:N$65=BQ61)*(K$4:K$65&lt;&gt;"")*(L$4:L$65&lt;&gt;"")*(K$4:K$65=L$4:L$65)*1)</f>
        <v>3</v>
      </c>
      <c r="BR62" s="917">
        <f t="array" aca="1" ref="BR62" ca="1">SUM((I$4:I$65=AY62)*(N$4:N$65=BR61)*(K$4:K$65&lt;&gt;"")*(L$4:L$65&lt;&gt;"")*(K$4:K$65&gt;L$4:L$65)*3,(N$4:N$65=AY62)*(I$4:I$65=BR61)*(K$4:K$65&lt;&gt;"")*(L$4:L$65&lt;&gt;"")*(K$4:K$65=L$4:L$65)*1,(N$4:N$65=AY62)*(I$4:I$65=BR61)*(K$4:K$65&lt;&gt;"")*(L$4:L$65&lt;&gt;"")*(K$4:K$65&lt;L$4:L$65)*3,(I$4:I$65=AY62)*(N$4:N$65=BR61)*(K$4:K$65&lt;&gt;"")*(L$4:L$65&lt;&gt;"")*(K$4:K$65=L$4:L$65)*1)</f>
        <v>3</v>
      </c>
      <c r="BS62" s="917">
        <f t="array" aca="1" ref="BS62" ca="1">SUM((I$4:I$65=AY62)*(N$4:N$65=BS61)*(K$4:K$65&lt;&gt;"")*(L$4:L$65&lt;&gt;"")*(K$4:K$65&gt;L$4:L$65)*3,(N$4:N$65=AY62)*(I$4:I$65=BS61)*(K$4:K$65&lt;&gt;"")*(L$4:L$65&lt;&gt;"")*(K$4:K$65=L$4:L$65)*1,(N$4:N$65=AY62)*(I$4:I$65=BS61)*(K$4:K$65&lt;&gt;"")*(L$4:L$65&lt;&gt;"")*(K$4:K$65&lt;L$4:L$65)*3,(I$4:I$65=AY62)*(N$4:N$65=BS61)*(K$4:K$65&lt;&gt;"")*(L$4:L$65&lt;&gt;"")*(K$4:K$65=L$4:L$65)*1)</f>
        <v>0</v>
      </c>
      <c r="BT62" s="911">
        <v>1</v>
      </c>
      <c r="BU62" s="911">
        <f ca="1">RANK(BW62,$BW$62:$BW$65)</f>
        <v>1</v>
      </c>
      <c r="BV62" s="911" t="str">
        <f ca="1">A61</f>
        <v>Portugal</v>
      </c>
      <c r="BW62" s="911">
        <f t="shared" ref="BW62" ca="1" si="45">AR62</f>
        <v>6666233699.71</v>
      </c>
      <c r="BX62" s="911" t="str">
        <f ca="1">VLOOKUP(Q62,$AH$62:$AI$65,2,0)</f>
        <v>Portugal</v>
      </c>
      <c r="BY62" s="911">
        <f ca="1">VLOOKUP($BX62,$AI$62:$AR$65,10,FALSE)</f>
        <v>6666233699.71</v>
      </c>
      <c r="CA62" s="911">
        <v>1</v>
      </c>
      <c r="CB62" s="911" t="str">
        <f ca="1">VLOOKUP(CA62,$AH$62:$AI$65,2,0)</f>
        <v>Portugal</v>
      </c>
      <c r="CC62" s="911">
        <f ca="1">VLOOKUP(CB62,$AI$62:$AR$65,2,FALSE)</f>
        <v>6</v>
      </c>
      <c r="CD62" s="918">
        <f ca="1">IF(SUM($AK$62:$AK$65)=12,MIN(ABS(BY61-BY62),ABS(BY62-BY63)),100)</f>
        <v>2222021100.0299997</v>
      </c>
      <c r="CE62" s="911">
        <f ca="1">VLOOKUP($CB62,$AI$62:$AR$65,9,FALSE)</f>
        <v>2</v>
      </c>
      <c r="CF62" s="911">
        <f ca="1">VLOOKUP($CB62,$AI$62:$AR$65,7,FALSE)</f>
        <v>6</v>
      </c>
      <c r="CH62" s="911">
        <f t="array" aca="1" ref="CH62" ca="1">IF($CI$62=$CL$61,$EC$61:$EC$64,IF($CI$62=$CM$61,$ED$61:$ED$63,IF(OR($CI$62=$CN$61,$CI$62=$CO$61),$EE$61:$EE$62,$EI$61)))</f>
        <v>1</v>
      </c>
      <c r="CI62" s="909" t="str">
        <f ca="1">IFERROR(HLOOKUP(4,CL60:DI61,2,0),CS61)</f>
        <v>COM_8</v>
      </c>
      <c r="CK62" s="909">
        <v>1</v>
      </c>
      <c r="CL62" s="909">
        <f t="array" aca="1" ref="CL62" ca="1">IF(AND($CC$62:$CC$65=$CC$62,$CD$62:$CD$65&lt;90,$AQ$62:$AQ$65=$AQ$62,$CF$62:$CF$65=$CF$62),1,0)</f>
        <v>0</v>
      </c>
      <c r="CM62" s="909">
        <f t="array" aca="1" ref="CM62" ca="1">IF(AND($CC$62:$CC$64=$CC$62,$CD$62:$CD$64&lt;90,$CC$62&lt;&gt;$CC$65),1,0)</f>
        <v>0</v>
      </c>
      <c r="CN62" s="909">
        <f t="array" aca="1" ref="CN62" ca="1">IF(AND($CC$62:$CC$63=$CC$62,$CD$62:$CD$63&lt;90,$CC$62&lt;&gt;$CC$64),1,0)</f>
        <v>0</v>
      </c>
      <c r="CO62" s="909">
        <f t="array" aca="1" ref="CO62" ca="1">IF(AND($CC$62:$CC$63=$CC$62,$CD$62:$CD$63&lt;90,$CC$62&lt;&gt;$CC$64),1,0)</f>
        <v>0</v>
      </c>
      <c r="CP62" s="909">
        <f t="array" aca="1" ref="CP62" ca="1">IF(AND($CC$63:$CC$65=$CC$63,$CD$63:$CD$65&lt;90,$CC$62&lt;&gt;$CC$63),1,0)</f>
        <v>0</v>
      </c>
      <c r="CQ62" s="909">
        <f t="array" aca="1" ref="CQ62" ca="1">IF(AND($CC$62&lt;&gt;$CC$63,$CC$62&lt;&gt;$CC$65),1,0)</f>
        <v>1</v>
      </c>
      <c r="CR62" s="909">
        <f t="array" aca="1" ref="CR62" ca="1">IF(AND($CC$62&lt;&gt;$CC$63,$CC$62&lt;&gt;$CC$65),1,0)</f>
        <v>1</v>
      </c>
      <c r="CS62" s="909">
        <f t="array" aca="1" ref="CS62" ca="1">IF(AND($CC$62&lt;&gt;$CC$63,$CC$62&lt;&gt;$CC$65),1,0)</f>
        <v>1</v>
      </c>
      <c r="CT62" s="909">
        <f ca="1">IF(AND($CC$62:$CC$65=$CC$62,$CD$62:$CD$65&lt;90,$CE$62:$CE$63=$CE$62,$CE$62&lt;&gt;$CE$64),1,0)</f>
        <v>0</v>
      </c>
      <c r="CU62" s="909">
        <f t="array" aca="1" ref="CU62" ca="1">IF(AND($CC$62:$CC$65=$CC$62,$CD$62:$CD$65&lt;90,$CE$62:$CE$65=$CE$62,$CF$62=$CF$63,$CF$62&lt;&gt;$CF$64),1,0)</f>
        <v>0</v>
      </c>
      <c r="CV62" s="909">
        <f t="array" aca="1" ref="CV62" ca="1">IF(AND($CC$62:$CC$64=$CC$62,$CD$62:$CD$63&lt;90,$CD$64&gt;90),1,0)</f>
        <v>0</v>
      </c>
      <c r="CW62" s="909">
        <f t="array" aca="1" ref="CW62" ca="1">IF(AND($CC$62&lt;&gt;$CC$63,$CC$62&lt;&gt;$CC$64),1,0)</f>
        <v>1</v>
      </c>
      <c r="CX62" s="909">
        <f t="array" aca="1" ref="CX62" ca="1">IF(AND($CC$62&lt;&gt;$CC$63,$CC$62&lt;&gt;$CC$64),1,0)</f>
        <v>1</v>
      </c>
      <c r="CY62" s="909">
        <f t="array" aca="1" ref="CY62" ca="1">IF(AND($CC$62&lt;&gt;$CC$65,$CC$62:$CC$64=$CC$62,$CD$62&gt;90,$CD$63:$CD$64&lt;90),1,0)</f>
        <v>0</v>
      </c>
      <c r="CZ62" s="909">
        <f t="array" aca="1" ref="CZ62" ca="1">IF(AND($CC$62:$CC$65=$CC$62,$CD$63:$CD$65&lt;90,$CD$62&lt;&gt;$CD$63),1,0)</f>
        <v>0</v>
      </c>
      <c r="DA62" s="909">
        <f t="array" aca="1" ref="DA62" ca="1">IF(AND($CC$62:$CC$65=$CC$62,$CD$62:$CD$64&lt;90,$CD$62&lt;&gt;$CD$65),1,0)</f>
        <v>0</v>
      </c>
      <c r="DB62" s="909">
        <f t="array" aca="1" ref="DB62" ca="1">IF(AND($CC$62:$CC$65=$CC$62,$CD$62:$CD$63&gt;90,$CD$64:$CD$65&lt;90,$CE$62:$CE$65=$CE$62,$CF$62&gt;$CF$63,$CF$62&gt;$CF$64,$CF$62&gt;$CF$65),1,0)</f>
        <v>0</v>
      </c>
      <c r="DC62" s="909">
        <f t="array" aca="1" ref="DC62" ca="1">IF(AND($CC$62:$CC$65=$CC$62,$CD$62&gt;90,$CD$63:$CD$64&lt;90,$CD$65&gt;90,$CE$62:$CE$65=$CE$62,$CF$62&gt;$CF$63,$CF$62&gt;$CF$64,$CF$62&gt;$CF$65),1,0)</f>
        <v>0</v>
      </c>
      <c r="DD62" s="909">
        <f t="array" aca="1" ref="DD62" ca="1">IF(AND($CC$62:$CC$65=$CC$62,$CD$62:$CD$63&lt;90,$CD$64:$CD$65&gt;90,$CE$62:$CE$65=$CE$62,$CF$62=$CF$63,$CF$62&gt;$CF$64,$CF$62&gt;$CF$65),1,0)</f>
        <v>0</v>
      </c>
      <c r="DE62" s="909">
        <f t="array" aca="1" ref="DE62" ca="1">IF(AND($CC$62:$CC$65=$CC$62,$CD$62:$CD$63&gt;90,$CD$64:$CD$65&lt;90,$CE$62:$CE$65=$CE$62,$CF$62&gt;$CF$63,$CF$63:$CF$65=$CF$63),1,0)</f>
        <v>0</v>
      </c>
      <c r="DF62" s="909">
        <f t="array" aca="1" ref="DF62" ca="1">IF(AND($CC$62:$CC$65=$CC$62,$CD$62:$CD$63&lt;90,$CD$64:$CD$65&gt;90,$CE$62:$CE$65=$CE$62,$CF$62:$CF$64=$CF$62,$CF$62&gt;$CF$65),1,0)</f>
        <v>0</v>
      </c>
      <c r="DG62" s="909">
        <f t="array" aca="1" ref="DG62" ca="1">IF(AND($CC$62:$CC$65=$CC$62,$CD$62&gt;90,$CD$65&gt;90,$CD$63:$CD$64&lt;90,$CE$62:$CE$65=$CE$62,$CF$62&gt;$CF$63:$CF$65),1,0)</f>
        <v>0</v>
      </c>
      <c r="EC62" s="911">
        <v>2</v>
      </c>
      <c r="ED62" s="911">
        <v>2</v>
      </c>
      <c r="EE62" s="911">
        <v>2</v>
      </c>
      <c r="EF62" s="911">
        <v>3</v>
      </c>
      <c r="EG62" s="911">
        <v>4</v>
      </c>
      <c r="EH62" s="911">
        <v>3</v>
      </c>
      <c r="EI62" s="911"/>
      <c r="EJ62" s="911"/>
      <c r="EK62" s="911"/>
      <c r="EL62" s="911"/>
      <c r="FI62" s="917"/>
      <c r="FK62" s="917"/>
      <c r="FM62" s="917"/>
    </row>
    <row r="63" spans="1:2374 10958:10958" ht="15" customHeight="1">
      <c r="A63" s="871" t="str" cm="1">
        <f t="array" aca="1" ref="A63" ca="1">IF(ROWS(A$61:A63)&lt;=$C$60,INDEX(INDIRECT(A$60),SMALL(IF(Nivell=$B$60,ROW(Nivell)-ROW(Equipos!$C$2)+1),ROWS(B$60:B62))),"")</f>
        <v>Uruguay</v>
      </c>
      <c r="B63" s="872"/>
      <c r="C63" s="857"/>
      <c r="D63" s="152"/>
      <c r="E63" s="1017"/>
      <c r="F63" s="404">
        <f>Horarios!C63</f>
        <v>44893.916666666664</v>
      </c>
      <c r="G63" s="405">
        <f>Horarios!C63</f>
        <v>44893.916666666664</v>
      </c>
      <c r="H63" s="404" t="s">
        <v>70</v>
      </c>
      <c r="I63" s="406" t="str">
        <f ca="1">A61</f>
        <v>Portugal</v>
      </c>
      <c r="J63" s="407" t="str">
        <f ca="1">VLOOKUP(I63,Equipos!$H$2:$I$33,2,0)</f>
        <v>🇵🇹</v>
      </c>
      <c r="K63" s="417">
        <v>2</v>
      </c>
      <c r="L63" s="417">
        <v>0</v>
      </c>
      <c r="M63" s="408" t="str">
        <f ca="1">VLOOKUP(N63,Equipos!$H$2:$I$33,2,0)</f>
        <v>🇺🇾</v>
      </c>
      <c r="N63" s="425" t="str">
        <f ca="1">A63</f>
        <v>Uruguay</v>
      </c>
      <c r="O63" s="347">
        <f t="shared" si="43"/>
        <v>1</v>
      </c>
      <c r="P63" s="82"/>
      <c r="Q63" s="444">
        <v>2</v>
      </c>
      <c r="R63" s="5" t="str">
        <f ca="1">VLOOKUP(Q63,$AG$62:$AI$65,3,0)</f>
        <v>Corea del Sur</v>
      </c>
      <c r="S63" s="4">
        <f ca="1">VLOOKUP(R63,$AI$62:$AR$65,2,FALSE)</f>
        <v>4</v>
      </c>
      <c r="T63" s="4">
        <f ca="1">VLOOKUP($R63,$AI$62:$AR$65,3,FALSE)</f>
        <v>3</v>
      </c>
      <c r="U63" s="4">
        <f ca="1">VLOOKUP($R63,$AI$62:$AR$65,4,FALSE)</f>
        <v>1</v>
      </c>
      <c r="V63" s="4">
        <f ca="1">VLOOKUP($R63,$AI$62:$AR$65,5,FALSE)</f>
        <v>1</v>
      </c>
      <c r="W63" s="4">
        <f ca="1">VLOOKUP($R63,$AI$62:$AR$65,6,FALSE)</f>
        <v>1</v>
      </c>
      <c r="X63" s="4">
        <f ca="1">VLOOKUP($R63,$AI$62:$AR$65,7,FALSE)</f>
        <v>4</v>
      </c>
      <c r="Y63" s="4">
        <f ca="1">VLOOKUP($R63,$AI$62:$AR$65,8,FALSE)</f>
        <v>4</v>
      </c>
      <c r="Z63" s="445">
        <f ca="1">VLOOKUP($R63,$AI$62:$AR$65,9,FALSE)</f>
        <v>0</v>
      </c>
      <c r="AA63" s="357">
        <f ca="1">IF(SUM($AK$62:$AK$65)=12,MIN(ABS(BY62-BY63),ABS(BY63-BY64)),100)</f>
        <v>999.99000072479248</v>
      </c>
      <c r="AB63" s="94" t="str">
        <f ca="1">IF(AND(AA63&gt;=0,AA63&lt;90),VLOOKUP(Q63,$BU$62:$BV$65,2,0),"")</f>
        <v/>
      </c>
      <c r="AC63" s="73"/>
      <c r="AD63" s="74"/>
      <c r="AE63" s="328"/>
      <c r="AF63" s="910">
        <f ca="1">VLOOKUP($R63,$AI$62:$AR$65,10,FALSE)</f>
        <v>4444212599.6800003</v>
      </c>
      <c r="AG63" s="909">
        <f ca="1">RANK(AU63,$AU$62:$AU$65)</f>
        <v>4</v>
      </c>
      <c r="AH63" s="909">
        <f ca="1">RANK(AR63,$AR$62:$AR$65)</f>
        <v>4</v>
      </c>
      <c r="AI63" s="911" t="str">
        <f ca="1">A62</f>
        <v>Ghana</v>
      </c>
      <c r="AJ63" s="909">
        <f ca="1">AL63*3+AM63*1+AN63*0</f>
        <v>3</v>
      </c>
      <c r="AK63" s="909">
        <f ca="1">COUNTIFS($I$4:$I$65,AI63,$K$4:$K$65,"&lt;&gt;",$L$4:$L$65,"&lt;&gt;")+COUNTIFS($N$4:$N$65,AI63,$L$4:$L$65,"&lt;&gt;",$K$4:$K$65,"&lt;&gt;")</f>
        <v>3</v>
      </c>
      <c r="AL63" s="909">
        <f t="array" aca="1" ref="AL63" ca="1">SUM(($I$4:$I$65=AI63)*($K$4:$K$65&lt;&gt;"")*($L$4:$L$65&lt;&gt;"")*($K$4:$K$65&gt;$L$4:$L$65),($N$4:$N$65=AI63)*($K$4:$K$65&lt;&gt;"")*($L$4:$L$65&lt;&gt;"")*($K$4:$K$65&lt;$L$4:$L$65))</f>
        <v>1</v>
      </c>
      <c r="AM63" s="909">
        <f t="array" aca="1" ref="AM63" ca="1">SUM(($I$4:$I$65=AI63)*($K$4:$K$65&lt;&gt;"")*($L$4:$L$65&lt;&gt;"")*($K$4:$K$65=$L$4:$L$65),($N$4:$N$65=AI63)*($K$4:$K$65&lt;&gt;"")*($L$4:$L$65&lt;&gt;"")*($K$4:$K$65=$L$4:$L$65))</f>
        <v>0</v>
      </c>
      <c r="AN63" s="909">
        <f t="array" aca="1" ref="AN63" ca="1">SUM(($I$4:$I$65=AI63)*($L$4:$L$65&lt;&gt;"")*($K$4:$K$65&lt;&gt;"")*($K$4:$K$65&lt;$L$4:$L$65),($K$4:$K$65&lt;&gt;"")*($N$4:$N$65=AI63)*($L$4:$L$65&lt;&gt;"")*($K$4:$K$65&gt;$L$4:$L$65))</f>
        <v>2</v>
      </c>
      <c r="AO63" s="909">
        <f t="array" aca="1" ref="AO63" ca="1">SUMIFS($K$4:$K$65,$I$4:$I$65,AI63,$K$4:$K$65,"&lt;&gt;",$L$4:$L$65,"&lt;&gt;")+SUMIFS($L$4:$L$65,$N$4:$N$65,AI63,$K$4:$K$65,"&lt;&gt;",$L$4:$L$65,"&lt;&gt;")</f>
        <v>5</v>
      </c>
      <c r="AP63" s="909">
        <f t="array" aca="1" ref="AP63" ca="1">SUMIFS($K$4:$K$65,$N$4:$N$65,AI63,$K$4:$K$65,"&lt;&gt;",$L$4:$L$65,"&lt;&gt;")+SUMIFS($L$4:$L$65,$I$4:$I$65,AI63,$K$4:$K$65,"&lt;&gt;",$L$4:$L$65,"&lt;&gt;")</f>
        <v>7</v>
      </c>
      <c r="AQ63" s="909">
        <f ca="1">AO63-AP63</f>
        <v>-2</v>
      </c>
      <c r="AR63" s="909">
        <f ca="1">IF(AK63=0,-($AW$11*VLOOKUP(AI63,Tabla3[[NombreEquipo]:[Rank]],3,FALSE)),AJ63*$AW$4+BA63+AQ63*$AW$8+AO63*$AW$9+AL63*$AW$10-($AW$11*VLOOKUP(AI63,Tabla3[[NombreEquipo]:[Rank]],3,FALSE)/100))</f>
        <v>3333193099.6999998</v>
      </c>
      <c r="AS63" s="909">
        <f ca="1">AH63</f>
        <v>4</v>
      </c>
      <c r="AT63" s="909"/>
      <c r="AU63" s="909">
        <f ca="1">IFERROR(AR63-VLOOKUP(AI63,$AB$62:$AC$65,2,0),AR63)</f>
        <v>3333193099.6999998</v>
      </c>
      <c r="AV63" s="909"/>
      <c r="AX63" s="909"/>
      <c r="AY63" s="916" t="str">
        <f ca="1">AI63</f>
        <v>Ghana</v>
      </c>
      <c r="AZ63" s="909">
        <f ca="1">COUNTIF(AJ62:AJ65,AJ63)</f>
        <v>1</v>
      </c>
      <c r="BA63" s="909">
        <f t="shared" ca="1" si="44"/>
        <v>210500</v>
      </c>
      <c r="BB63" s="917">
        <f ca="1">RANK(BC63,BC62:BC65,1)</f>
        <v>1</v>
      </c>
      <c r="BC63" s="917">
        <f ca="1">SUM(IF(AND(AJ63=AJ64,AQ63=AQ64,AO63=AO64),BF63,0),IF(AND(AJ63=AJ65,AQ63=AQ65,AO63=AO65),BG63,0),IF(AND(AJ63=AJ62,AQ63=AQ62,AO63=AO62),BD63,0))</f>
        <v>0</v>
      </c>
      <c r="BD63" s="917">
        <f t="array" aca="1" ref="BD63" ca="1">SUMIFS($K$60:$K$65,$I$60:$I$65,$AY63,$K$60:$K$65,"&lt;&gt;",$L$60:$L$65,"&lt;&gt;",$N$60:$N$65,BD61)+SUMIFS($L$60:$L$65,$I$60:$I$65,BD61,$K$60:$K$65,"&lt;&gt;",$L$60:$L$65,"&lt;&gt;",$N$60:$N$65,$AY63)</f>
        <v>2</v>
      </c>
      <c r="BE63" s="917">
        <v>0</v>
      </c>
      <c r="BF63" s="917">
        <f t="array" aca="1" ref="BF63" ca="1">SUMIFS($K$60:$K$65,$I$60:$I$65,$AY63,$K$60:$K$65,"&lt;&gt;",$L$60:$L$65,"&lt;&gt;",$N$60:$N$65,BF61)+SUMIFS($L$60:$L$65,$I$60:$I$65,BF61,$K$60:$K$65,"&lt;&gt;",$L$60:$L$65,"&lt;&gt;",$N$60:$N$65,$AY63)</f>
        <v>0</v>
      </c>
      <c r="BG63" s="917">
        <f t="array" aca="1" ref="BG63" ca="1">SUMIFS($K$60:$K$65,$I$60:$I$65,$AY63,$K$60:$K$65,"&lt;&gt;",$L$60:$L$65,"&lt;&gt;",$N$60:$N$65,BG61)+SUMIFS($L$60:$L$65,$I$60:$I$65,BG61,$K$60:$K$65,"&lt;&gt;",$L$60:$L$65,"&lt;&gt;",$N$60:$N$65,$AY63)</f>
        <v>3</v>
      </c>
      <c r="BH63" s="917">
        <f ca="1">RANK(BI63,BI62:BI65,1)</f>
        <v>1</v>
      </c>
      <c r="BI63" s="917">
        <f ca="1">SUM(IF(AND(AJ63=AJ64,AQ63=AQ64,AO63=AO64),BL63,0),IF(AND(AJ63=AJ65,AQ63=AQ65,AO63=AO65),BM63,0),IF(AND(AJ63=AJ62,AQ63=AQ62,AO63=AO62),BJ63,0))</f>
        <v>0</v>
      </c>
      <c r="BJ63" s="917">
        <f ca="1">BD63-BE62</f>
        <v>-1</v>
      </c>
      <c r="BK63" s="917">
        <v>0</v>
      </c>
      <c r="BL63" s="917">
        <f ca="1">BF63-BE64</f>
        <v>-2</v>
      </c>
      <c r="BM63" s="917">
        <f ca="1">BG63-BE65</f>
        <v>1</v>
      </c>
      <c r="BN63" s="917">
        <f ca="1">RANK(BO63,BO62:BO65,1)</f>
        <v>1</v>
      </c>
      <c r="BO63" s="917">
        <f ca="1">SUM(IF(AND(AJ63=AJ64,AQ63=AQ64,AO63=AO64),BR63,0),IF(AND(AJ63=AJ65,AQ63=AQ65,AO63=AO65),BS63,0),IF(AND(AJ63=AJ62,AQ63=AQ62,AO63=AO62),BP63,0))</f>
        <v>0</v>
      </c>
      <c r="BP63" s="917">
        <f t="array" aca="1" ref="BP63" ca="1">SUM((I$4:I$65=AY63)*(N$4:N$65=BP61)*(K$4:K$65&lt;&gt;"")*(L$4:L$65&lt;&gt;"")*(K$4:K$65&gt;L$4:L$65)*3,(N$4:N$65=AY63)*(I$4:I$65=BP61)*(K$4:K$65&lt;&gt;"")*(L$4:L$65&lt;&gt;"")*(K$4:K$65=L$4:L$65)*1,(N$4:N$65=AY63)*(I$4:I$65=BP61)*(K$4:K$65&lt;&gt;"")*(L$4:L$65&lt;&gt;"")*(K$4:K$65&lt;L$4:L$65)*3,(I$4:I$65=AY63)*(N$4:N$65=BP61)*(K$4:K$65&lt;&gt;"")*(L$4:L$65&lt;&gt;"")*(K$4:K$65=L$4:L$65)*1)</f>
        <v>0</v>
      </c>
      <c r="BQ63" s="917">
        <v>0</v>
      </c>
      <c r="BR63" s="917">
        <f t="array" aca="1" ref="BR63" ca="1">SUM((I$4:I$65=AY63)*(N$4:N$65=BR61)*(K$4:K$65&lt;&gt;"")*(L$4:L$65&lt;&gt;"")*(K$4:K$65&gt;L$4:L$65)*3,(N$4:N$65=AY63)*(I$4:I$65=BR61)*(K$4:K$65&lt;&gt;"")*(L$4:L$65&lt;&gt;"")*(K$4:K$65=L$4:L$65)*1,(N$4:N$65=AY63)*(I$4:I$65=BR61)*(K$4:K$65&lt;&gt;"")*(L$4:L$65&lt;&gt;"")*(K$4:K$65&lt;L$4:L$65)*3,(I$4:I$65=AY63)*(N$4:N$65=BR61)*(K$4:K$65&lt;&gt;"")*(L$4:L$65&lt;&gt;"")*(K$4:K$65=L$4:L$65)*1)</f>
        <v>0</v>
      </c>
      <c r="BS63" s="917">
        <f t="array" aca="1" ref="BS63" ca="1">SUM((I$4:I$65=AY63)*(N$4:N$65=BS61)*(K$4:K$65&lt;&gt;"")*(L$4:L$65&lt;&gt;"")*(K$4:K$65&gt;L$4:L$65)*3,(N$4:N$65=AY63)*(I$4:I$65=BS61)*(K$4:K$65&lt;&gt;"")*(L$4:L$65&lt;&gt;"")*(K$4:K$65=L$4:L$65)*1,(N$4:N$65=AY63)*(I$4:I$65=BS61)*(K$4:K$65&lt;&gt;"")*(L$4:L$65&lt;&gt;"")*(K$4:K$65&lt;L$4:L$65)*3,(I$4:I$65=AY63)*(N$4:N$65=BS61)*(K$4:K$65&lt;&gt;"")*(L$4:L$65&lt;&gt;"")*(K$4:K$65=L$4:L$65)*1)</f>
        <v>3</v>
      </c>
      <c r="BT63" s="911">
        <v>2</v>
      </c>
      <c r="BU63" s="911">
        <f ca="1">RANK(BW63,$BW$62:$BW$65)</f>
        <v>4</v>
      </c>
      <c r="BV63" s="911" t="str">
        <f ca="1">A62</f>
        <v>Ghana</v>
      </c>
      <c r="BW63" s="911">
        <f t="shared" ca="1" si="9"/>
        <v>3333193099.6999998</v>
      </c>
      <c r="BX63" s="911" t="str">
        <f ca="1">VLOOKUP(Q63,$AH$62:$AI$65,2,0)</f>
        <v>Corea del Sur</v>
      </c>
      <c r="BY63" s="911">
        <f ca="1">VLOOKUP($BX63,$AI$62:$AR$65,10,FALSE)</f>
        <v>4444212599.6800003</v>
      </c>
      <c r="CA63" s="911">
        <v>2</v>
      </c>
      <c r="CB63" s="911" t="str">
        <f ca="1">VLOOKUP(CA63,$AH$62:$AI$65,2,0)</f>
        <v>Corea del Sur</v>
      </c>
      <c r="CC63" s="911">
        <f ca="1">VLOOKUP(CB63,$AI$62:$AR$65,2,FALSE)</f>
        <v>4</v>
      </c>
      <c r="CD63" s="918">
        <f ca="1">IF(SUM($AK$62:$AK$65)=12,MIN(ABS(BY62-BY63),ABS(BY63-BY64)),100)</f>
        <v>999.99000072479248</v>
      </c>
      <c r="CE63" s="911">
        <f ca="1">VLOOKUP($CB63,$AI$62:$AR$65,9,FALSE)</f>
        <v>0</v>
      </c>
      <c r="CF63" s="911">
        <f ca="1">VLOOKUP($CB63,$AI$62:$AR$65,7,FALSE)</f>
        <v>4</v>
      </c>
      <c r="CH63" s="911">
        <f t="array" aca="1" ref="CH63" ca="1">IF($CI$62=$CL$61,$EC$61:$EC$64,IF($CI$62=$CM$61,$ED$61:$ED$63,IF(OR($CI$62=$CN$61,$CI$62=$CO$61),$EE$61:$EE$62,IF($CI$62=$CP$61,$EF$61:$EF$63,(IF($CI$62=$CQ$61,$EH$61:$EH$62,$EJ$61))))))</f>
        <v>2</v>
      </c>
      <c r="CK63" s="909">
        <v>2</v>
      </c>
      <c r="CL63" s="909">
        <f t="array" aca="1" ref="CL63" ca="1">IF(AND($CC$62:$CC$65=$CC$63,$CD$62:$CD$65&lt;90,$AQ$62:$AQ$65=$AQ$63,$CF$62:$CF$65=$CF$63),1,0)</f>
        <v>0</v>
      </c>
      <c r="CM63" s="909">
        <f t="array" aca="1" ref="CM63" ca="1">IF(AND($CC$62:$CC$64=$CC$63,$CD$62:$CD$64&lt;90,$CC$63&lt;&gt;$CC$65),1,0)</f>
        <v>0</v>
      </c>
      <c r="CN63" s="909">
        <f t="array" aca="1" ref="CN63" ca="1">IF(AND($CC$62:$CC$63=$CC$62,$CD$62:$CD$63&lt;90,$CC$62&lt;&gt;$CC$64),1,0)</f>
        <v>0</v>
      </c>
      <c r="CO63" s="909">
        <f t="array" aca="1" ref="CO63" ca="1">IF(AND($CC$62:$CC$63=$CC$62,$CD$62:$CD$63&lt;90,$CC$62&lt;&gt;$CC$64),1,0)</f>
        <v>0</v>
      </c>
      <c r="CP63" s="909">
        <f t="array" aca="1" ref="CP63" ca="1">IF(AND($CC$63:$CC$65=$CC$63,$CD$63:$CD$65&lt;90,$CC$62&lt;&gt;$CC$63),1,0)</f>
        <v>0</v>
      </c>
      <c r="CQ63" s="909">
        <f t="array" aca="1" ref="CQ63" ca="1">IF(AND($CC$63:$CC$64=$CC$63,$CD$63:$CD$64&lt;90,$CC$63&lt;&gt;$CC$62,$CC$63&lt;&gt;$CC$65),1,0)</f>
        <v>0</v>
      </c>
      <c r="CR63" s="909">
        <f t="array" aca="1" ref="CR63" ca="1">IF(AND($CC$63&lt;&gt;$CC$62,$CC$63&lt;&gt;$CC$64),1,0)</f>
        <v>0</v>
      </c>
      <c r="CS63" s="909">
        <f t="array" aca="1" ref="CS63" ca="1">IF(AND($CC$63&lt;&gt;$CC$62,$CC$63&lt;&gt;$CC$64),1,0)</f>
        <v>0</v>
      </c>
      <c r="CT63" s="909">
        <f t="array" aca="1" ref="CT63" ca="1">IF(AND($CC$62:$CC$65=$CC$62,$CD$62:$CD$65&lt;90,$CE$62:$CE$63=$CE$62,$CE$63&lt;&gt;$CE$64),1,0)</f>
        <v>0</v>
      </c>
      <c r="CU63" s="909">
        <f t="array" aca="1" ref="CU63" ca="1">IF(AND($CC$62:$CC$65=$CC$62,$CD$62:$CD$65&lt;90,$CE$62:$CE$65=$CE$62,$CF$62=$CF$63,$CF$63&lt;&gt;$CF$64),1,0)</f>
        <v>0</v>
      </c>
      <c r="CV63" s="909">
        <f t="array" aca="1" ref="CV63" ca="1">IF(AND($CC$62:$CC$64=$CC$63,$CD$62:$CD$63&lt;90,$CD$64&gt;90),1,0)</f>
        <v>0</v>
      </c>
      <c r="CW63" s="909">
        <f t="array" aca="1" ref="CW63" ca="1">IF(AND($CC$63&lt;&gt;$CC$62,$CC$63:$CC$65=$CC$63,$CD$63&gt;90,$CD$64:$CD$65&lt;90),1,0)</f>
        <v>0</v>
      </c>
      <c r="CX63" s="909">
        <f t="array" aca="1" ref="CX63" ca="1">IF(AND($CC$63&lt;&gt;$CC$62,$CC$63:$CC$65=$CC$63,$CD$65&gt;90,$CD$63:$CD$64&lt;90),1,0)</f>
        <v>0</v>
      </c>
      <c r="CY63" s="909">
        <f t="array" aca="1" ref="CY63" ca="1">IF(AND($CC$63&lt;&gt;$CC$65,$CC$62:$CC$64=$CC$63,$CD$62&gt;90,$CD$63:$CD$64&lt;90),1,0)</f>
        <v>0</v>
      </c>
      <c r="CZ63" s="909">
        <f t="array" aca="1" ref="CZ63" ca="1">IF(AND($CC$62:$CC$65=$CC$63,$CD$63:$CD$65&lt;90,$CD$62&lt;&gt;$CD$63),1,0)</f>
        <v>0</v>
      </c>
      <c r="DA63" s="909">
        <f t="array" aca="1" ref="DA63" ca="1">IF(AND($CC$62:$CC$65=$CC$63,$CD$62:$CD$64&lt;90,$CD$63&lt;&gt;$CD$65),1,0)</f>
        <v>0</v>
      </c>
      <c r="DB63" s="909">
        <f t="array" aca="1" ref="DB63" ca="1">IF(AND($CC$62:$CC$65=$CC$63,$CD$62:$CD$63&gt;90,$CD$64:$CD$65&lt;90,$CE$62:$CE$65=$CE$63,$CF$62&gt;$CF$63,$CF$63&gt;$CF$64,$CF$63&gt;$CF$65),1,0)</f>
        <v>0</v>
      </c>
      <c r="DC63" s="909">
        <f t="array" aca="1" ref="DC63" ca="1">IF(AND($CC$62:$CC$65=$CC$63,$CD$62&gt;90,$CD$63:$CD$64&lt;90,$CD$65&gt;90,$CE$62:$CE$65=$CE$63,$CF$62&gt;$CF$63,$CF$63=$CF$64,$CF$63&gt;$CF$65),1,0)</f>
        <v>0</v>
      </c>
      <c r="DD63" s="909">
        <f t="array" aca="1" ref="DD63" ca="1">IF(AND($CC$62:$CC$65=$CC$63,$CD$62:$CD$63&lt;90,$CD$64:$CD$65&gt;90,$CE$62:$CE$65=$CE$63,$CF$62=$CF$63,$CF$63&gt;$CF$64,$CF$63&gt;$CF$65),1,0)</f>
        <v>0</v>
      </c>
      <c r="DE63" s="909">
        <f t="array" aca="1" ref="DE63" ca="1">IF(AND($CC$62:$CC$65=$CC$63,$CD$62:$CD$63&gt;90,$CD$64:$CD$65&lt;90,$CE$62:$CE$65=$CE$63,$CF$62&gt;$CF$63,$CF$63:$CF$65=$CF$63),1,0)</f>
        <v>0</v>
      </c>
      <c r="DF63" s="909">
        <f t="array" aca="1" ref="DF63" ca="1">IF(AND($CC$62:$CC$65=$CC$63,$CD$62:$CD$63&lt;90,$CD$64:$CD$65&gt;90,$CE$62:$CE$65=$CE$63,$CF$62:$CF$64=$CF$63,$CF$63&gt;$CF$65),1,0)</f>
        <v>0</v>
      </c>
      <c r="DG63" s="909">
        <f t="array" aca="1" ref="DG63" ca="1">IF(AND($CC$62:$CC$65=$CC$63,$CD$62&gt;90,$CD$65&gt;90,$CD$63:$CD$64&lt;90,$CE$62:$CE$65=$CE$63,$CF$62&gt;$CF$63:$CF$65,$CF$63:$CF$65=$CF$63),1,0)</f>
        <v>0</v>
      </c>
      <c r="EC63" s="911">
        <v>3</v>
      </c>
      <c r="ED63" s="911">
        <v>3</v>
      </c>
      <c r="EE63" s="911"/>
      <c r="EF63" s="911">
        <v>4</v>
      </c>
      <c r="EG63" s="911"/>
      <c r="EH63" s="911"/>
      <c r="EI63" s="911"/>
      <c r="EJ63" s="911"/>
      <c r="EK63" s="911"/>
      <c r="EL63" s="911"/>
      <c r="FI63" s="917"/>
      <c r="FK63" s="917"/>
      <c r="FM63" s="917"/>
    </row>
    <row r="64" spans="1:2374 10958:10958" ht="15" customHeight="1">
      <c r="A64" s="871" t="str" cm="1">
        <f t="array" aca="1" ref="A64" ca="1">IF(ROWS(A$61:A64)&lt;=$C$60,INDEX(INDIRECT(A$60),SMALL(IF(Nivell=$B$60,ROW(Nivell)-ROW(Equipos!$C$2)+1),ROWS(B$60:B63))),"")</f>
        <v>Corea del Sur</v>
      </c>
      <c r="B64" s="872"/>
      <c r="C64" s="857"/>
      <c r="D64" s="152"/>
      <c r="E64" s="1017"/>
      <c r="F64" s="404">
        <f>Horarios!C64</f>
        <v>44897.75</v>
      </c>
      <c r="G64" s="405">
        <f>Horarios!C64</f>
        <v>44897.75</v>
      </c>
      <c r="H64" s="404" t="s">
        <v>71</v>
      </c>
      <c r="I64" s="406" t="str">
        <f ca="1">A62</f>
        <v>Ghana</v>
      </c>
      <c r="J64" s="407" t="str">
        <f ca="1">VLOOKUP(I64,Equipos!$H$2:$I$33,2,0)</f>
        <v>🇬🇭</v>
      </c>
      <c r="K64" s="417">
        <v>0</v>
      </c>
      <c r="L64" s="417">
        <v>2</v>
      </c>
      <c r="M64" s="408" t="str">
        <f ca="1">VLOOKUP(N64,Equipos!$H$2:$I$33,2,0)</f>
        <v>🇺🇾</v>
      </c>
      <c r="N64" s="425" t="str">
        <f ca="1">A63</f>
        <v>Uruguay</v>
      </c>
      <c r="O64" s="347">
        <f t="shared" si="43"/>
        <v>1</v>
      </c>
      <c r="P64" s="82"/>
      <c r="Q64" s="444">
        <v>3</v>
      </c>
      <c r="R64" s="5" t="str">
        <f ca="1">VLOOKUP(Q64,$AG$62:$AI$65,3,0)</f>
        <v>Uruguay</v>
      </c>
      <c r="S64" s="4">
        <f ca="1">VLOOKUP(R64,$AI$62:$AR$65,2,FALSE)</f>
        <v>4</v>
      </c>
      <c r="T64" s="4">
        <f ca="1">VLOOKUP($R64,$AI$62:$AR$65,3,FALSE)</f>
        <v>3</v>
      </c>
      <c r="U64" s="4">
        <f ca="1">VLOOKUP($R64,$AI$62:$AR$65,4,FALSE)</f>
        <v>1</v>
      </c>
      <c r="V64" s="4">
        <f ca="1">VLOOKUP($R64,$AI$62:$AR$65,5,FALSE)</f>
        <v>1</v>
      </c>
      <c r="W64" s="4">
        <f ca="1">VLOOKUP($R64,$AI$62:$AR$65,6,FALSE)</f>
        <v>1</v>
      </c>
      <c r="X64" s="4">
        <f ca="1">VLOOKUP($R64,$AI$62:$AR$65,7,FALSE)</f>
        <v>2</v>
      </c>
      <c r="Y64" s="4">
        <f ca="1">VLOOKUP($R64,$AI$62:$AR$65,8,FALSE)</f>
        <v>2</v>
      </c>
      <c r="Z64" s="445">
        <f ca="1">VLOOKUP($R64,$AI$62:$AR$65,9,FALSE)</f>
        <v>0</v>
      </c>
      <c r="AA64" s="357">
        <f ca="1">IF(SUM($AK$62:$AK$65)=12,MIN(ABS(BY63-BY64),ABS(BY64-BY65)),100)</f>
        <v>999.99000072479248</v>
      </c>
      <c r="AB64" s="94" t="str">
        <f ca="1">IF(AND(AA64&gt;=0,AA64&lt;90),VLOOKUP(Q64,$BU$62:$BV$65,2,0),"")</f>
        <v/>
      </c>
      <c r="AC64" s="73"/>
      <c r="AD64" s="74"/>
      <c r="AE64" s="328"/>
      <c r="AF64" s="910">
        <f ca="1">VLOOKUP($R64,$AI$62:$AR$65,10,FALSE)</f>
        <v>4444211599.6899996</v>
      </c>
      <c r="AG64" s="909">
        <f ca="1">RANK(AU64,$AU$62:$AU$65)</f>
        <v>3</v>
      </c>
      <c r="AH64" s="909">
        <f ca="1">RANK(AR64,$AR$62:$AR$65)</f>
        <v>3</v>
      </c>
      <c r="AI64" s="911" t="str">
        <f ca="1">A63</f>
        <v>Uruguay</v>
      </c>
      <c r="AJ64" s="909">
        <f ca="1">AL64*3+AM64*1+AN64*0</f>
        <v>4</v>
      </c>
      <c r="AK64" s="909">
        <f ca="1">COUNTIFS($I$4:$I$65,AI64,$K$4:$K$65,"&lt;&gt;",$L$4:$L$65,"&lt;&gt;")+COUNTIFS($N$4:$N$65,AI64,$L$4:$L$65,"&lt;&gt;",$K$4:$K$65,"&lt;&gt;")</f>
        <v>3</v>
      </c>
      <c r="AL64" s="909">
        <f t="array" aca="1" ref="AL64" ca="1">SUM(($I$4:$I$65=AI64)*($K$4:$K$65&lt;&gt;"")*($L$4:$L$65&lt;&gt;"")*($K$4:$K$65&gt;$L$4:$L$65),($N$4:$N$65=AI64)*($K$4:$K$65&lt;&gt;"")*($L$4:$L$65&lt;&gt;"")*($K$4:$K$65&lt;$L$4:$L$65))</f>
        <v>1</v>
      </c>
      <c r="AM64" s="909">
        <f t="array" aca="1" ref="AM64" ca="1">SUM(($I$4:$I$65=AI64)*($K$4:$K$65&lt;&gt;"")*($L$4:$L$65&lt;&gt;"")*($K$4:$K$65=$L$4:$L$65),($N$4:$N$65=AI64)*($K$4:$K$65&lt;&gt;"")*($L$4:$L$65&lt;&gt;"")*($K$4:$K$65=$L$4:$L$65))</f>
        <v>1</v>
      </c>
      <c r="AN64" s="909">
        <f t="array" aca="1" ref="AN64" ca="1">SUM(($I$4:$I$65=AI64)*($L$4:$L$65&lt;&gt;"")*($K$4:$K$65&lt;&gt;"")*($K$4:$K$65&lt;$L$4:$L$65),($K$4:$K$65&lt;&gt;"")*($N$4:$N$65=AI64)*($L$4:$L$65&lt;&gt;"")*($K$4:$K$65&gt;$L$4:$L$65))</f>
        <v>1</v>
      </c>
      <c r="AO64" s="909">
        <f t="array" aca="1" ref="AO64" ca="1">SUMIFS($K$4:$K$65,$I$4:$I$65,AI64,$K$4:$K$65,"&lt;&gt;",$L$4:$L$65,"&lt;&gt;")+SUMIFS($L$4:$L$65,$N$4:$N$65,AI64,$K$4:$K$65,"&lt;&gt;",$L$4:$L$65,"&lt;&gt;")</f>
        <v>2</v>
      </c>
      <c r="AP64" s="909">
        <f t="array" aca="1" ref="AP64" ca="1">SUMIFS($K$4:$K$65,$N$4:$N$65,AI64,$K$4:$K$65,"&lt;&gt;",$L$4:$L$65,"&lt;&gt;")+SUMIFS($L$4:$L$65,$I$4:$I$65,AI64,$K$4:$K$65,"&lt;&gt;",$L$4:$L$65,"&lt;&gt;")</f>
        <v>2</v>
      </c>
      <c r="AQ64" s="909">
        <f ca="1">AO64-AP64</f>
        <v>0</v>
      </c>
      <c r="AR64" s="909">
        <f ca="1">IF(AK64=0,-($AW$11*VLOOKUP(AI64,Tabla3[[NombreEquipo]:[Rank]],3,FALSE)),AJ64*$AW$4+BA64+AQ64*$AW$8+AO64*$AW$9+AL64*$AW$10-($AW$11*VLOOKUP(AI64,Tabla3[[NombreEquipo]:[Rank]],3,FALSE)/100))</f>
        <v>4444211599.6899996</v>
      </c>
      <c r="AS64" s="909">
        <f ca="1">AH64</f>
        <v>3</v>
      </c>
      <c r="AT64" s="909"/>
      <c r="AU64" s="909">
        <f ca="1">IFERROR(AR64-VLOOKUP(AI64,$AB$62:$AC$65,2,0),AR64)</f>
        <v>4444211599.6899996</v>
      </c>
      <c r="AV64" s="909"/>
      <c r="AX64" s="909"/>
      <c r="AY64" s="916" t="str">
        <f ca="1">AI64</f>
        <v>Uruguay</v>
      </c>
      <c r="AZ64" s="909">
        <f ca="1">COUNTIF(AJ62:AJ65,AJ64)</f>
        <v>2</v>
      </c>
      <c r="BA64" s="909">
        <f t="shared" ca="1" si="8"/>
        <v>210500</v>
      </c>
      <c r="BB64" s="917">
        <f ca="1">RANK(BC64,BC62:BC65,1)</f>
        <v>1</v>
      </c>
      <c r="BC64" s="917">
        <f ca="1">SUM(IF(AND(AJ64=AJ65,AQ64=AQ65,AO64=AO65),BG64,0),IF(AND(AJ64=AJ62,AQ64=AQ62,AO64=AO62),BD64,0),IF(AND(AJ64=AJ63,AQ64=AQ63,AO64=AO63),BE64,0))</f>
        <v>0</v>
      </c>
      <c r="BD64" s="917">
        <f t="array" aca="1" ref="BD64" ca="1">SUMIFS($K$60:$K$65,$I$60:$I$65,$AY64,$K$60:$K$65,"&lt;&gt;",$L$60:$L$65,"&lt;&gt;",$N$60:$N$65,BD61)+SUMIFS($L$60:$L$65,$I$60:$I$65,BD61,$K$60:$K$65,"&lt;&gt;",$L$60:$L$65,"&lt;&gt;",$N$60:$N$65,$AY64)</f>
        <v>0</v>
      </c>
      <c r="BE64" s="917">
        <f t="array" aca="1" ref="BE64" ca="1">SUMIFS($K$60:$K$65,$I$60:$I$65,$AY64,$K$60:$K$65,"&lt;&gt;",$L$60:$L$65,"&lt;&gt;",$N$60:$N$65,BE61)+SUMIFS($L$60:$L$65,$I$60:$I$65,BE61,$K$60:$K$65,"&lt;&gt;",$L$60:$L$65,"&lt;&gt;",$N$60:$N$65,$AY64)</f>
        <v>2</v>
      </c>
      <c r="BF64" s="917">
        <v>0</v>
      </c>
      <c r="BG64" s="917">
        <f t="array" aca="1" ref="BG64" ca="1">SUMIFS($K$60:$K$65,$I$60:$I$65,$AY64,$K$60:$K$65,"&lt;&gt;",$L$60:$L$65,"&lt;&gt;",$N$60:$N$65,BG61)+SUMIFS($L$60:$L$65,$I$60:$I$65,BG61,$K$60:$K$65,"&lt;&gt;",$L$60:$L$65,"&lt;&gt;",$N$60:$N$65,$AY64)</f>
        <v>0</v>
      </c>
      <c r="BH64" s="917">
        <f ca="1">RANK(BI64,BI62:BI65,1)</f>
        <v>1</v>
      </c>
      <c r="BI64" s="917">
        <f ca="1">SUM(IF(AND(AJ64=AJ65,AQ64=AQ65,AO64=AO65),BM64,0),IF(AND(AJ64=AJ62,AQ64=AQ62,AO64=AO62),BJ64,0),IF(AND(AJ64=AJ63,AQ64=AQ63,AO64=AO63),BK64,0))</f>
        <v>0</v>
      </c>
      <c r="BJ64" s="917">
        <f ca="1">BD64-BF62</f>
        <v>-2</v>
      </c>
      <c r="BK64" s="917">
        <f ca="1">BE64-BF63</f>
        <v>2</v>
      </c>
      <c r="BL64" s="917">
        <v>0</v>
      </c>
      <c r="BM64" s="917">
        <f ca="1">BG64-BF65</f>
        <v>0</v>
      </c>
      <c r="BN64" s="917">
        <f ca="1">RANK(BO64,BO62:BO65,1)</f>
        <v>1</v>
      </c>
      <c r="BO64" s="917">
        <f ca="1">SUM(IF(AND(AJ64=AJ65,AQ64=AQ65,AO64=AO65),BS64,0),IF(AND(AJ64=AJ62,AQ64=AQ62,AO64=AO62),BP64,0),IF(AND(AJ64=AJ63,AQ64=AQ63,AO64=AO63),BQ64,0))</f>
        <v>0</v>
      </c>
      <c r="BP64" s="917">
        <f t="array" aca="1" ref="BP64" ca="1">SUM((I$4:I$65=AY64)*(N$4:N$65=BP61)*(K$4:K$65&lt;&gt;"")*(L$4:L$65&lt;&gt;"")*(K$4:K$65&gt;L$4:L$65)*3,(N$4:N$65=AY64)*(I$4:I$65=BP61)*(K$4:K$65&lt;&gt;"")*(L$4:L$65&lt;&gt;"")*(K$4:K$65=L$4:L$65)*1,(N$4:N$65=AY64)*(I$4:I$65=BP61)*(K$4:K$65&lt;&gt;"")*(L$4:L$65&lt;&gt;"")*(K$4:K$65&lt;L$4:L$65)*3,(I$4:I$65=AY64)*(N$4:N$65=BP61)*(K$4:K$65&lt;&gt;"")*(L$4:L$65&lt;&gt;"")*(K$4:K$65=L$4:L$65)*1)</f>
        <v>0</v>
      </c>
      <c r="BQ64" s="917">
        <f t="array" aca="1" ref="BQ64" ca="1">SUM((I$4:I$65=AY64)*(N$4:N$65=BQ61)*(K$4:K$65&lt;&gt;"")*(L$4:L$65&lt;&gt;"")*(K$4:K$65&gt;L$4:L$65)*3,(N$4:N$65=AY64)*(I$4:I$65=BQ61)*(K$4:K$65&lt;&gt;"")*(L$4:L$65&lt;&gt;"")*(K$4:K$65=L$4:L$65)*1,(N$4:N$65=AY64)*(I$4:I$65=BQ61)*(K$4:K$65&lt;&gt;"")*(L$4:L$65&lt;&gt;"")*(K$4:K$65&lt;L$4:L$65)*3,(I$4:I$65=AY64)*(N$4:N$65=BQ61)*(K$4:K$65&lt;&gt;"")*(L$4:L$65&lt;&gt;"")*(K$4:K$65=L$4:L$65)*1)</f>
        <v>3</v>
      </c>
      <c r="BR64" s="917">
        <v>0</v>
      </c>
      <c r="BS64" s="917">
        <f t="array" aca="1" ref="BS64" ca="1">SUM((I$4:I$65=AY64)*(N$4:N$65=BS61)*(K$4:K$65&lt;&gt;"")*(L$4:L$65&lt;&gt;"")*(K$4:K$65&gt;L$4:L$65)*3,(N$4:N$65=AY64)*(I$4:I$65=BS61)*(K$4:K$65&lt;&gt;"")*(L$4:L$65&lt;&gt;"")*(K$4:K$65=L$4:L$65)*1,(N$4:N$65=AY64)*(I$4:I$65=BS61)*(K$4:K$65&lt;&gt;"")*(L$4:L$65&lt;&gt;"")*(K$4:K$65&lt;L$4:L$65)*3,(I$4:I$65=AY64)*(N$4:N$65=BS61)*(K$4:K$65&lt;&gt;"")*(L$4:L$65&lt;&gt;"")*(K$4:K$65=L$4:L$65)*1)</f>
        <v>1</v>
      </c>
      <c r="BT64" s="911">
        <v>3</v>
      </c>
      <c r="BU64" s="911">
        <f ca="1">RANK(BW64,$BW$62:$BW$65)</f>
        <v>3</v>
      </c>
      <c r="BV64" s="911" t="str">
        <f ca="1">A63</f>
        <v>Uruguay</v>
      </c>
      <c r="BW64" s="911">
        <f t="shared" ca="1" si="9"/>
        <v>4444211599.6899996</v>
      </c>
      <c r="BX64" s="911" t="str">
        <f ca="1">VLOOKUP(Q64,$AH$62:$AI$65,2,0)</f>
        <v>Uruguay</v>
      </c>
      <c r="BY64" s="911">
        <f ca="1">VLOOKUP($BX64,$AI$62:$AR$65,10,FALSE)</f>
        <v>4444211599.6899996</v>
      </c>
      <c r="CA64" s="911">
        <v>3</v>
      </c>
      <c r="CB64" s="911" t="str">
        <f ca="1">VLOOKUP(CA64,$AH$62:$AI$65,2,0)</f>
        <v>Uruguay</v>
      </c>
      <c r="CC64" s="911">
        <f ca="1">VLOOKUP(CB64,$AI$62:$AR$65,2,FALSE)</f>
        <v>4</v>
      </c>
      <c r="CD64" s="918">
        <f ca="1">IF(SUM($AK$62:$AK$65)=12,MIN(ABS(BY63-BY64),ABS(BY64-BY65)),100)</f>
        <v>999.99000072479248</v>
      </c>
      <c r="CE64" s="911">
        <f ca="1">VLOOKUP($CB64,$AI$62:$AR$65,9,FALSE)</f>
        <v>0</v>
      </c>
      <c r="CF64" s="911">
        <f ca="1">VLOOKUP($CB64,$AI$62:$AR$65,7,FALSE)</f>
        <v>2</v>
      </c>
      <c r="CH64" s="911">
        <f t="array" aca="1" ref="CH64" ca="1">IF($CI$62=$CL$61,$EC$61:$EC$64,IF($CI$62=$CM$61,$ED$61:$ED$63,IF(OR($CI$62=$CN$61,$CI$62=$CR$61),$EG$61:$EG$62,IF($CI$62=$CP$61,$EF$61:$EF$63,(IF($CI$62=$CQ$61,$EH$61:$EH$62,$EK$61))))))</f>
        <v>3</v>
      </c>
      <c r="CK64" s="909">
        <v>3</v>
      </c>
      <c r="CL64" s="909">
        <f t="array" aca="1" ref="CL64" ca="1">IF(AND($CC$62:$CC$65=$CC$64,$CD$62:$CD$65&lt;90,$AQ$62:$AQ$65=$AQ$64,$CF$62:$CF$65=$CF$64),1,0)</f>
        <v>0</v>
      </c>
      <c r="CM64" s="909">
        <f t="array" aca="1" ref="CM64" ca="1">IF(AND($CC$62:$CC$64=$CC$64,$CD$62:$CD$64&lt;90,$CC$64&lt;&gt;$CC$65),1,0)</f>
        <v>0</v>
      </c>
      <c r="CN64" s="909">
        <f t="array" aca="1" ref="CN64" ca="1">IF(AND($CC$64:$CC$65=$CC$64,$CD$64:$CD$65&lt;90,$CC$64&lt;&gt;$CC$63),1,0)</f>
        <v>0</v>
      </c>
      <c r="CO64" s="909">
        <f t="array" aca="1" ref="CO64" ca="1">IF(OR(AND($CC$64&lt;&gt;$CC$63,$CC$64&lt;&gt;$CC$65),AND($CC$64&lt;&gt;$CC$63,$CC$64=$CC$65,$CD$64&gt;90,$CD$65&gt;90)),1,0)</f>
        <v>0</v>
      </c>
      <c r="CP64" s="909">
        <f t="array" aca="1" ref="CP64" ca="1">IF(AND($CC$63:$CC$65=$CC$63,$CD$63:$CD$65&lt;90,$CC$62&lt;&gt;$CC$64),1,0)</f>
        <v>0</v>
      </c>
      <c r="CQ64" s="909">
        <f t="array" aca="1" ref="CQ64" ca="1">IF(AND($CC$63:$CC$64=$CC$64,$CD$63:$CD$64&lt;90,$CC$64&lt;&gt;$CC$62,$CC$64&lt;&gt;$CC$65),1,0)</f>
        <v>0</v>
      </c>
      <c r="CR64" s="909">
        <f t="array" aca="1" ref="CR64" ca="1">IF(AND($CC$64:$CC$65=$CC$64,$CD$64:$CD$65&lt;90,$CC$64&lt;&gt;$CC$63),1,0)</f>
        <v>0</v>
      </c>
      <c r="CS64" s="909">
        <f t="array" aca="1" ref="CS64" ca="1">IF(AND($CC$64&lt;&gt;$CC$63,$CC$64&lt;&gt;$CC$65),1,0)</f>
        <v>0</v>
      </c>
      <c r="CT64" s="909">
        <f t="array" aca="1" ref="CT64" ca="1">IF(AND($CC$62:$CC$65=$CC$62,$CD$62:$CD$65&lt;90,$CE$64:$CE$65=$CE$64,$CE$63&lt;&gt;$CE$64),1,0)</f>
        <v>0</v>
      </c>
      <c r="CU64" s="909">
        <f t="array" aca="1" ref="CU64" ca="1">IF(AND($CC$62:$CC$65=$CC$62,$CD$62:$CD$65&lt;90,$CE$62:$CE$65=$CE$62,$CF$64=$CF$65,$CF$63&lt;&gt;$CF$64),1,0)</f>
        <v>0</v>
      </c>
      <c r="CV64" s="909">
        <f t="array" aca="1" ref="CV64" ca="1">IF(AND($CC$62:$CC$64=$CC$64,$CD$62:$CD$63&lt;90,$CD$64&gt;90),1,0)</f>
        <v>0</v>
      </c>
      <c r="CW64" s="909">
        <f t="array" aca="1" ref="CW64" ca="1">IF(AND($CC$63&lt;&gt;$CC$62,$CC$63:$CC$65=$CC$64,$CD$63&gt;90,$CD$64:$CD$65&lt;90),1,0)</f>
        <v>0</v>
      </c>
      <c r="CX64" s="909">
        <f t="array" aca="1" ref="CX64" ca="1">IF(AND($CC$63&lt;&gt;$CC$62,$CC$63:$CC$65=$CC$63,$CD$65&gt;90,$CD$63:$CD$64&lt;90),1,0)</f>
        <v>0</v>
      </c>
      <c r="CY64" s="909">
        <f t="array" aca="1" ref="CY64" ca="1">IF(AND($CC$64&lt;&gt;$CC$65,$CC$62:$CC$64=$CC$64,$CD$62&gt;90,$CD$63:$CD$64&lt;90),1,0)</f>
        <v>0</v>
      </c>
      <c r="CZ64" s="909">
        <f t="array" aca="1" ref="CZ64" ca="1">IF(AND($CC$62:$CC$65=$CC$63,$CD$63:$CD$65&lt;90,$CD$62&lt;&gt;$CD$64),1,0)</f>
        <v>0</v>
      </c>
      <c r="DA64" s="909">
        <f t="array" aca="1" ref="DA64" ca="1">IF(AND($CC$62:$CC$65=$CC$64,$CD$62:$CD$64&lt;90,$CD$64&lt;&gt;$CD$65),1,0)</f>
        <v>0</v>
      </c>
      <c r="DB64" s="909">
        <f t="array" aca="1" ref="DB64" ca="1">IF(AND($CC$62:$CC$65=$CC$64,$CD$62:$CD$63&gt;90,$CD$64:$CD$65&lt;90,$CE$62:$CE$65=$CE$64,$CF$62&gt;$CF$63,$CF$63&gt;$CF$64,$CF$64=$CF$65),1,0)</f>
        <v>0</v>
      </c>
      <c r="DC64" s="909">
        <f t="array" aca="1" ref="DC64" ca="1">IF(AND($CC$62:$CC$65=$CC$64,$CD$62&gt;90,$CD$63:$CD$64&lt;90,$CD$65&gt;90,$CE$62:$CE$65=$CE$64,$CF$62&gt;$CF$63,$CF$63=$CF$64,$CF$64&gt;$CF$65),1,0)</f>
        <v>0</v>
      </c>
      <c r="DD64" s="909">
        <f t="array" aca="1" ref="DD64" ca="1">IF(AND($CC$62:$CC$65=$CC$64,$CD$62:$CD$63&lt;90,$CD$64:$CD$65&gt;90,$CE$62:$CE$65=$CE$64,$CF$62=$CF$63,$CF$63&gt;$CF$64,$CF$64&gt;$CF$65),1,0)</f>
        <v>0</v>
      </c>
      <c r="DE64" s="909">
        <f t="array" aca="1" ref="DE64" ca="1">IF(AND($CC$62:$CC$65=$CC$64,$CD$62:$CD$63&gt;90,$CD$64:$CD$65&lt;90,$CE$62:$CE$65=$CE$63,$CF$62&gt;$CF$64,$CF$63:$CF$65=$CF$64),1,0)</f>
        <v>0</v>
      </c>
      <c r="DF64" s="909">
        <f t="array" aca="1" ref="DF64" ca="1">IF(AND($CC$62:$CC$65=$CC$64,$CD$62:$CD$63&lt;90,$CD$64:$CD$65&gt;90,$CE$62:$CE$65=$CE$64,$CF$62:$CF$64=$CF$64,$CF$64&gt;$CF$65),1,0)</f>
        <v>0</v>
      </c>
      <c r="DG64" s="909">
        <f t="array" aca="1" ref="DG64" ca="1">IF(AND($CC$62:$CC$65=$CC$64,$CD$62&gt;90,$CD$65&gt;90,$CD$63:$CD$64&lt;90,$CE$62:$CE$65=$CE$64,$CF$62&gt;$CF$63:$CF$65,$CF$63:$CF$65=$CF$64),1,0)</f>
        <v>0</v>
      </c>
      <c r="EC64" s="911">
        <v>4</v>
      </c>
      <c r="ED64" s="911"/>
      <c r="EE64" s="911"/>
      <c r="EF64" s="911"/>
      <c r="EG64" s="911"/>
      <c r="EH64" s="911"/>
      <c r="EI64" s="911"/>
      <c r="EJ64" s="911"/>
      <c r="EK64" s="911"/>
      <c r="EL64" s="911"/>
      <c r="FI64" s="917"/>
      <c r="FK64" s="917"/>
      <c r="FM64" s="917"/>
    </row>
    <row r="65" spans="1:2374" ht="15" customHeight="1" thickBot="1">
      <c r="A65" s="66"/>
      <c r="B65" s="66"/>
      <c r="C65" s="66"/>
      <c r="D65" s="152"/>
      <c r="E65" s="1018"/>
      <c r="F65" s="426">
        <f>Horarios!C65</f>
        <v>44897.75</v>
      </c>
      <c r="G65" s="427">
        <f>Horarios!C65</f>
        <v>44897.75</v>
      </c>
      <c r="H65" s="426" t="s">
        <v>71</v>
      </c>
      <c r="I65" s="428" t="str">
        <f ca="1">A64</f>
        <v>Corea del Sur</v>
      </c>
      <c r="J65" s="429" t="str">
        <f ca="1">VLOOKUP(I65,Equipos!$H$2:$I$33,2,0)</f>
        <v>🇰🇷</v>
      </c>
      <c r="K65" s="430">
        <v>2</v>
      </c>
      <c r="L65" s="430">
        <v>1</v>
      </c>
      <c r="M65" s="431" t="str">
        <f ca="1">VLOOKUP(N65,Equipos!$H$2:$I$33,2,0)</f>
        <v>🇵🇹</v>
      </c>
      <c r="N65" s="432" t="str">
        <f ca="1">A61</f>
        <v>Portugal</v>
      </c>
      <c r="O65" s="347">
        <f t="shared" si="43"/>
        <v>1</v>
      </c>
      <c r="P65" s="82"/>
      <c r="Q65" s="446">
        <v>4</v>
      </c>
      <c r="R65" s="447" t="str">
        <f ca="1">VLOOKUP(Q65,$AG$62:$AI$65,3,0)</f>
        <v>Ghana</v>
      </c>
      <c r="S65" s="448">
        <f ca="1">VLOOKUP(R65,$AI$62:$AR$65,2,FALSE)</f>
        <v>3</v>
      </c>
      <c r="T65" s="448">
        <f ca="1">VLOOKUP($R65,$AI$62:$AR$65,3,FALSE)</f>
        <v>3</v>
      </c>
      <c r="U65" s="448">
        <f ca="1">VLOOKUP($R65,$AI$62:$AR$65,4,FALSE)</f>
        <v>1</v>
      </c>
      <c r="V65" s="448">
        <f ca="1">VLOOKUP($R65,$AI$62:$AR$65,5,FALSE)</f>
        <v>0</v>
      </c>
      <c r="W65" s="448">
        <f ca="1">VLOOKUP($R65,$AI$62:$AR$65,6,FALSE)</f>
        <v>2</v>
      </c>
      <c r="X65" s="448">
        <f ca="1">VLOOKUP($R65,$AI$62:$AR$65,7,FALSE)</f>
        <v>5</v>
      </c>
      <c r="Y65" s="448">
        <f ca="1">VLOOKUP($R65,$AI$62:$AR$65,8,FALSE)</f>
        <v>7</v>
      </c>
      <c r="Z65" s="449">
        <f ca="1">VLOOKUP($R65,$AI$62:$AR$65,9,FALSE)</f>
        <v>-2</v>
      </c>
      <c r="AA65" s="357">
        <f ca="1">IF(SUM($AK$62:$AK$65)=12,MIN(ABS(BY64-BY65),ABS(BY65-BY66)),100)</f>
        <v>1111018499.9899998</v>
      </c>
      <c r="AB65" s="94" t="str">
        <f ca="1">IF(AND(AA65&gt;=0,AA65&lt;90),VLOOKUP(Q65,$BU$62:$BV$65,2,0),"")</f>
        <v/>
      </c>
      <c r="AC65" s="73"/>
      <c r="AD65" s="74"/>
      <c r="AE65" s="328"/>
      <c r="AF65" s="910">
        <f ca="1">VLOOKUP($R65,$AI$62:$AR$65,10,FALSE)</f>
        <v>3333193099.6999998</v>
      </c>
      <c r="AG65" s="909">
        <f ca="1">RANK(AU65,$AU$62:$AU$65)</f>
        <v>2</v>
      </c>
      <c r="AH65" s="909">
        <f ca="1">RANK(AR65,$AR$62:$AR$65)</f>
        <v>2</v>
      </c>
      <c r="AI65" s="911" t="str">
        <f ca="1">A64</f>
        <v>Corea del Sur</v>
      </c>
      <c r="AJ65" s="909">
        <f ca="1">AL65*3+AM65*1+AN65*0</f>
        <v>4</v>
      </c>
      <c r="AK65" s="909">
        <f ca="1">COUNTIFS($I$4:$I$65,AI65,$K$4:$K$65,"&lt;&gt;",$L$4:$L$65,"&lt;&gt;")+COUNTIFS($N$4:$N$65,AI65,$L$4:$L$65,"&lt;&gt;",$K$4:$K$65,"&lt;&gt;")</f>
        <v>3</v>
      </c>
      <c r="AL65" s="909">
        <f t="array" aca="1" ref="AL65" ca="1">SUM(($I$4:$I$65=AI65)*($K$4:$K$65&lt;&gt;"")*($L$4:$L$65&lt;&gt;"")*($K$4:$K$65&gt;$L$4:$L$65),($N$4:$N$65=AI65)*($K$4:$K$65&lt;&gt;"")*($L$4:$L$65&lt;&gt;"")*($K$4:$K$65&lt;$L$4:$L$65))</f>
        <v>1</v>
      </c>
      <c r="AM65" s="909">
        <f t="array" aca="1" ref="AM65" ca="1">SUM(($I$4:$I$65=AI65)*($K$4:$K$65&lt;&gt;"")*($L$4:$L$65&lt;&gt;"")*($K$4:$K$65=$L$4:$L$65),($N$4:$N$65=AI65)*($K$4:$K$65&lt;&gt;"")*($L$4:$L$65&lt;&gt;"")*($K$4:$K$65=$L$4:$L$65))</f>
        <v>1</v>
      </c>
      <c r="AN65" s="909">
        <f t="array" aca="1" ref="AN65" ca="1">SUM(($I$4:$I$65=AI65)*($L$4:$L$65&lt;&gt;"")*($K$4:$K$65&lt;&gt;"")*($K$4:$K$65&lt;$L$4:$L$65),($K$4:$K$65&lt;&gt;"")*($N$4:$N$65=AI65)*($L$4:$L$65&lt;&gt;"")*($K$4:$K$65&gt;$L$4:$L$65))</f>
        <v>1</v>
      </c>
      <c r="AO65" s="909">
        <f t="array" aca="1" ref="AO65" ca="1">SUMIFS($K$4:$K$65,$I$4:$I$65,AI65,$K$4:$K$65,"&lt;&gt;",$L$4:$L$65,"&lt;&gt;")+SUMIFS($L$4:$L$65,$N$4:$N$65,AI65,$K$4:$K$65,"&lt;&gt;",$L$4:$L$65,"&lt;&gt;")</f>
        <v>4</v>
      </c>
      <c r="AP65" s="909">
        <f t="array" aca="1" ref="AP65" ca="1">SUMIFS($K$4:$K$65,$N$4:$N$65,AI65,$K$4:$K$65,"&lt;&gt;",$L$4:$L$65,"&lt;&gt;")+SUMIFS($L$4:$L$65,$I$4:$I$65,AI65,$K$4:$K$65,"&lt;&gt;",$L$4:$L$65,"&lt;&gt;")</f>
        <v>4</v>
      </c>
      <c r="AQ65" s="909">
        <f ca="1">AO65-AP65</f>
        <v>0</v>
      </c>
      <c r="AR65" s="909">
        <f ca="1">IF(AK65=0,-($AW$11*VLOOKUP(AI65,Tabla3[[NombreEquipo]:[Rank]],3,FALSE)),AJ65*$AW$4+BA65+AQ65*$AW$8+AO65*$AW$9+AL65*$AW$10-($AW$11*VLOOKUP(AI65,Tabla3[[NombreEquipo]:[Rank]],3,FALSE)/100))</f>
        <v>4444212599.6800003</v>
      </c>
      <c r="AS65" s="909">
        <f ca="1">AH65</f>
        <v>2</v>
      </c>
      <c r="AT65" s="909"/>
      <c r="AU65" s="909">
        <f ca="1">IFERROR(AR65-VLOOKUP(AI65,$AB$62:$AC$65,2,0),AR65)</f>
        <v>4444212599.6800003</v>
      </c>
      <c r="AV65" s="909"/>
      <c r="AX65" s="909"/>
      <c r="AY65" s="916" t="str">
        <f ca="1">AI65</f>
        <v>Corea del Sur</v>
      </c>
      <c r="AZ65" s="909">
        <f ca="1">COUNTIF(AJ62:AJ65,AJ65)</f>
        <v>2</v>
      </c>
      <c r="BA65" s="909">
        <f t="shared" ca="1" si="8"/>
        <v>210500</v>
      </c>
      <c r="BB65" s="917">
        <f ca="1">RANK(BC65,BC62:BC65,1)</f>
        <v>1</v>
      </c>
      <c r="BC65" s="917">
        <f ca="1">SUM(IF(AND(AJ65=AJ62,AQ65=AQ62,AO65=AO62),BD65,0),IF(AND(AJ65=AJ63,AQ65=AQ63,AO65=AO63),BE65,0),IF(AND(AJ65=AJ64,AQ65=AQ64,AO65=AO64),BF65,0))</f>
        <v>0</v>
      </c>
      <c r="BD65" s="917">
        <f t="array" aca="1" ref="BD65" ca="1">SUMIFS($K$60:$K$65,$I$60:$I$65,$AY65,$K$60:$K$65,"&lt;&gt;",$L$60:$L$65,"&lt;&gt;",$N$60:$N$65,BD61)+SUMIFS($L$60:$L$65,$I$60:$I$65,BD61,$K$60:$K$65,"&lt;&gt;",$L$60:$L$65,"&lt;&gt;",$N$60:$N$65,$AY65)</f>
        <v>2</v>
      </c>
      <c r="BE65" s="917">
        <f t="array" aca="1" ref="BE65" ca="1">SUMIFS($K$60:$K$65,$I$60:$I$65,$AY65,$K$60:$K$65,"&lt;&gt;",$L$60:$L$65,"&lt;&gt;",$N$60:$N$65,BE61)+SUMIFS($L$60:$L$65,$I$60:$I$65,BE61,$K$60:$K$65,"&lt;&gt;",$L$60:$L$65,"&lt;&gt;",$N$60:$N$65,$AY65)</f>
        <v>2</v>
      </c>
      <c r="BF65" s="917">
        <f t="array" aca="1" ref="BF65" ca="1">SUMIFS($K$60:$K$65,$I$60:$I$65,$AY65,$K$60:$K$65,"&lt;&gt;",$L$60:$L$65,"&lt;&gt;",$N$60:$N$65,BF61)+SUMIFS($L$60:$L$65,$I$60:$I$65,BF61,$K$60:$K$65,"&lt;&gt;",$L$60:$L$65,"&lt;&gt;",$N$60:$N$65,$AY65)</f>
        <v>0</v>
      </c>
      <c r="BG65" s="917">
        <v>0</v>
      </c>
      <c r="BH65" s="917">
        <f ca="1">RANK(BI65,BI62:BI65,1)</f>
        <v>1</v>
      </c>
      <c r="BI65" s="917">
        <f ca="1">SUM(IF(AND(AJ65=AJ62,AQ65=AQ62,AO65=AO62),BJ65,0),IF(AND(AJ65=AJ63,AQ65=AQ63,AO65=AO63),BK65,0),IF(AND(AJ65=AJ64,AQ65=AQ64,AO65=AO64),BL65,0))</f>
        <v>0</v>
      </c>
      <c r="BJ65" s="917">
        <f ca="1">BD65-BG62</f>
        <v>1</v>
      </c>
      <c r="BK65" s="917">
        <f ca="1">BE65-BG63</f>
        <v>-1</v>
      </c>
      <c r="BL65" s="917">
        <f ca="1">BF65-BG64</f>
        <v>0</v>
      </c>
      <c r="BM65" s="917">
        <v>0</v>
      </c>
      <c r="BN65" s="917">
        <f ca="1">RANK(BO65,BO62:BO65,1)</f>
        <v>1</v>
      </c>
      <c r="BO65" s="917">
        <f ca="1">SUM(IF(AND(AJ65=AJ62,AQ65=AQ62,AO65=AO62),BP65,0),IF(AND(AJ65=AJ63,AQ65=AQ63,AO65=AO63),BQ65,0),IF(AND(AJ65=AJ64,AQ65=AQ64,AO65=AO64),BR65,0))</f>
        <v>0</v>
      </c>
      <c r="BP65" s="917">
        <f t="array" aca="1" ref="BP65" ca="1">SUM((I$4:I$65=AY65)*(N$4:N$65=BP61)*(K$4:K$65&lt;&gt;"")*(L$4:L$65&lt;&gt;"")*(K$4:K$65&gt;L$4:L$65)*3,(N$4:N$65=AY65)*(I$4:I$65=BP61)*(K$4:K$65&lt;&gt;"")*(L$4:L$65&lt;&gt;"")*(K$4:K$65=L$4:L$65)*1,(N$4:N$65=AY65)*(I$4:I$65=BP61)*(K$4:K$65&lt;&gt;"")*(L$4:L$65&lt;&gt;"")*(K$4:K$65&lt;L$4:L$65)*3,(I$4:I$65=AY65)*(N$4:N$65=BP61)*(K$4:K$65&lt;&gt;"")*(L$4:L$65&lt;&gt;"")*(K$4:K$65=L$4:L$65)*1)</f>
        <v>3</v>
      </c>
      <c r="BQ65" s="917">
        <f t="array" aca="1" ref="BQ65" ca="1">SUM((I$4:I$65=AY65)*(N$4:N$65=BQ61)*(K$4:K$65&lt;&gt;"")*(L$4:L$65&lt;&gt;"")*(K$4:K$65&gt;L$4:L$65)*3,(N$4:N$65=AY65)*(I$4:I$65=BQ61)*(K$4:K$65&lt;&gt;"")*(L$4:L$65&lt;&gt;"")*(K$4:K$65=L$4:L$65)*1,(N$4:N$65=AY65)*(I$4:I$65=BQ61)*(K$4:K$65&lt;&gt;"")*(L$4:L$65&lt;&gt;"")*(K$4:K$65&lt;L$4:L$65)*3,(I$4:I$65=AY65)*(N$4:N$65=BQ61)*(K$4:K$65&lt;&gt;"")*(L$4:L$65&lt;&gt;"")*(K$4:K$65=L$4:L$65)*1)</f>
        <v>0</v>
      </c>
      <c r="BR65" s="917">
        <f t="array" aca="1" ref="BR65" ca="1">SUM((I$4:I$65=AY65)*(N$4:N$65=BR61)*(K$4:K$65&lt;&gt;"")*(L$4:L$65&lt;&gt;"")*(K$4:K$65&gt;L$4:L$65)*3,(N$4:N$65=AY65)*(I$4:I$65=BR61)*(K$4:K$65&lt;&gt;"")*(L$4:L$65&lt;&gt;"")*(K$4:K$65=L$4:L$65)*1,(N$4:N$65=AY65)*(I$4:I$65=BR61)*(K$4:K$65&lt;&gt;"")*(L$4:L$65&lt;&gt;"")*(K$4:K$65&lt;L$4:L$65)*3,(I$4:I$65=AY65)*(N$4:N$65=BR61)*(K$4:K$65&lt;&gt;"")*(L$4:L$65&lt;&gt;"")*(K$4:K$65=L$4:L$65)*1)</f>
        <v>1</v>
      </c>
      <c r="BS65" s="917">
        <v>0</v>
      </c>
      <c r="BT65" s="911">
        <v>4</v>
      </c>
      <c r="BU65" s="911">
        <f ca="1">RANK(BW65,$BW$62:$BW$65)</f>
        <v>2</v>
      </c>
      <c r="BV65" s="911" t="str">
        <f ca="1">A64</f>
        <v>Corea del Sur</v>
      </c>
      <c r="BW65" s="911">
        <f t="shared" ca="1" si="9"/>
        <v>4444212599.6800003</v>
      </c>
      <c r="BX65" s="911" t="str">
        <f ca="1">VLOOKUP(Q65,$AH$62:$AI$65,2,0)</f>
        <v>Ghana</v>
      </c>
      <c r="BY65" s="911">
        <f ca="1">VLOOKUP($BX65,$AI$62:$AR$65,10,FALSE)</f>
        <v>3333193099.6999998</v>
      </c>
      <c r="CA65" s="911">
        <v>4</v>
      </c>
      <c r="CB65" s="911" t="str">
        <f ca="1">VLOOKUP(CA65,$AH$62:$AI$65,2,0)</f>
        <v>Ghana</v>
      </c>
      <c r="CC65" s="911">
        <f ca="1">VLOOKUP(CB65,$AI$62:$AR$65,2,FALSE)</f>
        <v>3</v>
      </c>
      <c r="CD65" s="918">
        <f ca="1">IF(SUM($AK$62:$AK$65)=12,MIN(ABS(BY64-BY65),ABS(BY65-BY66)),100)</f>
        <v>1111018499.9899998</v>
      </c>
      <c r="CE65" s="911">
        <f ca="1">VLOOKUP($CB65,$AI$62:$AR$65,9,FALSE)</f>
        <v>-2</v>
      </c>
      <c r="CF65" s="911">
        <f ca="1">VLOOKUP($CB65,$AI$62:$AR$65,7,FALSE)</f>
        <v>5</v>
      </c>
      <c r="CH65" s="911">
        <f t="array" aca="1" ref="CH65" ca="1">IF($CI$62=$CL$61,$EC$61:$EC$64,IF(OR($CI$62=$CN$61,$CI$62=$CR$61),$EG$61:$EG$62,IF($CI$62=$CP$61,$EF$61:$EF$63,$EL$61)))</f>
        <v>4</v>
      </c>
      <c r="CK65" s="909">
        <v>4</v>
      </c>
      <c r="CL65" s="909">
        <f t="array" aca="1" ref="CL65" ca="1">IF(AND($CC$62:$CC$65=$CC$65,$CD$62:$CD$65&lt;90,$AQ$62:$AQ$65=$AQ$65,$CF$62:$CF$65=$CF$65),1,0)</f>
        <v>0</v>
      </c>
      <c r="CM65" s="909">
        <f t="array" aca="1" ref="CM65" ca="1">IF(AND($CC$62:$CC$64=$CC$62,$CD$62:$CD$64&lt;90,$CD$65&gt;90,$CC$62&lt;&gt;$CC$65),1,0)</f>
        <v>0</v>
      </c>
      <c r="CN65" s="909">
        <f t="array" aca="1" ref="CN65" ca="1">IF(AND($CC$64:$CC$65=$CC$64,$CD$64:$CD$65&lt;90,$CC$64&lt;&gt;$CC$63),1,0)</f>
        <v>0</v>
      </c>
      <c r="CO65" s="909">
        <f t="array" aca="1" ref="CO65" ca="1">IF(AND($CC$65&lt;&gt;$CC$63,$CC$65&lt;&gt;$CC$62),1,0)</f>
        <v>1</v>
      </c>
      <c r="CP65" s="909">
        <f t="array" aca="1" ref="CP65" ca="1">IF(AND($CC$63:$CC$65=$CC$63,$CD$63:$CD$65&lt;90,$CC$62&lt;&gt;$CC$65),1,0)</f>
        <v>0</v>
      </c>
      <c r="CQ65" s="909">
        <f t="array" aca="1" ref="CQ65" ca="1">IF(AND($CC$65&lt;&gt;$CC$63,$CC$65&lt;&gt;$CC$62),1,0)</f>
        <v>1</v>
      </c>
      <c r="CR65" s="909">
        <f t="array" aca="1" ref="CR65" ca="1">IF(AND($CC$64:$CC$65=$CC$64,$CD$64:$CD$65&lt;90,$CC$64&lt;&gt;$CC$63),1,0)</f>
        <v>0</v>
      </c>
      <c r="CS65" s="909">
        <f t="array" aca="1" ref="CS65" ca="1">IF(AND($CC$65&lt;&gt;$CC$63,$CC$65&lt;&gt;$CC$62),1,0)</f>
        <v>1</v>
      </c>
      <c r="CT65" s="909">
        <f t="array" aca="1" ref="CT65" ca="1">IF(AND($CC$62:$CC$65=$CC$62,$CD$62:$CD$65&lt;90,$CE$64:$CE$65=$CE$65,$CE$63&lt;&gt;$CE$65),1,0)</f>
        <v>0</v>
      </c>
      <c r="CU65" s="909">
        <f t="array" aca="1" ref="CU65" ca="1">IF(AND($CC$62:$CC$65=$CC$62,$CD$62:$CD$65&lt;90,$CE$62:$CE$65=$CE$62,$CF$64=$CF$65,$CF$63&lt;&gt;$CF$64),1,0)</f>
        <v>0</v>
      </c>
      <c r="CV65" s="909">
        <f t="array" aca="1" ref="CV65" ca="1">IF(AND($CC$62:$CC$64=$CC$62,$CD$62:$CD$63&lt;90,$CC$64&lt;&gt;$CC$65),1,0)</f>
        <v>0</v>
      </c>
      <c r="CW65" s="909">
        <f t="array" aca="1" ref="CW65" ca="1">IF(AND($CC$63&lt;&gt;$CC$62,$CC$63:$CC$65=$CC$64,$CD$63&gt;90,$CD$64:$CD$65&lt;90),1,0)</f>
        <v>0</v>
      </c>
      <c r="CX65" s="909">
        <f t="array" aca="1" ref="CX65" ca="1">IF(AND($CC$63&lt;&gt;$CC$62,$CC$63:$CC$65=$CC$63,$CD$65&gt;90,$CD$63:$CD$64&lt;90),1,0)</f>
        <v>0</v>
      </c>
      <c r="CY65" s="909">
        <f t="array" aca="1" ref="CY65" ca="1">IF(AND($CC$65&lt;&gt;$CC$63,$CC$65&lt;&gt;$CC$64),1,0)</f>
        <v>1</v>
      </c>
      <c r="CZ65" s="909">
        <f t="array" aca="1" ref="CZ65" ca="1">IF(AND($CC$62:$CC$65=$CC$63,$CD$63:$CD$65&lt;90,$CD$62&lt;&gt;$CD$65),1,0)</f>
        <v>0</v>
      </c>
      <c r="DA65" s="909">
        <f t="array" aca="1" ref="DA65" ca="1">IF(AND($CC$62:$CC$65=$CC$62,$CD$62:$CD$64&lt;90,$CD$64&lt;&gt;$CD$65),1,0)</f>
        <v>0</v>
      </c>
      <c r="DB65" s="909">
        <f t="array" aca="1" ref="DB65" ca="1">IF(AND($CC$62:$CC$65=$CC$65,$CD$62:$CD$63&gt;90,$CD$64:$CD$65&lt;90,$CE$62:$CE$65=$CE$65,$CF$62&gt;$CF$63,$CF$63&gt;$CF$65,$CF$64=$CF$65),1,0)</f>
        <v>0</v>
      </c>
      <c r="DC65" s="909">
        <f t="array" aca="1" ref="DC65" ca="1">IF(AND($CC$62:$CC$65=$CC$63,$CD$62&gt;90,$CD$63:$CD$64&lt;90,$CD$65&gt;90,$CE$62:$CE$65=$CE$65,$CF$62&gt;$CF$65,$CF$63=$CF$64,$CF$63&gt;$CF$65),1,0)</f>
        <v>0</v>
      </c>
      <c r="DD65" s="909">
        <f t="array" aca="1" ref="DD65" ca="1">IF(AND($CC$62:$CC$65=$CC$65,$CD$62:$CD$63&lt;90,$CD$64:$CD$65&gt;90,$CE$62:$CE$65=$CE$65,$CF$62=$CF$63,$CF$63&gt;$CF$64,$CF$64&gt;$CF$65),1,0)</f>
        <v>0</v>
      </c>
      <c r="DE65" s="909">
        <f t="array" aca="1" ref="DE65" ca="1">IF(AND($CC$62:$CC$65=$CC$65,$CD$62:$CD$63&gt;90,$CD$64:$CD$65&lt;90,$CE$62:$CE$65=$CE$65,$CF$62&gt;$CF$65,$CF$63:$CF$65=$CF$65),1,0)</f>
        <v>0</v>
      </c>
      <c r="DF65" s="909">
        <f t="array" aca="1" ref="DF65" ca="1">IF(AND($CC$62:$CC$65=$CC$65,$CD$62:$CD$63&lt;90,$CD$64:$CD$65&gt;90,$CE$62:$CE$65=$CE$65,$CF$62:$CF$64=$CF$64,$CF$62:$CF$64&gt;$CF$65),1,0)</f>
        <v>0</v>
      </c>
      <c r="DG65" s="909">
        <f t="array" aca="1" ref="DG65" ca="1">IF(AND($CC$62:$CC$65=$CC$65,$CD$62&gt;90,$CD$65&gt;90,$CD$63:$CD$64&lt;90,$CE$62:$CE$65=$CE$65,$CF$62&gt;$CF$63:$CF$65,$CF$63:$CF$65=$CF$65),1,0)</f>
        <v>0</v>
      </c>
      <c r="FI65" s="917"/>
      <c r="FK65" s="917"/>
      <c r="FM65" s="917"/>
      <c r="PP65" s="910"/>
      <c r="PQ65" s="910"/>
      <c r="PR65" s="910"/>
      <c r="PS65" s="910"/>
      <c r="PT65" s="910"/>
      <c r="PU65" s="910"/>
      <c r="PV65" s="910"/>
      <c r="PW65" s="910"/>
      <c r="PX65" s="910"/>
      <c r="PY65" s="910"/>
      <c r="PZ65" s="910"/>
      <c r="QA65" s="910"/>
      <c r="QB65" s="910"/>
      <c r="QC65" s="910"/>
      <c r="QD65" s="910"/>
      <c r="QE65" s="910"/>
      <c r="QF65" s="910"/>
      <c r="QG65" s="910"/>
      <c r="QH65" s="910"/>
      <c r="QI65" s="910"/>
      <c r="QJ65" s="910"/>
      <c r="QK65" s="910"/>
      <c r="QL65" s="910"/>
      <c r="QM65" s="910"/>
      <c r="QN65" s="910"/>
      <c r="QO65" s="910"/>
      <c r="QP65" s="910"/>
      <c r="QQ65" s="910"/>
      <c r="QR65" s="910"/>
      <c r="QS65" s="910"/>
      <c r="QT65" s="910"/>
      <c r="QU65" s="910"/>
      <c r="QV65" s="910"/>
      <c r="QW65" s="910"/>
      <c r="QX65" s="910"/>
      <c r="QY65" s="910"/>
      <c r="QZ65" s="910"/>
      <c r="RA65" s="910"/>
      <c r="RB65" s="910"/>
      <c r="RC65" s="910"/>
      <c r="RD65" s="910"/>
      <c r="RE65" s="910"/>
      <c r="RF65" s="910"/>
      <c r="RG65" s="910"/>
      <c r="RH65" s="910"/>
      <c r="RI65" s="910"/>
      <c r="RJ65" s="910"/>
      <c r="RK65" s="910"/>
      <c r="RL65" s="910"/>
      <c r="RM65" s="910"/>
      <c r="RN65" s="910"/>
      <c r="RO65" s="910"/>
      <c r="RP65" s="910"/>
      <c r="RQ65" s="910"/>
      <c r="RR65" s="910"/>
      <c r="RS65" s="910"/>
      <c r="RT65" s="910"/>
      <c r="RU65" s="910"/>
      <c r="RV65" s="910"/>
      <c r="RW65" s="910"/>
      <c r="RX65" s="910"/>
      <c r="RY65" s="910"/>
      <c r="RZ65" s="910"/>
      <c r="SA65" s="910"/>
      <c r="SB65" s="910"/>
      <c r="SC65" s="910"/>
      <c r="SD65" s="910"/>
      <c r="SE65" s="910"/>
      <c r="SF65" s="910"/>
      <c r="SG65" s="910"/>
      <c r="SH65" s="910"/>
      <c r="SI65" s="910"/>
      <c r="SJ65" s="910"/>
      <c r="SK65" s="910"/>
      <c r="SL65" s="910"/>
      <c r="SM65" s="910"/>
      <c r="SN65" s="910"/>
      <c r="SO65" s="910"/>
      <c r="SP65" s="910"/>
      <c r="SQ65" s="910"/>
      <c r="SR65" s="910"/>
      <c r="SS65" s="910"/>
      <c r="ST65" s="910"/>
      <c r="SU65" s="910"/>
      <c r="SV65" s="910"/>
      <c r="SW65" s="910"/>
      <c r="SX65" s="910"/>
      <c r="SY65" s="910"/>
      <c r="SZ65" s="910"/>
      <c r="TA65" s="910"/>
      <c r="TB65" s="910"/>
      <c r="TC65" s="910"/>
      <c r="TD65" s="910"/>
      <c r="TE65" s="910"/>
      <c r="TF65" s="910"/>
      <c r="TG65" s="910"/>
      <c r="TH65" s="910"/>
      <c r="TI65" s="910"/>
      <c r="TJ65" s="910"/>
      <c r="TK65" s="910"/>
      <c r="TL65" s="910"/>
      <c r="TM65" s="910"/>
      <c r="TN65" s="910"/>
      <c r="TO65" s="910"/>
      <c r="TP65" s="910"/>
      <c r="TQ65" s="910"/>
      <c r="TR65" s="910"/>
      <c r="TS65" s="910"/>
      <c r="TT65" s="910"/>
      <c r="TU65" s="910"/>
      <c r="TV65" s="910"/>
      <c r="TW65" s="910"/>
      <c r="TX65" s="910"/>
      <c r="TY65" s="910"/>
      <c r="TZ65" s="910"/>
      <c r="UA65" s="910"/>
      <c r="UB65" s="910"/>
      <c r="UC65" s="910"/>
      <c r="UD65" s="910"/>
      <c r="UE65" s="910"/>
      <c r="UF65" s="910"/>
      <c r="UG65" s="910"/>
      <c r="UH65" s="910"/>
      <c r="UI65" s="910"/>
      <c r="UJ65" s="910"/>
      <c r="UK65" s="910"/>
      <c r="UL65" s="910"/>
      <c r="UM65" s="910"/>
      <c r="UN65" s="910"/>
      <c r="UO65" s="910"/>
      <c r="UP65" s="910"/>
      <c r="UQ65" s="910"/>
      <c r="UR65" s="910"/>
      <c r="US65" s="910"/>
      <c r="UT65" s="910"/>
      <c r="UU65" s="910"/>
      <c r="UV65" s="910"/>
      <c r="UW65" s="910"/>
      <c r="UX65" s="910"/>
      <c r="UY65" s="910"/>
      <c r="UZ65" s="910"/>
      <c r="VA65" s="910"/>
      <c r="VB65" s="910"/>
      <c r="VC65" s="910"/>
      <c r="VD65" s="910"/>
      <c r="VE65" s="910"/>
      <c r="VF65" s="910"/>
      <c r="VG65" s="910"/>
      <c r="VH65" s="910"/>
      <c r="VI65" s="910"/>
      <c r="VJ65" s="910"/>
      <c r="VK65" s="910"/>
      <c r="VL65" s="910"/>
      <c r="VM65" s="910"/>
      <c r="VN65" s="910"/>
      <c r="VO65" s="910"/>
      <c r="VP65" s="910"/>
      <c r="VQ65" s="910"/>
      <c r="VR65" s="910"/>
      <c r="VS65" s="910"/>
      <c r="VT65" s="910"/>
      <c r="VU65" s="910"/>
      <c r="VV65" s="910"/>
      <c r="VW65" s="910"/>
      <c r="VX65" s="910"/>
      <c r="VY65" s="910"/>
      <c r="VZ65" s="910"/>
      <c r="WA65" s="910"/>
      <c r="WB65" s="910"/>
      <c r="WC65" s="910"/>
      <c r="WD65" s="910"/>
      <c r="WE65" s="910"/>
      <c r="WF65" s="910"/>
      <c r="WG65" s="910"/>
      <c r="WH65" s="910"/>
      <c r="WI65" s="910"/>
      <c r="WJ65" s="910"/>
      <c r="WK65" s="910"/>
      <c r="WL65" s="910"/>
      <c r="WM65" s="910"/>
      <c r="WN65" s="910"/>
      <c r="WO65" s="910"/>
      <c r="WP65" s="910"/>
      <c r="WQ65" s="910"/>
      <c r="WR65" s="910"/>
      <c r="WS65" s="910"/>
      <c r="WT65" s="910"/>
      <c r="WU65" s="910"/>
      <c r="WV65" s="910"/>
      <c r="WW65" s="910"/>
      <c r="WX65" s="910"/>
      <c r="WY65" s="910"/>
      <c r="WZ65" s="910"/>
      <c r="XA65" s="910"/>
      <c r="XB65" s="910"/>
      <c r="XC65" s="910"/>
      <c r="XD65" s="910"/>
      <c r="XE65" s="910"/>
      <c r="XF65" s="910"/>
      <c r="XG65" s="910"/>
      <c r="XH65" s="910"/>
      <c r="XI65" s="910"/>
      <c r="XJ65" s="910"/>
      <c r="XK65" s="910"/>
      <c r="XL65" s="910"/>
      <c r="XM65" s="910"/>
      <c r="XN65" s="910"/>
      <c r="XO65" s="910"/>
      <c r="XP65" s="910"/>
      <c r="XQ65" s="910"/>
      <c r="XR65" s="910"/>
      <c r="XS65" s="910"/>
      <c r="XT65" s="910"/>
      <c r="XU65" s="910"/>
      <c r="XV65" s="910"/>
      <c r="XW65" s="910"/>
      <c r="XX65" s="910"/>
      <c r="XY65" s="910"/>
      <c r="XZ65" s="910"/>
      <c r="YA65" s="910"/>
      <c r="YB65" s="910"/>
      <c r="YC65" s="910"/>
      <c r="YD65" s="910"/>
      <c r="YE65" s="910"/>
      <c r="YF65" s="910"/>
      <c r="YG65" s="910"/>
      <c r="YH65" s="910"/>
      <c r="YI65" s="910"/>
      <c r="YJ65" s="910"/>
      <c r="YK65" s="910"/>
      <c r="YL65" s="910"/>
      <c r="YM65" s="910"/>
      <c r="YN65" s="910"/>
      <c r="YO65" s="910"/>
      <c r="YP65" s="910"/>
      <c r="YQ65" s="910"/>
      <c r="YR65" s="910"/>
      <c r="YS65" s="910"/>
      <c r="YT65" s="910"/>
      <c r="YU65" s="910"/>
      <c r="YV65" s="910"/>
      <c r="YW65" s="910"/>
      <c r="YX65" s="910"/>
      <c r="YY65" s="910"/>
      <c r="YZ65" s="910"/>
      <c r="ZA65" s="910"/>
      <c r="ZB65" s="910"/>
      <c r="ZC65" s="910"/>
      <c r="ZD65" s="910"/>
      <c r="ZE65" s="910"/>
      <c r="ZF65" s="910"/>
      <c r="ZG65" s="910"/>
      <c r="ZH65" s="910"/>
      <c r="ZI65" s="910"/>
      <c r="ZJ65" s="910"/>
      <c r="ZK65" s="910"/>
      <c r="ZL65" s="910"/>
      <c r="ZM65" s="910"/>
      <c r="ZN65" s="910"/>
      <c r="ZO65" s="910"/>
      <c r="ZP65" s="910"/>
      <c r="ZQ65" s="910"/>
      <c r="ZR65" s="910"/>
      <c r="ZS65" s="910"/>
      <c r="ZT65" s="910"/>
      <c r="ZU65" s="910"/>
      <c r="ZV65" s="910"/>
      <c r="ZW65" s="910"/>
      <c r="ZX65" s="910"/>
      <c r="ZY65" s="910"/>
      <c r="ZZ65" s="910"/>
      <c r="AAA65" s="910"/>
      <c r="AAB65" s="910"/>
      <c r="AAC65" s="910"/>
      <c r="AAD65" s="910"/>
      <c r="AAE65" s="910"/>
      <c r="AAF65" s="910"/>
      <c r="AAG65" s="910"/>
      <c r="AAH65" s="910"/>
      <c r="AAI65" s="910"/>
      <c r="AAJ65" s="910"/>
      <c r="AAK65" s="910"/>
      <c r="AAL65" s="910"/>
      <c r="AAM65" s="910"/>
      <c r="AAN65" s="910"/>
      <c r="AAO65" s="910"/>
      <c r="AAP65" s="910"/>
      <c r="AAQ65" s="910"/>
      <c r="AAR65" s="910"/>
      <c r="AAS65" s="910"/>
      <c r="AAT65" s="910"/>
      <c r="AAU65" s="910"/>
      <c r="AAV65" s="910"/>
      <c r="AAW65" s="910"/>
      <c r="AAX65" s="910"/>
      <c r="AAY65" s="910"/>
      <c r="AAZ65" s="910"/>
      <c r="ABA65" s="910"/>
      <c r="ABB65" s="910"/>
      <c r="ABC65" s="910"/>
      <c r="ABD65" s="910"/>
      <c r="ABE65" s="910"/>
      <c r="ABF65" s="910"/>
      <c r="ABG65" s="910"/>
      <c r="ABH65" s="910"/>
      <c r="ABI65" s="910"/>
      <c r="ABJ65" s="910"/>
      <c r="ABK65" s="910"/>
      <c r="ABL65" s="910"/>
      <c r="ABM65" s="910"/>
      <c r="ABN65" s="910"/>
      <c r="ABO65" s="910"/>
      <c r="ABP65" s="910"/>
      <c r="ABQ65" s="910"/>
      <c r="ABR65" s="910"/>
      <c r="ABS65" s="910"/>
      <c r="ABT65" s="910"/>
      <c r="ABU65" s="910"/>
      <c r="ABV65" s="910"/>
      <c r="ABW65" s="910"/>
      <c r="ABX65" s="910"/>
      <c r="ABY65" s="910"/>
      <c r="ABZ65" s="910"/>
      <c r="ACA65" s="910"/>
      <c r="ACB65" s="910"/>
      <c r="ACC65" s="910"/>
      <c r="ACD65" s="910"/>
      <c r="ACE65" s="910"/>
      <c r="ACF65" s="910"/>
      <c r="ACG65" s="910"/>
      <c r="ACH65" s="910"/>
      <c r="ACI65" s="910"/>
      <c r="ACJ65" s="910"/>
      <c r="ACK65" s="910"/>
      <c r="ACL65" s="910"/>
      <c r="ACM65" s="910"/>
      <c r="ACN65" s="910"/>
      <c r="ACO65" s="910"/>
      <c r="ACP65" s="910"/>
      <c r="ACQ65" s="910"/>
      <c r="ACR65" s="910"/>
      <c r="ACS65" s="910"/>
      <c r="ACT65" s="910"/>
      <c r="ACU65" s="910"/>
      <c r="ACV65" s="910"/>
      <c r="ACW65" s="910"/>
      <c r="ACX65" s="910"/>
      <c r="ACY65" s="910"/>
      <c r="ACZ65" s="910"/>
      <c r="ADA65" s="910"/>
      <c r="ADB65" s="910"/>
      <c r="ADC65" s="910"/>
      <c r="ADD65" s="910"/>
      <c r="ADE65" s="910"/>
      <c r="ADF65" s="910"/>
      <c r="ADG65" s="910"/>
      <c r="ADH65" s="910"/>
      <c r="ADI65" s="910"/>
      <c r="ADJ65" s="910"/>
      <c r="ADK65" s="910"/>
      <c r="ADL65" s="910"/>
      <c r="ADM65" s="910"/>
      <c r="ADN65" s="910"/>
      <c r="ADO65" s="910"/>
      <c r="ADP65" s="910"/>
      <c r="ADQ65" s="910"/>
      <c r="ADR65" s="910"/>
      <c r="ADS65" s="910"/>
      <c r="ADT65" s="910"/>
      <c r="ADU65" s="910"/>
      <c r="ADV65" s="910"/>
      <c r="ADW65" s="910"/>
      <c r="ADX65" s="910"/>
      <c r="ADY65" s="910"/>
      <c r="ADZ65" s="910"/>
      <c r="AEA65" s="910"/>
      <c r="AEB65" s="910"/>
      <c r="AEC65" s="910"/>
      <c r="AED65" s="910"/>
      <c r="AEE65" s="910"/>
      <c r="AEF65" s="910"/>
      <c r="AEG65" s="910"/>
      <c r="AEH65" s="910"/>
      <c r="AEI65" s="910"/>
      <c r="AEJ65" s="910"/>
      <c r="AEK65" s="910"/>
      <c r="AEL65" s="910"/>
      <c r="AEM65" s="910"/>
      <c r="AEN65" s="910"/>
      <c r="AEO65" s="910"/>
      <c r="AEP65" s="910"/>
      <c r="AEQ65" s="910"/>
      <c r="AER65" s="910"/>
      <c r="AES65" s="910"/>
      <c r="AET65" s="910"/>
      <c r="AEU65" s="910"/>
      <c r="AEV65" s="910"/>
      <c r="AEW65" s="910"/>
      <c r="AEX65" s="910"/>
      <c r="AEY65" s="910"/>
      <c r="AEZ65" s="910"/>
      <c r="AFA65" s="910"/>
      <c r="AFB65" s="910"/>
      <c r="AFC65" s="910"/>
      <c r="AFD65" s="910"/>
      <c r="AFE65" s="910"/>
      <c r="AFF65" s="910"/>
      <c r="AFG65" s="910"/>
      <c r="AFH65" s="910"/>
      <c r="AFI65" s="910"/>
      <c r="AFJ65" s="910"/>
      <c r="AFK65" s="910"/>
      <c r="AFL65" s="910"/>
      <c r="AFM65" s="910"/>
      <c r="AFN65" s="910"/>
      <c r="AFO65" s="910"/>
      <c r="AFP65" s="910"/>
      <c r="AFQ65" s="910"/>
      <c r="AFR65" s="910"/>
      <c r="AFS65" s="910"/>
      <c r="AFT65" s="910"/>
      <c r="AFU65" s="910"/>
      <c r="AFV65" s="910"/>
      <c r="AFW65" s="910"/>
      <c r="AFX65" s="910"/>
      <c r="AFY65" s="910"/>
      <c r="AFZ65" s="910"/>
      <c r="AGA65" s="910"/>
      <c r="AGB65" s="910"/>
      <c r="AGC65" s="910"/>
      <c r="AGD65" s="910"/>
      <c r="AGE65" s="910"/>
      <c r="AGF65" s="910"/>
      <c r="AGG65" s="910"/>
      <c r="AGH65" s="910"/>
      <c r="AGI65" s="910"/>
      <c r="AGJ65" s="910"/>
      <c r="AGK65" s="910"/>
      <c r="AGL65" s="910"/>
      <c r="AGM65" s="910"/>
      <c r="AGN65" s="910"/>
      <c r="AGO65" s="910"/>
      <c r="AGP65" s="910"/>
      <c r="AGQ65" s="910"/>
      <c r="AGR65" s="910"/>
      <c r="AGS65" s="910"/>
      <c r="AGT65" s="910"/>
      <c r="AGU65" s="910"/>
      <c r="AGV65" s="910"/>
      <c r="AGW65" s="910"/>
      <c r="AGX65" s="910"/>
      <c r="AGY65" s="910"/>
      <c r="AGZ65" s="910"/>
      <c r="AHA65" s="910"/>
      <c r="AHB65" s="910"/>
      <c r="AHC65" s="910"/>
      <c r="AHD65" s="910"/>
      <c r="AHE65" s="910"/>
      <c r="AHF65" s="910"/>
      <c r="AHG65" s="910"/>
      <c r="AHH65" s="910"/>
      <c r="AHI65" s="910"/>
      <c r="AHJ65" s="910"/>
      <c r="AHK65" s="910"/>
      <c r="AHL65" s="910"/>
      <c r="AHM65" s="910"/>
      <c r="AHN65" s="910"/>
      <c r="AHO65" s="910"/>
      <c r="AHP65" s="910"/>
      <c r="AHQ65" s="910"/>
      <c r="AHR65" s="910"/>
      <c r="AHS65" s="910"/>
      <c r="AHT65" s="910"/>
      <c r="AHU65" s="910"/>
      <c r="AHV65" s="910"/>
      <c r="AHW65" s="910"/>
      <c r="AHX65" s="910"/>
      <c r="AHY65" s="910"/>
      <c r="AHZ65" s="910"/>
      <c r="AIA65" s="910"/>
      <c r="AIB65" s="910"/>
      <c r="AIC65" s="910"/>
      <c r="AID65" s="910"/>
      <c r="AIE65" s="910"/>
      <c r="AIF65" s="910"/>
      <c r="AIG65" s="910"/>
      <c r="AIH65" s="910"/>
      <c r="AII65" s="910"/>
      <c r="AIJ65" s="910"/>
      <c r="AIK65" s="910"/>
      <c r="AIL65" s="910"/>
      <c r="AIM65" s="910"/>
      <c r="AIN65" s="910"/>
      <c r="AIO65" s="910"/>
      <c r="AIP65" s="910"/>
      <c r="AIQ65" s="910"/>
      <c r="AIR65" s="910"/>
      <c r="AIS65" s="910"/>
      <c r="AIT65" s="910"/>
      <c r="AIU65" s="910"/>
      <c r="AIV65" s="910"/>
      <c r="AIW65" s="910"/>
      <c r="AIX65" s="910"/>
      <c r="AIY65" s="910"/>
      <c r="AIZ65" s="910"/>
      <c r="AJA65" s="910"/>
      <c r="AJB65" s="910"/>
      <c r="AJC65" s="910"/>
      <c r="AJD65" s="910"/>
      <c r="AJE65" s="910"/>
      <c r="AJF65" s="910"/>
      <c r="AJG65" s="910"/>
      <c r="AJH65" s="910"/>
      <c r="AJI65" s="910"/>
      <c r="AJJ65" s="910"/>
      <c r="AJK65" s="910"/>
      <c r="AJL65" s="910"/>
      <c r="AJM65" s="910"/>
      <c r="AJN65" s="910"/>
      <c r="AJO65" s="910"/>
      <c r="AJP65" s="910"/>
      <c r="AJQ65" s="910"/>
      <c r="AJR65" s="910"/>
      <c r="AJS65" s="910"/>
      <c r="AJT65" s="910"/>
      <c r="AJU65" s="910"/>
      <c r="AJV65" s="910"/>
      <c r="AJW65" s="910"/>
      <c r="AJX65" s="910"/>
      <c r="AJY65" s="910"/>
      <c r="AJZ65" s="910"/>
      <c r="AKA65" s="910"/>
      <c r="AKB65" s="910"/>
      <c r="AKC65" s="910"/>
      <c r="AKD65" s="910"/>
      <c r="AKE65" s="910"/>
      <c r="AKF65" s="910"/>
      <c r="AKG65" s="910"/>
      <c r="AKH65" s="910"/>
      <c r="AKI65" s="910"/>
      <c r="AKJ65" s="910"/>
      <c r="AKK65" s="910"/>
      <c r="AKL65" s="910"/>
      <c r="AKM65" s="910"/>
      <c r="AKN65" s="910"/>
      <c r="AKO65" s="910"/>
      <c r="AKP65" s="910"/>
      <c r="AKQ65" s="910"/>
      <c r="AKR65" s="910"/>
      <c r="AKS65" s="910"/>
      <c r="AKT65" s="910"/>
      <c r="AKU65" s="910"/>
      <c r="AKV65" s="910"/>
      <c r="AKW65" s="910"/>
      <c r="AKX65" s="910"/>
      <c r="AKY65" s="910"/>
      <c r="AKZ65" s="910"/>
      <c r="ALA65" s="910"/>
      <c r="ALB65" s="910"/>
      <c r="ALC65" s="910"/>
      <c r="ALD65" s="910"/>
      <c r="ALE65" s="910"/>
      <c r="ALF65" s="910"/>
      <c r="ALG65" s="910"/>
      <c r="ALH65" s="910"/>
      <c r="ALI65" s="910"/>
      <c r="ALJ65" s="910"/>
      <c r="ALK65" s="910"/>
      <c r="ALL65" s="910"/>
      <c r="ALM65" s="910"/>
      <c r="ALN65" s="910"/>
      <c r="ALO65" s="910"/>
      <c r="ALP65" s="910"/>
      <c r="ALQ65" s="910"/>
      <c r="ALR65" s="910"/>
      <c r="ALS65" s="910"/>
      <c r="ALT65" s="910"/>
      <c r="ALU65" s="910"/>
      <c r="ALV65" s="910"/>
      <c r="ALW65" s="910"/>
      <c r="ALX65" s="910"/>
      <c r="ALY65" s="910"/>
      <c r="ALZ65" s="910"/>
      <c r="AMA65" s="910"/>
      <c r="AMB65" s="910"/>
      <c r="AMC65" s="910"/>
      <c r="AMD65" s="910"/>
      <c r="AME65" s="910"/>
      <c r="AMF65" s="910"/>
      <c r="AMG65" s="910"/>
      <c r="AMH65" s="910"/>
      <c r="AMI65" s="910"/>
      <c r="AMJ65" s="910"/>
      <c r="AMK65" s="910"/>
      <c r="AML65" s="910"/>
      <c r="AMM65" s="910"/>
      <c r="AMN65" s="910"/>
      <c r="AMO65" s="910"/>
      <c r="AMP65" s="910"/>
      <c r="AMQ65" s="910"/>
      <c r="AMR65" s="910"/>
      <c r="AMS65" s="910"/>
      <c r="AMT65" s="910"/>
      <c r="AMU65" s="910"/>
      <c r="AMV65" s="910"/>
      <c r="AMW65" s="910"/>
      <c r="AMX65" s="910"/>
      <c r="AMY65" s="910"/>
      <c r="AMZ65" s="910"/>
      <c r="ANA65" s="910"/>
      <c r="ANB65" s="910"/>
      <c r="ANC65" s="910"/>
      <c r="AND65" s="910"/>
      <c r="ANE65" s="910"/>
      <c r="ANF65" s="910"/>
      <c r="ANG65" s="910"/>
      <c r="ANH65" s="910"/>
      <c r="ANI65" s="910"/>
      <c r="ANJ65" s="910"/>
      <c r="ANK65" s="910"/>
      <c r="ANL65" s="910"/>
      <c r="ANM65" s="910"/>
      <c r="ANN65" s="910"/>
      <c r="ANO65" s="910"/>
      <c r="ANP65" s="910"/>
      <c r="ANQ65" s="910"/>
      <c r="ANR65" s="910"/>
      <c r="ANS65" s="910"/>
      <c r="ANT65" s="910"/>
      <c r="ANU65" s="910"/>
      <c r="ANV65" s="910"/>
      <c r="ANW65" s="910"/>
      <c r="ANX65" s="910"/>
      <c r="ANY65" s="910"/>
      <c r="ANZ65" s="910"/>
      <c r="AOA65" s="910"/>
      <c r="AOB65" s="910"/>
      <c r="AOC65" s="910"/>
      <c r="AOD65" s="910"/>
      <c r="AOE65" s="910"/>
      <c r="AOF65" s="910"/>
      <c r="AOG65" s="910"/>
      <c r="AOH65" s="910"/>
      <c r="AOI65" s="910"/>
      <c r="AOJ65" s="910"/>
      <c r="AOK65" s="910"/>
      <c r="AOL65" s="910"/>
      <c r="AOM65" s="910"/>
      <c r="AON65" s="910"/>
      <c r="AOO65" s="910"/>
      <c r="AOP65" s="910"/>
      <c r="AOQ65" s="910"/>
      <c r="AOR65" s="910"/>
      <c r="AOS65" s="910"/>
      <c r="AOT65" s="910"/>
      <c r="AOU65" s="910"/>
      <c r="AOV65" s="910"/>
      <c r="AOW65" s="910"/>
      <c r="AOX65" s="910"/>
      <c r="AOY65" s="910"/>
      <c r="AOZ65" s="910"/>
      <c r="APA65" s="910"/>
      <c r="APB65" s="910"/>
      <c r="APC65" s="910"/>
      <c r="APD65" s="910"/>
      <c r="APE65" s="910"/>
      <c r="APF65" s="910"/>
      <c r="APG65" s="910"/>
      <c r="APH65" s="910"/>
      <c r="API65" s="910"/>
      <c r="APJ65" s="910"/>
      <c r="APK65" s="910"/>
      <c r="APL65" s="910"/>
      <c r="APM65" s="910"/>
      <c r="APN65" s="910"/>
      <c r="APO65" s="910"/>
      <c r="APP65" s="910"/>
      <c r="APQ65" s="910"/>
      <c r="APR65" s="910"/>
      <c r="APS65" s="910"/>
      <c r="APT65" s="910"/>
      <c r="APU65" s="910"/>
      <c r="APV65" s="910"/>
      <c r="APW65" s="910"/>
      <c r="APX65" s="910"/>
      <c r="APY65" s="910"/>
      <c r="APZ65" s="910"/>
      <c r="AQA65" s="910"/>
      <c r="AQB65" s="910"/>
      <c r="AQC65" s="910"/>
      <c r="AQD65" s="910"/>
      <c r="AQE65" s="910"/>
      <c r="AQF65" s="910"/>
      <c r="AQG65" s="910"/>
      <c r="AQH65" s="910"/>
      <c r="AQI65" s="910"/>
      <c r="AQJ65" s="910"/>
      <c r="AQK65" s="910"/>
      <c r="AQL65" s="910"/>
      <c r="AQM65" s="910"/>
      <c r="AQN65" s="910"/>
      <c r="AQO65" s="910"/>
      <c r="AQP65" s="910"/>
      <c r="AQQ65" s="910"/>
      <c r="AQR65" s="910"/>
      <c r="AQS65" s="910"/>
      <c r="AQT65" s="910"/>
      <c r="AQU65" s="910"/>
      <c r="AQV65" s="910"/>
      <c r="AQW65" s="910"/>
      <c r="AQX65" s="910"/>
      <c r="AQY65" s="910"/>
      <c r="AQZ65" s="910"/>
      <c r="ARA65" s="910"/>
      <c r="ARB65" s="910"/>
      <c r="ARC65" s="910"/>
      <c r="ARD65" s="910"/>
      <c r="ARE65" s="910"/>
      <c r="ARF65" s="910"/>
      <c r="ARG65" s="910"/>
      <c r="ARH65" s="910"/>
      <c r="ARI65" s="910"/>
      <c r="ARJ65" s="910"/>
      <c r="ARK65" s="910"/>
      <c r="ARL65" s="910"/>
      <c r="ARM65" s="910"/>
      <c r="ARN65" s="910"/>
      <c r="ARO65" s="910"/>
      <c r="ARP65" s="910"/>
      <c r="ARQ65" s="910"/>
      <c r="ARR65" s="910"/>
      <c r="ARS65" s="910"/>
      <c r="ART65" s="910"/>
      <c r="ARU65" s="910"/>
      <c r="ARV65" s="910"/>
      <c r="ARW65" s="910"/>
      <c r="ARX65" s="910"/>
      <c r="ARY65" s="910"/>
      <c r="ARZ65" s="910"/>
      <c r="ASA65" s="910"/>
      <c r="ASB65" s="910"/>
      <c r="ASC65" s="910"/>
      <c r="ASD65" s="910"/>
      <c r="ASE65" s="910"/>
      <c r="ASF65" s="910"/>
      <c r="ASG65" s="910"/>
      <c r="ASH65" s="910"/>
      <c r="ASI65" s="910"/>
      <c r="ASJ65" s="910"/>
      <c r="ASK65" s="910"/>
      <c r="ASL65" s="910"/>
      <c r="ASM65" s="910"/>
      <c r="ASN65" s="910"/>
      <c r="ASO65" s="910"/>
      <c r="ASP65" s="910"/>
      <c r="ASQ65" s="910"/>
      <c r="ASR65" s="910"/>
      <c r="ASS65" s="910"/>
      <c r="AST65" s="910"/>
      <c r="ASU65" s="910"/>
      <c r="ASV65" s="910"/>
      <c r="ASW65" s="910"/>
      <c r="ASX65" s="910"/>
      <c r="ASY65" s="910"/>
      <c r="ASZ65" s="910"/>
      <c r="ATA65" s="910"/>
      <c r="ATB65" s="910"/>
      <c r="ATC65" s="910"/>
      <c r="ATD65" s="910"/>
      <c r="ATE65" s="910"/>
      <c r="ATF65" s="910"/>
      <c r="ATG65" s="910"/>
      <c r="ATH65" s="910"/>
      <c r="ATI65" s="910"/>
      <c r="ATJ65" s="910"/>
      <c r="ATK65" s="910"/>
      <c r="ATL65" s="910"/>
      <c r="ATM65" s="910"/>
      <c r="ATN65" s="910"/>
      <c r="ATO65" s="910"/>
      <c r="ATP65" s="910"/>
      <c r="ATQ65" s="910"/>
      <c r="ATR65" s="910"/>
      <c r="ATS65" s="910"/>
      <c r="ATT65" s="910"/>
      <c r="ATU65" s="910"/>
      <c r="ATV65" s="910"/>
      <c r="ATW65" s="910"/>
      <c r="ATX65" s="910"/>
      <c r="ATY65" s="910"/>
      <c r="ATZ65" s="910"/>
      <c r="AUA65" s="910"/>
      <c r="AUB65" s="910"/>
      <c r="AUC65" s="910"/>
      <c r="AUD65" s="910"/>
      <c r="AUE65" s="910"/>
      <c r="AUF65" s="910"/>
      <c r="AUG65" s="910"/>
      <c r="AUH65" s="910"/>
      <c r="AUI65" s="910"/>
      <c r="AUJ65" s="910"/>
      <c r="AUK65" s="910"/>
      <c r="AUL65" s="910"/>
      <c r="AUM65" s="910"/>
      <c r="AUN65" s="910"/>
      <c r="AUO65" s="910"/>
      <c r="AUP65" s="910"/>
      <c r="AUQ65" s="910"/>
      <c r="AUR65" s="910"/>
      <c r="AUS65" s="910"/>
      <c r="AUT65" s="910"/>
      <c r="AUU65" s="910"/>
      <c r="AUV65" s="910"/>
      <c r="AUW65" s="910"/>
      <c r="AUX65" s="910"/>
      <c r="AUY65" s="910"/>
      <c r="AUZ65" s="910"/>
      <c r="AVA65" s="910"/>
      <c r="AVB65" s="910"/>
      <c r="AVC65" s="910"/>
      <c r="AVD65" s="910"/>
      <c r="AVE65" s="910"/>
      <c r="AVF65" s="910"/>
      <c r="AVG65" s="910"/>
      <c r="AVH65" s="910"/>
      <c r="AVI65" s="910"/>
      <c r="AVJ65" s="910"/>
      <c r="AVK65" s="910"/>
      <c r="AVL65" s="910"/>
      <c r="AVM65" s="910"/>
      <c r="AVN65" s="910"/>
      <c r="AVO65" s="910"/>
      <c r="AVP65" s="910"/>
      <c r="AVQ65" s="910"/>
      <c r="AVR65" s="910"/>
      <c r="AVS65" s="910"/>
      <c r="AVT65" s="910"/>
      <c r="AVU65" s="910"/>
      <c r="AVV65" s="910"/>
      <c r="AVW65" s="910"/>
      <c r="AVX65" s="910"/>
      <c r="AVY65" s="910"/>
      <c r="AVZ65" s="910"/>
      <c r="AWA65" s="910"/>
      <c r="AWB65" s="910"/>
      <c r="AWC65" s="910"/>
      <c r="AWD65" s="910"/>
      <c r="AWE65" s="910"/>
      <c r="AWF65" s="910"/>
      <c r="AWG65" s="910"/>
      <c r="AWH65" s="910"/>
      <c r="AWI65" s="910"/>
      <c r="AWJ65" s="910"/>
      <c r="AWK65" s="910"/>
      <c r="AWL65" s="910"/>
      <c r="AWM65" s="910"/>
      <c r="AWN65" s="910"/>
      <c r="AWO65" s="910"/>
      <c r="AWP65" s="910"/>
      <c r="AWQ65" s="910"/>
      <c r="AWR65" s="910"/>
      <c r="AWS65" s="910"/>
      <c r="AWT65" s="910"/>
      <c r="AWU65" s="910"/>
      <c r="AWV65" s="910"/>
      <c r="AWW65" s="910"/>
      <c r="AWX65" s="910"/>
      <c r="AWY65" s="910"/>
      <c r="AWZ65" s="910"/>
      <c r="AXA65" s="910"/>
      <c r="AXB65" s="910"/>
      <c r="AXC65" s="910"/>
      <c r="AXD65" s="910"/>
      <c r="AXE65" s="910"/>
      <c r="AXF65" s="910"/>
      <c r="AXG65" s="910"/>
      <c r="AXH65" s="910"/>
      <c r="AXI65" s="910"/>
      <c r="AXJ65" s="910"/>
      <c r="AXK65" s="910"/>
      <c r="AXL65" s="910"/>
      <c r="AXM65" s="910"/>
      <c r="AXN65" s="910"/>
      <c r="AXO65" s="910"/>
      <c r="AXP65" s="910"/>
      <c r="AXQ65" s="910"/>
      <c r="AXR65" s="910"/>
      <c r="AXS65" s="910"/>
      <c r="AXT65" s="910"/>
      <c r="AXU65" s="910"/>
      <c r="AXV65" s="910"/>
      <c r="AXW65" s="910"/>
      <c r="AXX65" s="910"/>
      <c r="AXY65" s="910"/>
      <c r="AXZ65" s="910"/>
      <c r="AYA65" s="910"/>
      <c r="AYB65" s="910"/>
      <c r="AYC65" s="910"/>
      <c r="AYD65" s="910"/>
      <c r="AYE65" s="910"/>
      <c r="AYF65" s="910"/>
      <c r="AYG65" s="910"/>
      <c r="AYH65" s="910"/>
      <c r="AYI65" s="910"/>
      <c r="AYJ65" s="910"/>
      <c r="AYK65" s="910"/>
      <c r="AYL65" s="910"/>
      <c r="AYM65" s="910"/>
      <c r="AYN65" s="910"/>
      <c r="AYO65" s="910"/>
      <c r="AYP65" s="910"/>
      <c r="AYQ65" s="910"/>
      <c r="AYR65" s="910"/>
      <c r="AYS65" s="910"/>
      <c r="AYT65" s="910"/>
      <c r="AYU65" s="910"/>
      <c r="AYV65" s="910"/>
      <c r="AYW65" s="910"/>
      <c r="AYX65" s="910"/>
      <c r="AYY65" s="910"/>
      <c r="AYZ65" s="910"/>
      <c r="AZA65" s="910"/>
      <c r="AZB65" s="910"/>
      <c r="AZC65" s="910"/>
      <c r="AZD65" s="910"/>
      <c r="AZE65" s="910"/>
      <c r="AZF65" s="910"/>
      <c r="AZG65" s="910"/>
      <c r="AZH65" s="910"/>
      <c r="AZI65" s="910"/>
      <c r="AZJ65" s="910"/>
      <c r="AZK65" s="910"/>
      <c r="AZL65" s="910"/>
      <c r="AZM65" s="910"/>
      <c r="AZN65" s="910"/>
      <c r="AZO65" s="910"/>
      <c r="AZP65" s="910"/>
      <c r="AZQ65" s="910"/>
      <c r="AZR65" s="910"/>
      <c r="AZS65" s="910"/>
      <c r="AZT65" s="910"/>
      <c r="AZU65" s="910"/>
      <c r="AZV65" s="910"/>
      <c r="AZW65" s="910"/>
      <c r="AZX65" s="910"/>
      <c r="AZY65" s="910"/>
      <c r="AZZ65" s="910"/>
      <c r="BAA65" s="910"/>
      <c r="BAB65" s="910"/>
      <c r="BAC65" s="910"/>
      <c r="BAD65" s="910"/>
      <c r="BAE65" s="910"/>
      <c r="BAF65" s="910"/>
      <c r="BAG65" s="910"/>
      <c r="BAH65" s="910"/>
      <c r="BAI65" s="910"/>
      <c r="BAJ65" s="910"/>
      <c r="BAK65" s="910"/>
      <c r="BAL65" s="910"/>
      <c r="BAM65" s="910"/>
      <c r="BAN65" s="910"/>
      <c r="BAO65" s="910"/>
      <c r="BAP65" s="910"/>
      <c r="BAQ65" s="910"/>
      <c r="BAR65" s="910"/>
      <c r="BAS65" s="910"/>
      <c r="BAT65" s="910"/>
      <c r="BAU65" s="910"/>
      <c r="BAV65" s="910"/>
      <c r="BAW65" s="910"/>
      <c r="BAX65" s="910"/>
      <c r="BAY65" s="910"/>
      <c r="BAZ65" s="910"/>
      <c r="BBA65" s="910"/>
      <c r="BBB65" s="910"/>
      <c r="BBC65" s="910"/>
      <c r="BBD65" s="910"/>
      <c r="BBE65" s="910"/>
      <c r="BBF65" s="910"/>
      <c r="BBG65" s="910"/>
      <c r="BBH65" s="910"/>
      <c r="BBI65" s="910"/>
      <c r="BBJ65" s="910"/>
      <c r="BBK65" s="910"/>
      <c r="BBL65" s="910"/>
      <c r="BBM65" s="910"/>
      <c r="BBN65" s="910"/>
      <c r="BBO65" s="910"/>
      <c r="BBP65" s="910"/>
      <c r="BBQ65" s="910"/>
      <c r="BBR65" s="910"/>
      <c r="BBS65" s="910"/>
      <c r="BBT65" s="910"/>
      <c r="BBU65" s="910"/>
      <c r="BBV65" s="910"/>
      <c r="BBW65" s="910"/>
      <c r="BBX65" s="910"/>
      <c r="BBY65" s="910"/>
      <c r="BBZ65" s="910"/>
      <c r="BCA65" s="910"/>
      <c r="BCB65" s="910"/>
      <c r="BCC65" s="910"/>
      <c r="BCD65" s="910"/>
      <c r="BCE65" s="910"/>
      <c r="BCF65" s="910"/>
      <c r="BCG65" s="910"/>
      <c r="BCH65" s="910"/>
      <c r="BCI65" s="910"/>
      <c r="BCJ65" s="910"/>
      <c r="BCK65" s="910"/>
      <c r="BCL65" s="910"/>
      <c r="BCM65" s="910"/>
      <c r="BCN65" s="910"/>
      <c r="BCO65" s="910"/>
      <c r="BCP65" s="910"/>
      <c r="BCQ65" s="910"/>
      <c r="BCR65" s="910"/>
      <c r="BCS65" s="910"/>
      <c r="BCT65" s="910"/>
      <c r="BCU65" s="910"/>
      <c r="BCV65" s="910"/>
      <c r="BCW65" s="910"/>
      <c r="BCX65" s="910"/>
      <c r="BCY65" s="910"/>
      <c r="BCZ65" s="910"/>
      <c r="BDA65" s="910"/>
      <c r="BDB65" s="910"/>
      <c r="BDC65" s="910"/>
      <c r="BDD65" s="910"/>
      <c r="BDE65" s="910"/>
      <c r="BDF65" s="910"/>
      <c r="BDG65" s="910"/>
      <c r="BDH65" s="910"/>
      <c r="BDI65" s="910"/>
      <c r="BDJ65" s="910"/>
      <c r="BDK65" s="910"/>
      <c r="BDL65" s="910"/>
      <c r="BDM65" s="910"/>
      <c r="BDN65" s="910"/>
      <c r="BDO65" s="910"/>
      <c r="BDP65" s="910"/>
      <c r="BDQ65" s="910"/>
      <c r="BDR65" s="910"/>
      <c r="BDS65" s="910"/>
      <c r="BDT65" s="910"/>
      <c r="BDU65" s="910"/>
      <c r="BDV65" s="910"/>
      <c r="BDW65" s="910"/>
      <c r="BDX65" s="910"/>
      <c r="BDY65" s="910"/>
      <c r="BDZ65" s="910"/>
      <c r="BEA65" s="910"/>
      <c r="BEB65" s="910"/>
      <c r="BEC65" s="910"/>
      <c r="BED65" s="910"/>
      <c r="BEE65" s="910"/>
      <c r="BEF65" s="910"/>
      <c r="BEG65" s="910"/>
      <c r="BEH65" s="910"/>
      <c r="BEI65" s="910"/>
      <c r="BEJ65" s="910"/>
      <c r="BEK65" s="910"/>
      <c r="BEL65" s="910"/>
      <c r="BEM65" s="910"/>
      <c r="BEN65" s="910"/>
      <c r="BEO65" s="910"/>
      <c r="BEP65" s="910"/>
      <c r="BEQ65" s="910"/>
      <c r="BER65" s="910"/>
      <c r="BES65" s="910"/>
      <c r="BET65" s="910"/>
      <c r="BEU65" s="910"/>
      <c r="BEV65" s="910"/>
      <c r="BEW65" s="910"/>
      <c r="BEX65" s="910"/>
      <c r="BEY65" s="910"/>
      <c r="BEZ65" s="910"/>
      <c r="BFA65" s="910"/>
      <c r="BFB65" s="910"/>
      <c r="BFC65" s="910"/>
      <c r="BFD65" s="910"/>
      <c r="BFE65" s="910"/>
      <c r="BFF65" s="910"/>
      <c r="BFG65" s="910"/>
      <c r="BFH65" s="910"/>
      <c r="BFI65" s="910"/>
      <c r="BFJ65" s="910"/>
      <c r="BFK65" s="910"/>
      <c r="BFL65" s="910"/>
      <c r="BFM65" s="910"/>
      <c r="BFN65" s="910"/>
      <c r="BFO65" s="910"/>
      <c r="BFP65" s="910"/>
      <c r="BFQ65" s="910"/>
      <c r="BFR65" s="910"/>
      <c r="BFS65" s="910"/>
      <c r="BFT65" s="910"/>
      <c r="BFU65" s="910"/>
      <c r="BFV65" s="910"/>
      <c r="BFW65" s="910"/>
      <c r="BFX65" s="910"/>
      <c r="BFY65" s="910"/>
      <c r="BFZ65" s="910"/>
      <c r="BGA65" s="910"/>
      <c r="BGB65" s="910"/>
      <c r="BGC65" s="910"/>
      <c r="BGD65" s="910"/>
      <c r="BGE65" s="910"/>
      <c r="BGF65" s="910"/>
      <c r="BGG65" s="910"/>
      <c r="BGH65" s="910"/>
      <c r="BGI65" s="910"/>
      <c r="BGJ65" s="910"/>
      <c r="BGK65" s="910"/>
      <c r="BGL65" s="910"/>
      <c r="BGM65" s="910"/>
      <c r="BGN65" s="910"/>
      <c r="BGO65" s="910"/>
      <c r="BGP65" s="910"/>
      <c r="BGQ65" s="910"/>
      <c r="BGR65" s="910"/>
      <c r="BGS65" s="910"/>
      <c r="BGT65" s="910"/>
      <c r="BGU65" s="910"/>
      <c r="BGV65" s="910"/>
      <c r="BGW65" s="910"/>
      <c r="BGX65" s="910"/>
      <c r="BGY65" s="910"/>
      <c r="BGZ65" s="910"/>
      <c r="BHA65" s="910"/>
      <c r="BHB65" s="910"/>
      <c r="BHC65" s="910"/>
      <c r="BHD65" s="910"/>
      <c r="BHE65" s="910"/>
      <c r="BHF65" s="910"/>
      <c r="BHG65" s="910"/>
      <c r="BHH65" s="910"/>
      <c r="BHI65" s="910"/>
      <c r="BHJ65" s="910"/>
      <c r="BHK65" s="910"/>
      <c r="BHL65" s="910"/>
      <c r="BHM65" s="910"/>
      <c r="BHN65" s="910"/>
      <c r="BHO65" s="910"/>
      <c r="BHP65" s="910"/>
      <c r="BHQ65" s="910"/>
      <c r="BHR65" s="910"/>
      <c r="BHS65" s="910"/>
      <c r="BHT65" s="910"/>
      <c r="BHU65" s="910"/>
      <c r="BHV65" s="910"/>
      <c r="BHW65" s="910"/>
      <c r="BHX65" s="910"/>
      <c r="BHY65" s="910"/>
      <c r="BHZ65" s="910"/>
      <c r="BIA65" s="910"/>
      <c r="BIB65" s="910"/>
      <c r="BIC65" s="910"/>
      <c r="BID65" s="910"/>
      <c r="BIE65" s="910"/>
      <c r="BIF65" s="910"/>
      <c r="BIG65" s="910"/>
      <c r="BIH65" s="910"/>
      <c r="BII65" s="910"/>
      <c r="BIJ65" s="910"/>
      <c r="BIK65" s="910"/>
      <c r="BIL65" s="910"/>
      <c r="BIM65" s="910"/>
      <c r="BIN65" s="910"/>
      <c r="BIO65" s="910"/>
      <c r="BIP65" s="910"/>
      <c r="BIQ65" s="910"/>
      <c r="BIR65" s="910"/>
      <c r="BIS65" s="910"/>
      <c r="BIT65" s="910"/>
      <c r="BIU65" s="910"/>
      <c r="BIV65" s="910"/>
      <c r="BIW65" s="910"/>
      <c r="BIX65" s="910"/>
      <c r="BIY65" s="910"/>
      <c r="BIZ65" s="910"/>
      <c r="BJA65" s="910"/>
      <c r="BJB65" s="910"/>
      <c r="BJC65" s="910"/>
      <c r="BJD65" s="910"/>
      <c r="BJE65" s="910"/>
      <c r="BJF65" s="910"/>
      <c r="BJG65" s="910"/>
      <c r="BJH65" s="910"/>
      <c r="BJI65" s="910"/>
      <c r="BJJ65" s="910"/>
      <c r="BJK65" s="910"/>
      <c r="BJL65" s="910"/>
      <c r="BJM65" s="910"/>
      <c r="BJN65" s="910"/>
      <c r="BJO65" s="910"/>
      <c r="BJP65" s="910"/>
      <c r="BJQ65" s="910"/>
      <c r="BJR65" s="910"/>
      <c r="BJS65" s="910"/>
      <c r="BJT65" s="910"/>
      <c r="BJU65" s="910"/>
      <c r="BJV65" s="910"/>
      <c r="BJW65" s="910"/>
      <c r="BJX65" s="910"/>
      <c r="BJY65" s="910"/>
      <c r="BJZ65" s="910"/>
      <c r="BKA65" s="910"/>
      <c r="BKB65" s="910"/>
      <c r="BKC65" s="910"/>
      <c r="BKD65" s="910"/>
      <c r="BKE65" s="910"/>
      <c r="BKF65" s="910"/>
      <c r="BKG65" s="910"/>
      <c r="BKH65" s="910"/>
      <c r="BKI65" s="910"/>
      <c r="BKJ65" s="910"/>
      <c r="BKK65" s="910"/>
      <c r="BKL65" s="910"/>
      <c r="BKM65" s="910"/>
      <c r="BKN65" s="910"/>
      <c r="BKO65" s="910"/>
      <c r="BKP65" s="910"/>
      <c r="BKQ65" s="910"/>
      <c r="BKR65" s="910"/>
      <c r="BKS65" s="910"/>
      <c r="BKT65" s="910"/>
      <c r="BKU65" s="910"/>
      <c r="BKV65" s="910"/>
      <c r="BKW65" s="910"/>
      <c r="BKX65" s="910"/>
      <c r="BKY65" s="910"/>
      <c r="BKZ65" s="910"/>
      <c r="BLA65" s="910"/>
      <c r="BLB65" s="910"/>
      <c r="BLC65" s="910"/>
      <c r="BLD65" s="910"/>
      <c r="BLE65" s="910"/>
      <c r="BLF65" s="910"/>
      <c r="BLG65" s="910"/>
      <c r="BLH65" s="910"/>
      <c r="BLI65" s="910"/>
      <c r="BLJ65" s="910"/>
      <c r="BLK65" s="910"/>
      <c r="BLL65" s="910"/>
      <c r="BLM65" s="910"/>
      <c r="BLN65" s="910"/>
      <c r="BLO65" s="910"/>
      <c r="BLP65" s="910"/>
      <c r="BLQ65" s="910"/>
      <c r="BLR65" s="910"/>
      <c r="BLS65" s="910"/>
      <c r="BLT65" s="910"/>
      <c r="BLU65" s="910"/>
      <c r="BLV65" s="910"/>
      <c r="BLW65" s="910"/>
      <c r="BLX65" s="910"/>
      <c r="BLY65" s="910"/>
      <c r="BLZ65" s="910"/>
      <c r="BMA65" s="910"/>
      <c r="BMB65" s="910"/>
      <c r="BMC65" s="910"/>
      <c r="BMD65" s="910"/>
      <c r="BME65" s="910"/>
      <c r="BMF65" s="910"/>
      <c r="BMG65" s="910"/>
      <c r="BMH65" s="910"/>
      <c r="BMI65" s="910"/>
      <c r="BMJ65" s="910"/>
      <c r="BMK65" s="910"/>
      <c r="BML65" s="910"/>
      <c r="BMM65" s="910"/>
      <c r="BMN65" s="910"/>
      <c r="BMO65" s="910"/>
      <c r="BMP65" s="910"/>
      <c r="BMQ65" s="910"/>
      <c r="BMR65" s="910"/>
      <c r="BMS65" s="910"/>
      <c r="BMT65" s="910"/>
      <c r="BMU65" s="910"/>
      <c r="BMV65" s="910"/>
      <c r="BMW65" s="910"/>
      <c r="BMX65" s="910"/>
      <c r="BMY65" s="910"/>
      <c r="BMZ65" s="910"/>
      <c r="BNA65" s="910"/>
      <c r="BNB65" s="910"/>
      <c r="BNC65" s="910"/>
      <c r="BND65" s="910"/>
      <c r="BNE65" s="910"/>
      <c r="BNF65" s="910"/>
      <c r="BNG65" s="910"/>
      <c r="BNH65" s="910"/>
      <c r="BNI65" s="910"/>
      <c r="BNJ65" s="910"/>
      <c r="BNK65" s="910"/>
      <c r="BNL65" s="910"/>
      <c r="BNM65" s="910"/>
      <c r="BNN65" s="910"/>
      <c r="BNO65" s="910"/>
      <c r="BNP65" s="910"/>
      <c r="BNQ65" s="910"/>
      <c r="BNR65" s="910"/>
      <c r="BNS65" s="910"/>
      <c r="BNT65" s="910"/>
      <c r="BNU65" s="910"/>
      <c r="BNV65" s="910"/>
      <c r="BNW65" s="910"/>
      <c r="BNX65" s="910"/>
      <c r="BNY65" s="910"/>
      <c r="BNZ65" s="910"/>
      <c r="BOA65" s="910"/>
      <c r="BOB65" s="910"/>
      <c r="BOC65" s="910"/>
      <c r="BOD65" s="910"/>
      <c r="BOE65" s="910"/>
      <c r="BOF65" s="910"/>
      <c r="BOG65" s="910"/>
      <c r="BOH65" s="910"/>
      <c r="BOI65" s="910"/>
      <c r="BOJ65" s="910"/>
      <c r="BOK65" s="910"/>
      <c r="BOL65" s="910"/>
      <c r="BOM65" s="910"/>
      <c r="BON65" s="910"/>
      <c r="BOO65" s="910"/>
      <c r="BOP65" s="910"/>
      <c r="BOQ65" s="910"/>
      <c r="BOR65" s="910"/>
      <c r="BOS65" s="910"/>
      <c r="BOT65" s="910"/>
      <c r="BOU65" s="910"/>
      <c r="BOV65" s="910"/>
      <c r="BOW65" s="910"/>
      <c r="BOX65" s="910"/>
      <c r="BOY65" s="910"/>
      <c r="BOZ65" s="910"/>
      <c r="BPA65" s="910"/>
      <c r="BPB65" s="910"/>
      <c r="BPC65" s="910"/>
      <c r="BPD65" s="910"/>
      <c r="BPE65" s="910"/>
      <c r="BPF65" s="910"/>
      <c r="BPG65" s="910"/>
      <c r="BPH65" s="910"/>
      <c r="BPI65" s="910"/>
      <c r="BPJ65" s="910"/>
      <c r="BPK65" s="910"/>
      <c r="BPL65" s="910"/>
      <c r="BPM65" s="910"/>
      <c r="BPN65" s="910"/>
      <c r="BPO65" s="910"/>
      <c r="BPP65" s="910"/>
      <c r="BPQ65" s="910"/>
      <c r="BPR65" s="910"/>
      <c r="BPS65" s="910"/>
      <c r="BPT65" s="910"/>
      <c r="BPU65" s="910"/>
      <c r="BPV65" s="910"/>
      <c r="BPW65" s="910"/>
      <c r="BPX65" s="910"/>
      <c r="BPY65" s="910"/>
      <c r="BPZ65" s="910"/>
      <c r="BQA65" s="910"/>
      <c r="BQB65" s="910"/>
      <c r="BQC65" s="910"/>
      <c r="BQD65" s="910"/>
      <c r="BQE65" s="910"/>
      <c r="BQF65" s="910"/>
      <c r="BQG65" s="910"/>
      <c r="BQH65" s="910"/>
      <c r="BQI65" s="910"/>
      <c r="BQJ65" s="910"/>
      <c r="BQK65" s="910"/>
      <c r="BQL65" s="910"/>
      <c r="BQM65" s="910"/>
      <c r="BQN65" s="910"/>
      <c r="BQO65" s="910"/>
      <c r="BQP65" s="910"/>
      <c r="BQQ65" s="910"/>
      <c r="BQR65" s="910"/>
      <c r="BQS65" s="910"/>
      <c r="BQT65" s="910"/>
      <c r="BQU65" s="910"/>
      <c r="BQV65" s="910"/>
      <c r="BQW65" s="910"/>
      <c r="BQX65" s="910"/>
      <c r="BQY65" s="910"/>
      <c r="BQZ65" s="910"/>
      <c r="BRA65" s="910"/>
      <c r="BRB65" s="910"/>
      <c r="BRC65" s="910"/>
      <c r="BRD65" s="910"/>
      <c r="BRE65" s="910"/>
      <c r="BRF65" s="910"/>
      <c r="BRG65" s="910"/>
      <c r="BRH65" s="910"/>
      <c r="BRI65" s="910"/>
      <c r="BRJ65" s="910"/>
      <c r="BRK65" s="910"/>
      <c r="BRL65" s="910"/>
      <c r="BRM65" s="910"/>
      <c r="BRN65" s="910"/>
      <c r="BRO65" s="910"/>
      <c r="BRP65" s="910"/>
      <c r="BRQ65" s="910"/>
      <c r="BRR65" s="910"/>
      <c r="BRS65" s="910"/>
      <c r="BRT65" s="910"/>
      <c r="BRU65" s="910"/>
      <c r="BRV65" s="910"/>
      <c r="BRW65" s="910"/>
      <c r="BRX65" s="910"/>
      <c r="BRY65" s="910"/>
      <c r="BRZ65" s="910"/>
      <c r="BSA65" s="910"/>
      <c r="BSB65" s="910"/>
      <c r="BSC65" s="910"/>
      <c r="BSD65" s="910"/>
      <c r="BSE65" s="910"/>
      <c r="BSF65" s="910"/>
      <c r="BSG65" s="910"/>
      <c r="BSH65" s="910"/>
      <c r="BSI65" s="910"/>
      <c r="BSJ65" s="910"/>
      <c r="BSK65" s="910"/>
      <c r="BSL65" s="910"/>
      <c r="BSM65" s="910"/>
      <c r="BSN65" s="910"/>
      <c r="BSO65" s="910"/>
      <c r="BSP65" s="910"/>
      <c r="BSQ65" s="910"/>
      <c r="BSR65" s="910"/>
      <c r="BSS65" s="910"/>
      <c r="BST65" s="910"/>
      <c r="BSU65" s="910"/>
      <c r="BSV65" s="910"/>
      <c r="BSW65" s="910"/>
      <c r="BSX65" s="910"/>
      <c r="BSY65" s="910"/>
      <c r="BSZ65" s="910"/>
      <c r="BTA65" s="910"/>
      <c r="BTB65" s="910"/>
      <c r="BTC65" s="910"/>
      <c r="BTD65" s="910"/>
      <c r="BTE65" s="910"/>
      <c r="BTF65" s="910"/>
      <c r="BTG65" s="910"/>
      <c r="BTH65" s="910"/>
      <c r="BTI65" s="910"/>
      <c r="BTJ65" s="910"/>
      <c r="BTK65" s="910"/>
      <c r="BTL65" s="910"/>
      <c r="BTM65" s="910"/>
      <c r="BTN65" s="910"/>
      <c r="BTO65" s="910"/>
      <c r="BTP65" s="910"/>
      <c r="BTQ65" s="910"/>
      <c r="BTR65" s="910"/>
      <c r="BTS65" s="910"/>
      <c r="BTT65" s="910"/>
      <c r="BTU65" s="910"/>
      <c r="BTV65" s="910"/>
      <c r="BTW65" s="910"/>
      <c r="BTX65" s="910"/>
      <c r="BTY65" s="910"/>
      <c r="BTZ65" s="910"/>
      <c r="BUA65" s="910"/>
      <c r="BUB65" s="910"/>
      <c r="BUC65" s="910"/>
      <c r="BUD65" s="910"/>
      <c r="BUE65" s="910"/>
      <c r="BUF65" s="910"/>
      <c r="BUG65" s="910"/>
      <c r="BUH65" s="910"/>
      <c r="BUI65" s="910"/>
      <c r="BUJ65" s="910"/>
      <c r="BUK65" s="910"/>
      <c r="BUL65" s="910"/>
      <c r="BUM65" s="910"/>
      <c r="BUN65" s="910"/>
      <c r="BUO65" s="910"/>
      <c r="BUP65" s="910"/>
      <c r="BUQ65" s="910"/>
      <c r="BUR65" s="910"/>
      <c r="BUS65" s="910"/>
      <c r="BUT65" s="910"/>
      <c r="BUU65" s="910"/>
      <c r="BUV65" s="910"/>
      <c r="BUW65" s="910"/>
      <c r="BUX65" s="910"/>
      <c r="BUY65" s="910"/>
      <c r="BUZ65" s="910"/>
      <c r="BVA65" s="910"/>
      <c r="BVB65" s="910"/>
      <c r="BVC65" s="910"/>
      <c r="BVD65" s="910"/>
      <c r="BVE65" s="910"/>
      <c r="BVF65" s="910"/>
      <c r="BVG65" s="910"/>
      <c r="BVH65" s="910"/>
      <c r="BVI65" s="910"/>
      <c r="BVJ65" s="910"/>
      <c r="BVK65" s="910"/>
      <c r="BVL65" s="910"/>
      <c r="BVM65" s="910"/>
      <c r="BVN65" s="910"/>
      <c r="BVO65" s="910"/>
      <c r="BVP65" s="910"/>
      <c r="BVQ65" s="910"/>
      <c r="BVR65" s="910"/>
      <c r="BVS65" s="910"/>
      <c r="BVT65" s="910"/>
      <c r="BVU65" s="910"/>
      <c r="BVV65" s="910"/>
      <c r="BVW65" s="910"/>
      <c r="BVX65" s="910"/>
      <c r="BVY65" s="910"/>
      <c r="BVZ65" s="910"/>
      <c r="BWA65" s="910"/>
      <c r="BWB65" s="910"/>
      <c r="BWC65" s="910"/>
      <c r="BWD65" s="910"/>
      <c r="BWE65" s="910"/>
      <c r="BWF65" s="910"/>
      <c r="BWG65" s="910"/>
      <c r="BWH65" s="910"/>
      <c r="BWI65" s="910"/>
      <c r="BWJ65" s="910"/>
      <c r="BWK65" s="910"/>
      <c r="BWL65" s="910"/>
      <c r="BWM65" s="910"/>
      <c r="BWN65" s="910"/>
      <c r="BWO65" s="910"/>
      <c r="BWP65" s="910"/>
      <c r="BWQ65" s="910"/>
      <c r="BWR65" s="910"/>
      <c r="BWS65" s="910"/>
      <c r="BWT65" s="910"/>
      <c r="BWU65" s="910"/>
      <c r="BWV65" s="910"/>
      <c r="BWW65" s="910"/>
      <c r="BWX65" s="910"/>
      <c r="BWY65" s="910"/>
      <c r="BWZ65" s="910"/>
      <c r="BXA65" s="910"/>
      <c r="BXB65" s="910"/>
      <c r="BXC65" s="910"/>
      <c r="BXD65" s="910"/>
      <c r="BXE65" s="910"/>
      <c r="BXF65" s="910"/>
      <c r="BXG65" s="910"/>
      <c r="BXH65" s="910"/>
      <c r="BXI65" s="910"/>
      <c r="BXJ65" s="910"/>
      <c r="BXK65" s="910"/>
      <c r="BXL65" s="910"/>
      <c r="BXM65" s="910"/>
      <c r="BXN65" s="910"/>
      <c r="BXO65" s="910"/>
      <c r="BXP65" s="910"/>
      <c r="BXQ65" s="910"/>
      <c r="BXR65" s="910"/>
      <c r="BXS65" s="910"/>
      <c r="BXT65" s="910"/>
      <c r="BXU65" s="910"/>
      <c r="BXV65" s="910"/>
      <c r="BXW65" s="910"/>
      <c r="BXX65" s="910"/>
      <c r="BXY65" s="910"/>
      <c r="BXZ65" s="910"/>
      <c r="BYA65" s="910"/>
      <c r="BYB65" s="910"/>
      <c r="BYC65" s="910"/>
      <c r="BYD65" s="910"/>
      <c r="BYE65" s="910"/>
      <c r="BYF65" s="910"/>
      <c r="BYG65" s="910"/>
      <c r="BYH65" s="910"/>
      <c r="BYI65" s="910"/>
      <c r="BYJ65" s="910"/>
      <c r="BYK65" s="910"/>
      <c r="BYL65" s="910"/>
      <c r="BYM65" s="910"/>
      <c r="BYN65" s="910"/>
      <c r="BYO65" s="910"/>
      <c r="BYP65" s="910"/>
      <c r="BYQ65" s="910"/>
      <c r="BYR65" s="910"/>
      <c r="BYS65" s="910"/>
      <c r="BYT65" s="910"/>
      <c r="BYU65" s="910"/>
      <c r="BYV65" s="910"/>
      <c r="BYW65" s="910"/>
      <c r="BYX65" s="910"/>
      <c r="BYY65" s="910"/>
      <c r="BYZ65" s="910"/>
      <c r="BZA65" s="910"/>
      <c r="BZB65" s="910"/>
      <c r="BZC65" s="910"/>
      <c r="BZD65" s="910"/>
      <c r="BZE65" s="910"/>
      <c r="BZF65" s="910"/>
      <c r="BZG65" s="910"/>
      <c r="BZH65" s="910"/>
      <c r="BZI65" s="910"/>
      <c r="BZJ65" s="910"/>
      <c r="BZK65" s="910"/>
      <c r="BZL65" s="910"/>
      <c r="BZM65" s="910"/>
      <c r="BZN65" s="910"/>
      <c r="BZO65" s="910"/>
      <c r="BZP65" s="910"/>
      <c r="BZQ65" s="910"/>
      <c r="BZR65" s="910"/>
      <c r="BZS65" s="910"/>
      <c r="BZT65" s="910"/>
      <c r="BZU65" s="910"/>
      <c r="BZV65" s="910"/>
      <c r="BZW65" s="910"/>
      <c r="BZX65" s="910"/>
      <c r="BZY65" s="910"/>
      <c r="BZZ65" s="910"/>
      <c r="CAA65" s="910"/>
      <c r="CAB65" s="910"/>
      <c r="CAC65" s="910"/>
      <c r="CAD65" s="910"/>
      <c r="CAE65" s="910"/>
      <c r="CAF65" s="910"/>
      <c r="CAG65" s="910"/>
      <c r="CAH65" s="910"/>
      <c r="CAI65" s="910"/>
      <c r="CAJ65" s="910"/>
      <c r="CAK65" s="910"/>
      <c r="CAL65" s="910"/>
      <c r="CAM65" s="910"/>
      <c r="CAN65" s="910"/>
      <c r="CAO65" s="910"/>
      <c r="CAP65" s="910"/>
      <c r="CAQ65" s="910"/>
      <c r="CAR65" s="910"/>
      <c r="CAS65" s="910"/>
      <c r="CAT65" s="910"/>
      <c r="CAU65" s="910"/>
      <c r="CAV65" s="910"/>
      <c r="CAW65" s="910"/>
      <c r="CAX65" s="910"/>
      <c r="CAY65" s="910"/>
      <c r="CAZ65" s="910"/>
      <c r="CBA65" s="910"/>
      <c r="CBB65" s="910"/>
      <c r="CBC65" s="910"/>
      <c r="CBD65" s="910"/>
      <c r="CBE65" s="910"/>
      <c r="CBF65" s="910"/>
      <c r="CBG65" s="910"/>
      <c r="CBH65" s="910"/>
      <c r="CBI65" s="910"/>
      <c r="CBJ65" s="910"/>
      <c r="CBK65" s="910"/>
      <c r="CBL65" s="910"/>
      <c r="CBM65" s="910"/>
      <c r="CBN65" s="910"/>
      <c r="CBO65" s="910"/>
      <c r="CBP65" s="910"/>
      <c r="CBQ65" s="910"/>
      <c r="CBR65" s="910"/>
      <c r="CBS65" s="910"/>
      <c r="CBT65" s="910"/>
      <c r="CBU65" s="910"/>
      <c r="CBV65" s="910"/>
      <c r="CBW65" s="910"/>
      <c r="CBX65" s="910"/>
      <c r="CBY65" s="910"/>
      <c r="CBZ65" s="910"/>
      <c r="CCA65" s="910"/>
      <c r="CCB65" s="910"/>
      <c r="CCC65" s="910"/>
      <c r="CCD65" s="910"/>
      <c r="CCE65" s="910"/>
      <c r="CCF65" s="910"/>
      <c r="CCG65" s="910"/>
      <c r="CCH65" s="910"/>
      <c r="CCI65" s="910"/>
      <c r="CCJ65" s="910"/>
      <c r="CCK65" s="910"/>
      <c r="CCL65" s="910"/>
      <c r="CCM65" s="910"/>
      <c r="CCN65" s="910"/>
      <c r="CCO65" s="910"/>
      <c r="CCP65" s="910"/>
      <c r="CCQ65" s="910"/>
      <c r="CCR65" s="910"/>
      <c r="CCS65" s="910"/>
      <c r="CCT65" s="910"/>
      <c r="CCU65" s="910"/>
      <c r="CCV65" s="910"/>
      <c r="CCW65" s="910"/>
      <c r="CCX65" s="910"/>
      <c r="CCY65" s="910"/>
      <c r="CCZ65" s="910"/>
      <c r="CDA65" s="910"/>
      <c r="CDB65" s="910"/>
      <c r="CDC65" s="910"/>
      <c r="CDD65" s="910"/>
      <c r="CDE65" s="910"/>
      <c r="CDF65" s="910"/>
      <c r="CDG65" s="910"/>
      <c r="CDH65" s="910"/>
      <c r="CDI65" s="910"/>
      <c r="CDJ65" s="910"/>
      <c r="CDK65" s="910"/>
      <c r="CDL65" s="910"/>
      <c r="CDM65" s="910"/>
      <c r="CDN65" s="910"/>
      <c r="CDO65" s="910"/>
      <c r="CDP65" s="910"/>
      <c r="CDQ65" s="910"/>
      <c r="CDR65" s="910"/>
      <c r="CDS65" s="910"/>
      <c r="CDT65" s="910"/>
      <c r="CDU65" s="910"/>
      <c r="CDV65" s="910"/>
      <c r="CDW65" s="910"/>
      <c r="CDX65" s="910"/>
      <c r="CDY65" s="910"/>
      <c r="CDZ65" s="910"/>
      <c r="CEA65" s="910"/>
      <c r="CEB65" s="910"/>
      <c r="CEC65" s="910"/>
      <c r="CED65" s="910"/>
      <c r="CEE65" s="910"/>
      <c r="CEF65" s="910"/>
      <c r="CEG65" s="910"/>
      <c r="CEH65" s="910"/>
      <c r="CEI65" s="910"/>
      <c r="CEJ65" s="910"/>
      <c r="CEK65" s="910"/>
      <c r="CEL65" s="910"/>
      <c r="CEM65" s="910"/>
      <c r="CEN65" s="910"/>
      <c r="CEO65" s="910"/>
      <c r="CEP65" s="910"/>
      <c r="CEQ65" s="910"/>
      <c r="CER65" s="910"/>
      <c r="CES65" s="910"/>
      <c r="CET65" s="910"/>
      <c r="CEU65" s="910"/>
      <c r="CEV65" s="910"/>
      <c r="CEW65" s="910"/>
      <c r="CEX65" s="910"/>
      <c r="CEY65" s="910"/>
      <c r="CEZ65" s="910"/>
      <c r="CFA65" s="910"/>
      <c r="CFB65" s="910"/>
      <c r="CFC65" s="910"/>
      <c r="CFD65" s="910"/>
      <c r="CFE65" s="910"/>
      <c r="CFF65" s="910"/>
      <c r="CFG65" s="910"/>
      <c r="CFH65" s="910"/>
      <c r="CFI65" s="910"/>
      <c r="CFJ65" s="910"/>
      <c r="CFK65" s="910"/>
      <c r="CFL65" s="910"/>
      <c r="CFM65" s="910"/>
      <c r="CFN65" s="910"/>
      <c r="CFO65" s="910"/>
      <c r="CFP65" s="910"/>
      <c r="CFQ65" s="910"/>
      <c r="CFR65" s="910"/>
      <c r="CFS65" s="910"/>
      <c r="CFT65" s="910"/>
      <c r="CFU65" s="910"/>
      <c r="CFV65" s="910"/>
      <c r="CFW65" s="910"/>
      <c r="CFX65" s="910"/>
      <c r="CFY65" s="910"/>
      <c r="CFZ65" s="910"/>
      <c r="CGA65" s="910"/>
      <c r="CGB65" s="910"/>
      <c r="CGC65" s="910"/>
      <c r="CGD65" s="910"/>
      <c r="CGE65" s="910"/>
      <c r="CGF65" s="910"/>
      <c r="CGG65" s="910"/>
      <c r="CGH65" s="910"/>
      <c r="CGI65" s="910"/>
      <c r="CGJ65" s="910"/>
      <c r="CGK65" s="910"/>
      <c r="CGL65" s="910"/>
      <c r="CGM65" s="910"/>
      <c r="CGN65" s="910"/>
      <c r="CGO65" s="910"/>
      <c r="CGP65" s="910"/>
      <c r="CGQ65" s="910"/>
      <c r="CGR65" s="910"/>
      <c r="CGS65" s="910"/>
      <c r="CGT65" s="910"/>
      <c r="CGU65" s="910"/>
      <c r="CGV65" s="910"/>
      <c r="CGW65" s="910"/>
      <c r="CGX65" s="910"/>
      <c r="CGY65" s="910"/>
      <c r="CGZ65" s="910"/>
      <c r="CHA65" s="910"/>
      <c r="CHB65" s="910"/>
      <c r="CHC65" s="910"/>
      <c r="CHD65" s="910"/>
      <c r="CHE65" s="910"/>
      <c r="CHF65" s="910"/>
      <c r="CHG65" s="910"/>
      <c r="CHH65" s="910"/>
      <c r="CHI65" s="910"/>
      <c r="CHJ65" s="910"/>
      <c r="CHK65" s="910"/>
      <c r="CHL65" s="910"/>
      <c r="CHM65" s="910"/>
      <c r="CHN65" s="910"/>
      <c r="CHO65" s="910"/>
      <c r="CHP65" s="910"/>
      <c r="CHQ65" s="910"/>
      <c r="CHR65" s="910"/>
      <c r="CHS65" s="910"/>
      <c r="CHT65" s="910"/>
      <c r="CHU65" s="910"/>
      <c r="CHV65" s="910"/>
      <c r="CHW65" s="910"/>
      <c r="CHX65" s="910"/>
      <c r="CHY65" s="910"/>
      <c r="CHZ65" s="910"/>
      <c r="CIA65" s="910"/>
      <c r="CIB65" s="910"/>
      <c r="CIC65" s="910"/>
      <c r="CID65" s="910"/>
      <c r="CIE65" s="910"/>
      <c r="CIF65" s="910"/>
      <c r="CIG65" s="910"/>
      <c r="CIH65" s="910"/>
      <c r="CII65" s="910"/>
      <c r="CIJ65" s="910"/>
      <c r="CIK65" s="910"/>
      <c r="CIL65" s="910"/>
      <c r="CIM65" s="910"/>
      <c r="CIN65" s="910"/>
      <c r="CIO65" s="910"/>
      <c r="CIP65" s="910"/>
      <c r="CIQ65" s="910"/>
      <c r="CIR65" s="910"/>
      <c r="CIS65" s="910"/>
      <c r="CIT65" s="910"/>
      <c r="CIU65" s="910"/>
      <c r="CIV65" s="910"/>
      <c r="CIW65" s="910"/>
      <c r="CIX65" s="910"/>
      <c r="CIY65" s="910"/>
      <c r="CIZ65" s="910"/>
      <c r="CJA65" s="910"/>
      <c r="CJB65" s="910"/>
      <c r="CJC65" s="910"/>
      <c r="CJD65" s="910"/>
      <c r="CJE65" s="910"/>
      <c r="CJF65" s="910"/>
      <c r="CJG65" s="910"/>
      <c r="CJH65" s="910"/>
      <c r="CJI65" s="910"/>
      <c r="CJJ65" s="910"/>
      <c r="CJK65" s="910"/>
      <c r="CJL65" s="910"/>
      <c r="CJM65" s="910"/>
      <c r="CJN65" s="910"/>
      <c r="CJO65" s="910"/>
      <c r="CJP65" s="910"/>
      <c r="CJQ65" s="910"/>
      <c r="CJR65" s="910"/>
      <c r="CJS65" s="910"/>
      <c r="CJT65" s="910"/>
      <c r="CJU65" s="910"/>
      <c r="CJV65" s="910"/>
      <c r="CJW65" s="910"/>
      <c r="CJX65" s="910"/>
      <c r="CJY65" s="910"/>
      <c r="CJZ65" s="910"/>
      <c r="CKA65" s="910"/>
      <c r="CKB65" s="910"/>
      <c r="CKC65" s="910"/>
      <c r="CKD65" s="910"/>
      <c r="CKE65" s="910"/>
      <c r="CKF65" s="910"/>
      <c r="CKG65" s="910"/>
      <c r="CKH65" s="910"/>
      <c r="CKI65" s="910"/>
      <c r="CKJ65" s="910"/>
      <c r="CKK65" s="910"/>
      <c r="CKL65" s="910"/>
      <c r="CKM65" s="910"/>
      <c r="CKN65" s="910"/>
      <c r="CKO65" s="910"/>
      <c r="CKP65" s="910"/>
      <c r="CKQ65" s="910"/>
      <c r="CKR65" s="910"/>
      <c r="CKS65" s="910"/>
      <c r="CKT65" s="910"/>
      <c r="CKU65" s="910"/>
      <c r="CKV65" s="910"/>
      <c r="CKW65" s="910"/>
      <c r="CKX65" s="910"/>
      <c r="CKY65" s="910"/>
      <c r="CKZ65" s="910"/>
      <c r="CLA65" s="910"/>
      <c r="CLB65" s="910"/>
      <c r="CLC65" s="910"/>
      <c r="CLD65" s="910"/>
      <c r="CLE65" s="910"/>
      <c r="CLF65" s="910"/>
      <c r="CLG65" s="910"/>
      <c r="CLH65" s="910"/>
      <c r="CLI65" s="910"/>
      <c r="CLJ65" s="910"/>
      <c r="CLK65" s="910"/>
      <c r="CLL65" s="910"/>
      <c r="CLM65" s="910"/>
      <c r="CLN65" s="910"/>
      <c r="CLO65" s="910"/>
      <c r="CLP65" s="910"/>
      <c r="CLQ65" s="910"/>
      <c r="CLR65" s="910"/>
      <c r="CLS65" s="910"/>
      <c r="CLT65" s="910"/>
      <c r="CLU65" s="910"/>
      <c r="CLV65" s="910"/>
      <c r="CLW65" s="910"/>
      <c r="CLX65" s="910"/>
      <c r="CLY65" s="910"/>
      <c r="CLZ65" s="910"/>
      <c r="CMA65" s="910"/>
      <c r="CMB65" s="910"/>
      <c r="CMC65" s="910"/>
      <c r="CMD65" s="910"/>
      <c r="CME65" s="910"/>
      <c r="CMF65" s="910"/>
      <c r="CMG65" s="910"/>
      <c r="CMH65" s="910"/>
    </row>
    <row r="66" spans="1:2374" ht="15" customHeight="1">
      <c r="A66" s="66"/>
      <c r="B66" s="66"/>
      <c r="C66" s="66"/>
      <c r="D66" s="76"/>
      <c r="E66" s="76"/>
      <c r="F66" s="76"/>
      <c r="G66" s="76"/>
      <c r="H66" s="76"/>
      <c r="I66" s="76"/>
      <c r="J66" s="76"/>
      <c r="K66" s="76"/>
      <c r="L66" s="76"/>
      <c r="M66" s="76"/>
      <c r="N66" s="76"/>
      <c r="O66" s="350"/>
      <c r="P66" s="76"/>
      <c r="Q66" s="76"/>
      <c r="R66" s="76"/>
      <c r="S66" s="76"/>
      <c r="T66" s="76"/>
      <c r="U66" s="76"/>
      <c r="V66" s="76"/>
      <c r="W66" s="76"/>
      <c r="X66" s="76"/>
      <c r="Y66" s="76"/>
      <c r="Z66" s="76"/>
      <c r="AA66" s="76"/>
      <c r="AB66" s="76"/>
      <c r="AC66" s="76"/>
      <c r="AD66" s="76"/>
      <c r="AE66" s="327"/>
      <c r="AF66" s="910"/>
      <c r="AG66" s="909"/>
      <c r="AH66" s="909"/>
      <c r="AS66" s="909"/>
      <c r="AT66" s="909"/>
      <c r="AU66" s="909"/>
      <c r="AV66" s="909"/>
      <c r="BD66" s="917"/>
      <c r="BE66" s="917"/>
      <c r="BF66" s="917"/>
      <c r="BG66" s="917"/>
      <c r="BH66" s="917"/>
      <c r="BI66" s="917"/>
      <c r="BJ66" s="917"/>
      <c r="BK66" s="917"/>
      <c r="BL66" s="917"/>
      <c r="BM66" s="917"/>
      <c r="BN66" s="917"/>
      <c r="BO66" s="917"/>
      <c r="BP66" s="917"/>
      <c r="BQ66" s="917"/>
      <c r="BR66" s="917"/>
      <c r="BS66" s="917"/>
      <c r="CD66" s="918"/>
      <c r="CI66" s="910"/>
      <c r="CL66" s="911"/>
      <c r="CM66" s="911"/>
      <c r="CN66" s="911"/>
      <c r="CO66" s="911"/>
      <c r="CP66" s="911"/>
      <c r="CQ66" s="911"/>
      <c r="CR66" s="911"/>
      <c r="CS66" s="911"/>
      <c r="CT66" s="911"/>
      <c r="CU66" s="911"/>
      <c r="CV66" s="911"/>
      <c r="CW66" s="911"/>
      <c r="CX66" s="911"/>
      <c r="CY66" s="911"/>
      <c r="CZ66" s="911"/>
      <c r="DA66" s="911"/>
      <c r="DB66" s="911"/>
      <c r="DC66" s="911"/>
      <c r="DD66" s="911"/>
      <c r="DE66" s="911"/>
      <c r="DF66" s="911"/>
      <c r="DG66" s="911"/>
      <c r="DH66" s="911"/>
      <c r="DI66" s="911"/>
      <c r="DJ66" s="911"/>
      <c r="DK66" s="911"/>
      <c r="DL66" s="911"/>
      <c r="DM66" s="911"/>
      <c r="DN66" s="911"/>
      <c r="DO66" s="911"/>
      <c r="DP66" s="911"/>
      <c r="DQ66" s="911"/>
      <c r="DR66" s="911"/>
      <c r="DS66" s="911"/>
      <c r="DT66" s="911"/>
      <c r="DU66" s="911"/>
      <c r="DV66" s="911"/>
      <c r="DW66" s="911"/>
      <c r="DX66" s="911"/>
      <c r="DY66" s="911"/>
      <c r="DZ66" s="911"/>
      <c r="EA66" s="911"/>
      <c r="EB66" s="911"/>
      <c r="EC66" s="911"/>
      <c r="ED66" s="911"/>
      <c r="EE66" s="911"/>
      <c r="EF66" s="911"/>
      <c r="EG66" s="911"/>
      <c r="EH66" s="911"/>
      <c r="EI66" s="911"/>
      <c r="EJ66" s="911"/>
      <c r="EK66" s="911"/>
      <c r="EL66" s="911"/>
      <c r="EM66" s="911"/>
      <c r="EN66" s="911"/>
      <c r="EO66" s="911"/>
      <c r="EP66" s="911"/>
      <c r="EQ66" s="911"/>
      <c r="ER66" s="911"/>
      <c r="ES66" s="911"/>
      <c r="ET66" s="911"/>
      <c r="EU66" s="911"/>
      <c r="EV66" s="911"/>
      <c r="EW66" s="911"/>
      <c r="EX66" s="921"/>
      <c r="EY66" s="911"/>
      <c r="EZ66" s="911"/>
      <c r="FA66" s="911"/>
      <c r="FB66" s="911"/>
      <c r="FC66" s="911"/>
      <c r="FD66" s="911"/>
      <c r="FE66" s="921"/>
      <c r="FF66" s="911"/>
      <c r="FG66" s="911"/>
      <c r="FH66" s="911"/>
      <c r="FI66" s="911"/>
      <c r="FJ66" s="911"/>
      <c r="FK66" s="911"/>
      <c r="FL66" s="911"/>
      <c r="FM66" s="921"/>
      <c r="FN66" s="911"/>
      <c r="FO66" s="911"/>
      <c r="FP66" s="911"/>
      <c r="FQ66" s="911"/>
      <c r="FR66" s="911"/>
      <c r="FS66" s="911"/>
      <c r="FT66" s="921"/>
      <c r="FU66" s="911"/>
      <c r="FV66" s="911"/>
      <c r="FW66" s="911"/>
      <c r="FX66" s="911"/>
      <c r="FY66" s="911"/>
      <c r="FZ66" s="911"/>
      <c r="GA66" s="921"/>
      <c r="GB66" s="911"/>
      <c r="GC66" s="911"/>
      <c r="GD66" s="911"/>
      <c r="GE66" s="911"/>
      <c r="GF66" s="911"/>
      <c r="GG66" s="911"/>
      <c r="GH66" s="911"/>
      <c r="GI66" s="911"/>
      <c r="GJ66" s="911"/>
      <c r="GK66" s="911"/>
      <c r="GL66" s="911"/>
      <c r="GM66" s="911"/>
      <c r="GN66" s="911"/>
      <c r="GO66" s="911"/>
      <c r="GP66" s="911"/>
      <c r="GQ66" s="911"/>
      <c r="GR66" s="911"/>
      <c r="GS66" s="911"/>
      <c r="GT66" s="911"/>
      <c r="GU66" s="911"/>
      <c r="GV66" s="911"/>
      <c r="GW66" s="911"/>
      <c r="GX66" s="911"/>
      <c r="GY66" s="911"/>
      <c r="GZ66" s="911"/>
      <c r="HA66" s="911"/>
      <c r="HB66" s="911"/>
      <c r="HC66" s="911"/>
      <c r="HD66" s="911"/>
      <c r="HE66" s="911"/>
      <c r="HF66" s="911"/>
      <c r="HG66" s="911"/>
      <c r="HH66" s="911"/>
      <c r="HI66" s="911"/>
      <c r="HJ66" s="911"/>
      <c r="HK66" s="911"/>
      <c r="HL66" s="911"/>
      <c r="HM66" s="911"/>
      <c r="HN66" s="911"/>
      <c r="HO66" s="911"/>
      <c r="HP66" s="911"/>
      <c r="HQ66" s="911"/>
      <c r="HR66" s="911"/>
      <c r="HS66" s="911"/>
      <c r="HT66" s="911"/>
      <c r="HU66" s="911"/>
      <c r="HV66" s="911"/>
      <c r="HW66" s="911"/>
      <c r="HX66" s="911"/>
      <c r="HY66" s="911"/>
      <c r="HZ66" s="911"/>
      <c r="IA66" s="911"/>
      <c r="IB66" s="911"/>
      <c r="IC66" s="911"/>
      <c r="ID66" s="911"/>
      <c r="IE66" s="911"/>
      <c r="IF66" s="911"/>
      <c r="IG66" s="911"/>
      <c r="IH66" s="911"/>
      <c r="II66" s="911"/>
      <c r="IJ66" s="911"/>
      <c r="IK66" s="911"/>
      <c r="IL66" s="911"/>
      <c r="IM66" s="911"/>
      <c r="IN66" s="911"/>
      <c r="IO66" s="911"/>
      <c r="IP66" s="911"/>
      <c r="IQ66" s="911"/>
      <c r="IR66" s="911"/>
      <c r="IS66" s="911"/>
      <c r="IT66" s="911"/>
      <c r="IU66" s="911"/>
      <c r="IV66" s="911"/>
      <c r="IW66" s="911"/>
      <c r="IX66" s="911"/>
      <c r="IY66" s="911"/>
      <c r="IZ66" s="911"/>
      <c r="JA66" s="911"/>
      <c r="JB66" s="911"/>
      <c r="JC66" s="911"/>
      <c r="JD66" s="911"/>
      <c r="JE66" s="911"/>
      <c r="JF66" s="911"/>
      <c r="JG66" s="911"/>
      <c r="JH66" s="911"/>
      <c r="JI66" s="911"/>
      <c r="JJ66" s="911"/>
      <c r="JK66" s="911"/>
      <c r="JL66" s="911"/>
      <c r="JM66" s="911"/>
      <c r="JN66" s="911"/>
      <c r="JO66" s="911"/>
      <c r="JP66" s="911"/>
      <c r="JQ66" s="911"/>
      <c r="JR66" s="911"/>
      <c r="JS66" s="911"/>
      <c r="JT66" s="911"/>
      <c r="JU66" s="911"/>
      <c r="JV66" s="911"/>
      <c r="JW66" s="911"/>
      <c r="JX66" s="911"/>
      <c r="JY66" s="911"/>
      <c r="JZ66" s="911"/>
      <c r="KA66" s="911"/>
      <c r="KB66" s="911"/>
      <c r="KC66" s="911"/>
      <c r="KD66" s="911"/>
      <c r="KE66" s="911"/>
      <c r="KF66" s="911"/>
      <c r="KG66" s="911"/>
      <c r="KH66" s="911"/>
      <c r="KI66" s="911"/>
      <c r="KJ66" s="911"/>
      <c r="KK66" s="911"/>
      <c r="KL66" s="911"/>
      <c r="KM66" s="911"/>
      <c r="KN66" s="911"/>
      <c r="KO66" s="911"/>
      <c r="KP66" s="911"/>
      <c r="KQ66" s="911"/>
      <c r="KR66" s="911"/>
      <c r="KS66" s="911"/>
      <c r="KT66" s="911"/>
      <c r="KU66" s="911"/>
      <c r="KV66" s="911"/>
      <c r="KW66" s="911"/>
      <c r="KX66" s="911"/>
      <c r="KY66" s="911"/>
      <c r="KZ66" s="911"/>
      <c r="LA66" s="911"/>
      <c r="LB66" s="911"/>
      <c r="LC66" s="911"/>
      <c r="LD66" s="911"/>
      <c r="LE66" s="911"/>
      <c r="LF66" s="911"/>
      <c r="LG66" s="911"/>
      <c r="LH66" s="911"/>
      <c r="LI66" s="911"/>
      <c r="LJ66" s="911"/>
      <c r="LK66" s="911"/>
      <c r="LL66" s="911"/>
      <c r="LM66" s="911"/>
      <c r="LN66" s="911"/>
      <c r="LO66" s="911"/>
      <c r="LP66" s="911"/>
      <c r="LQ66" s="911"/>
      <c r="LR66" s="911"/>
      <c r="LS66" s="911"/>
      <c r="LT66" s="911"/>
      <c r="LU66" s="911"/>
      <c r="LV66" s="911"/>
      <c r="LW66" s="911"/>
      <c r="LX66" s="911"/>
      <c r="LY66" s="911"/>
      <c r="LZ66" s="911"/>
      <c r="MA66" s="911"/>
      <c r="MB66" s="911"/>
      <c r="MC66" s="911"/>
      <c r="MD66" s="911"/>
      <c r="ME66" s="911"/>
      <c r="MF66" s="911"/>
      <c r="MG66" s="911"/>
      <c r="MH66" s="911"/>
      <c r="MI66" s="911"/>
      <c r="MJ66" s="911"/>
      <c r="MK66" s="911"/>
      <c r="ML66" s="911"/>
      <c r="MM66" s="911"/>
      <c r="MN66" s="911"/>
      <c r="MO66" s="911"/>
      <c r="MP66" s="911"/>
      <c r="MQ66" s="911"/>
      <c r="MR66" s="911"/>
      <c r="MS66" s="911"/>
      <c r="MT66" s="911"/>
      <c r="MU66" s="911"/>
      <c r="MV66" s="911"/>
      <c r="MW66" s="911"/>
      <c r="MX66" s="911"/>
      <c r="MY66" s="911"/>
      <c r="MZ66" s="911"/>
      <c r="NA66" s="911"/>
      <c r="NB66" s="911"/>
      <c r="NC66" s="911"/>
      <c r="ND66" s="911"/>
      <c r="NE66" s="911"/>
      <c r="NF66" s="911"/>
      <c r="NG66" s="911"/>
      <c r="NH66" s="911"/>
      <c r="NI66" s="911"/>
      <c r="NJ66" s="911"/>
      <c r="NK66" s="911"/>
      <c r="NL66" s="911"/>
      <c r="NM66" s="911"/>
      <c r="NN66" s="911"/>
      <c r="NO66" s="911"/>
      <c r="NP66" s="911"/>
      <c r="NQ66" s="911"/>
      <c r="NR66" s="911"/>
      <c r="NS66" s="911"/>
      <c r="NT66" s="911"/>
      <c r="NU66" s="911"/>
      <c r="NV66" s="911"/>
      <c r="NW66" s="911"/>
      <c r="NX66" s="911"/>
      <c r="NY66" s="911"/>
      <c r="NZ66" s="911"/>
      <c r="OA66" s="911"/>
      <c r="OB66" s="911"/>
      <c r="OC66" s="911"/>
      <c r="OD66" s="911"/>
      <c r="OE66" s="911"/>
      <c r="OF66" s="911"/>
      <c r="OG66" s="911"/>
      <c r="OH66" s="911"/>
      <c r="OI66" s="911"/>
      <c r="OJ66" s="911"/>
      <c r="OK66" s="911"/>
      <c r="OL66" s="911"/>
      <c r="OM66" s="911"/>
      <c r="ON66" s="911"/>
      <c r="OO66" s="911"/>
      <c r="OP66" s="911"/>
      <c r="OQ66" s="911"/>
      <c r="OR66" s="911"/>
      <c r="OS66" s="911"/>
      <c r="OT66" s="921"/>
      <c r="OU66" s="921"/>
      <c r="OV66" s="921"/>
      <c r="OW66" s="921"/>
      <c r="OX66" s="921"/>
      <c r="OY66" s="921"/>
      <c r="OZ66" s="921"/>
      <c r="PA66" s="921"/>
      <c r="PB66" s="921"/>
      <c r="PC66" s="921"/>
      <c r="PD66" s="921"/>
      <c r="PE66" s="921"/>
      <c r="PF66" s="921"/>
      <c r="PG66" s="921"/>
      <c r="PH66" s="921"/>
      <c r="PI66" s="911"/>
      <c r="PJ66" s="911"/>
      <c r="PK66" s="911"/>
      <c r="PL66" s="911"/>
      <c r="PM66" s="911"/>
      <c r="PN66" s="911"/>
      <c r="PO66" s="911"/>
      <c r="PP66" s="911"/>
      <c r="PQ66" s="911"/>
      <c r="PR66" s="911"/>
      <c r="PS66" s="911"/>
      <c r="PT66" s="911"/>
      <c r="PU66" s="911"/>
      <c r="PV66" s="911"/>
      <c r="PW66" s="911"/>
      <c r="PX66" s="911"/>
      <c r="PY66" s="911"/>
      <c r="PZ66" s="911"/>
      <c r="QA66" s="911"/>
      <c r="QB66" s="911"/>
      <c r="QC66" s="911"/>
      <c r="QD66" s="911"/>
      <c r="QE66" s="911"/>
      <c r="QF66" s="911"/>
      <c r="QG66" s="911"/>
      <c r="QH66" s="911"/>
      <c r="QI66" s="911"/>
      <c r="QJ66" s="911"/>
      <c r="QK66" s="911"/>
      <c r="QL66" s="911"/>
      <c r="QM66" s="911"/>
      <c r="QN66" s="911"/>
      <c r="QO66" s="911"/>
      <c r="QP66" s="911"/>
      <c r="QQ66" s="911"/>
      <c r="QR66" s="911"/>
      <c r="QS66" s="911"/>
      <c r="QT66" s="911"/>
      <c r="QU66" s="911"/>
      <c r="QV66" s="911"/>
      <c r="QW66" s="911"/>
      <c r="QX66" s="911"/>
      <c r="QY66" s="911"/>
      <c r="QZ66" s="911"/>
      <c r="RA66" s="911"/>
      <c r="RB66" s="911"/>
      <c r="RC66" s="911"/>
      <c r="RD66" s="911"/>
      <c r="RE66" s="911"/>
      <c r="RF66" s="911"/>
      <c r="RG66" s="911"/>
      <c r="RH66" s="911"/>
      <c r="RI66" s="911"/>
      <c r="RJ66" s="911"/>
      <c r="RK66" s="921"/>
      <c r="RL66" s="921"/>
      <c r="RM66" s="921"/>
      <c r="RN66" s="921"/>
      <c r="RO66" s="921"/>
      <c r="RP66" s="921"/>
      <c r="RQ66" s="921"/>
      <c r="RR66" s="911"/>
      <c r="RS66" s="911"/>
      <c r="RT66" s="911"/>
      <c r="RU66" s="911"/>
      <c r="RV66" s="911"/>
      <c r="RW66" s="911"/>
      <c r="RX66" s="911"/>
      <c r="RY66" s="911"/>
      <c r="RZ66" s="911"/>
      <c r="SA66" s="911"/>
      <c r="SB66" s="911"/>
      <c r="SC66" s="911"/>
      <c r="SD66" s="911"/>
      <c r="SE66" s="911"/>
      <c r="SF66" s="911"/>
      <c r="SG66" s="911"/>
      <c r="SH66" s="911"/>
      <c r="SI66" s="911"/>
      <c r="SJ66" s="911"/>
      <c r="SK66" s="911"/>
      <c r="SL66" s="911"/>
      <c r="SM66" s="911"/>
      <c r="SN66" s="911"/>
      <c r="SO66" s="911"/>
      <c r="SP66" s="911"/>
      <c r="SQ66" s="911"/>
      <c r="SR66" s="911"/>
      <c r="SS66" s="911"/>
      <c r="ST66" s="911"/>
      <c r="SU66" s="911"/>
      <c r="SV66" s="911"/>
      <c r="SW66" s="911"/>
      <c r="SX66" s="911"/>
      <c r="SY66" s="911"/>
      <c r="SZ66" s="911"/>
      <c r="TA66" s="911"/>
      <c r="TB66" s="911"/>
      <c r="TC66" s="911"/>
      <c r="TD66" s="911"/>
      <c r="TE66" s="921"/>
      <c r="TF66" s="921"/>
      <c r="TG66" s="921"/>
      <c r="TH66" s="921"/>
      <c r="TI66" s="921"/>
      <c r="TJ66" s="921"/>
      <c r="TK66" s="921"/>
      <c r="TL66" s="911"/>
      <c r="TM66" s="911"/>
      <c r="TN66" s="911"/>
      <c r="TO66" s="911"/>
      <c r="TP66" s="911"/>
      <c r="TQ66" s="911"/>
      <c r="TR66" s="911"/>
      <c r="TS66" s="911"/>
      <c r="TT66" s="911"/>
      <c r="TU66" s="911"/>
      <c r="TV66" s="911"/>
      <c r="TW66" s="911"/>
      <c r="TX66" s="911"/>
      <c r="TY66" s="911"/>
      <c r="TZ66" s="911"/>
      <c r="UA66" s="911"/>
      <c r="UB66" s="911"/>
      <c r="UC66" s="911"/>
      <c r="UD66" s="911"/>
      <c r="UE66" s="911"/>
      <c r="UF66" s="911"/>
      <c r="UG66" s="911"/>
      <c r="UH66" s="911"/>
      <c r="UI66" s="911"/>
      <c r="UJ66" s="921"/>
      <c r="UK66" s="921"/>
      <c r="UL66" s="921"/>
      <c r="UM66" s="921"/>
      <c r="UN66" s="921"/>
      <c r="UO66" s="921"/>
      <c r="UP66" s="921"/>
      <c r="UQ66" s="911"/>
      <c r="UR66" s="911"/>
      <c r="US66" s="911"/>
      <c r="UT66" s="911"/>
      <c r="UU66" s="911"/>
      <c r="UV66" s="911"/>
      <c r="UW66" s="911"/>
      <c r="UX66" s="911"/>
      <c r="UY66" s="911"/>
      <c r="UZ66" s="911"/>
      <c r="VA66" s="911"/>
      <c r="VB66" s="911"/>
      <c r="VC66" s="911"/>
      <c r="VD66" s="911"/>
      <c r="VE66" s="911"/>
      <c r="VF66" s="911"/>
      <c r="VG66" s="911"/>
      <c r="VH66" s="911"/>
      <c r="VI66" s="911"/>
      <c r="VJ66" s="911"/>
      <c r="VK66" s="911"/>
      <c r="VL66" s="911"/>
      <c r="VM66" s="911"/>
      <c r="VN66" s="911"/>
      <c r="VO66" s="911"/>
      <c r="VP66" s="911"/>
      <c r="VQ66" s="911"/>
      <c r="VR66" s="911"/>
      <c r="VS66" s="911"/>
      <c r="VT66" s="911"/>
      <c r="VU66" s="911"/>
      <c r="VV66" s="911"/>
      <c r="VW66" s="911"/>
      <c r="VX66" s="911"/>
      <c r="VY66" s="911"/>
      <c r="VZ66" s="911"/>
      <c r="WA66" s="911"/>
      <c r="WB66" s="911"/>
      <c r="WC66" s="911"/>
      <c r="WD66" s="911"/>
      <c r="WE66" s="911"/>
      <c r="WF66" s="911"/>
      <c r="WG66" s="911"/>
      <c r="WH66" s="911"/>
      <c r="WI66" s="911"/>
      <c r="WJ66" s="911"/>
      <c r="WK66" s="911"/>
      <c r="WL66" s="911"/>
      <c r="WM66" s="911"/>
      <c r="WN66" s="911"/>
      <c r="WO66" s="911"/>
      <c r="WP66" s="911"/>
      <c r="WQ66" s="911"/>
      <c r="WR66" s="911"/>
      <c r="WS66" s="911"/>
      <c r="WT66" s="911"/>
      <c r="WU66" s="911"/>
      <c r="WV66" s="911"/>
      <c r="WW66" s="911"/>
      <c r="WX66" s="911"/>
      <c r="WY66" s="911"/>
      <c r="WZ66" s="911"/>
      <c r="XA66" s="911"/>
      <c r="XB66" s="911"/>
      <c r="XC66" s="911"/>
      <c r="XD66" s="911"/>
      <c r="XE66" s="911"/>
      <c r="XF66" s="911"/>
      <c r="XG66" s="911"/>
      <c r="XH66" s="911"/>
      <c r="XI66" s="911"/>
      <c r="XJ66" s="911"/>
      <c r="XK66" s="911"/>
      <c r="XL66" s="911"/>
      <c r="XM66" s="911"/>
      <c r="XN66" s="911"/>
      <c r="XO66" s="911"/>
      <c r="XP66" s="911"/>
      <c r="XQ66" s="911"/>
      <c r="XR66" s="911"/>
      <c r="XS66" s="911"/>
      <c r="XT66" s="911"/>
      <c r="XU66" s="911"/>
      <c r="XV66" s="911"/>
      <c r="XW66" s="911"/>
      <c r="XX66" s="911"/>
      <c r="XY66" s="911"/>
      <c r="XZ66" s="911"/>
      <c r="YA66" s="911"/>
      <c r="YB66" s="911"/>
      <c r="YC66" s="911"/>
      <c r="YD66" s="911"/>
      <c r="YE66" s="911"/>
      <c r="YF66" s="911"/>
      <c r="YG66" s="911"/>
      <c r="YH66" s="911"/>
      <c r="YI66" s="911"/>
      <c r="YJ66" s="911"/>
      <c r="YK66" s="911"/>
      <c r="YL66" s="911"/>
      <c r="YM66" s="911"/>
      <c r="YN66" s="911"/>
      <c r="YO66" s="911"/>
      <c r="YP66" s="911"/>
      <c r="YQ66" s="922"/>
      <c r="YR66" s="911"/>
      <c r="YS66" s="911"/>
      <c r="YT66" s="911"/>
      <c r="YU66" s="911"/>
      <c r="YV66" s="911"/>
      <c r="YW66" s="911"/>
      <c r="YX66" s="911"/>
      <c r="YY66" s="911"/>
      <c r="YZ66" s="911"/>
      <c r="ZA66" s="911"/>
      <c r="ZB66" s="911"/>
      <c r="ZC66" s="911"/>
      <c r="ZD66" s="911"/>
      <c r="ZE66" s="911"/>
      <c r="ZF66" s="911"/>
      <c r="ZG66" s="911"/>
      <c r="ZH66" s="911"/>
      <c r="ZI66" s="911"/>
      <c r="ZJ66" s="911"/>
      <c r="ZK66" s="911"/>
      <c r="ZL66" s="911"/>
      <c r="ZM66" s="911"/>
      <c r="ZN66" s="911"/>
      <c r="ZO66" s="911"/>
      <c r="ZP66" s="911"/>
      <c r="ZQ66" s="911"/>
      <c r="ZR66" s="911"/>
      <c r="ZS66" s="911"/>
      <c r="ZT66" s="911"/>
      <c r="ZU66" s="911"/>
      <c r="ZV66" s="911"/>
      <c r="ZW66" s="911"/>
      <c r="ZX66" s="911"/>
      <c r="ZY66" s="911"/>
      <c r="ZZ66" s="911"/>
      <c r="AAA66" s="911"/>
      <c r="AAB66" s="911"/>
      <c r="AAC66" s="911"/>
      <c r="AAD66" s="911"/>
      <c r="AAE66" s="911"/>
      <c r="AAF66" s="911"/>
      <c r="AAG66" s="911"/>
      <c r="AAH66" s="911"/>
      <c r="AAI66" s="911"/>
      <c r="AAJ66" s="911"/>
      <c r="AAK66" s="911"/>
      <c r="AAL66" s="911"/>
      <c r="AAM66" s="911"/>
      <c r="AAN66" s="911"/>
      <c r="AAO66" s="911"/>
      <c r="AAP66" s="911"/>
      <c r="AAQ66" s="911"/>
      <c r="AAR66" s="911"/>
      <c r="AAS66" s="911"/>
      <c r="AAT66" s="911"/>
      <c r="AAU66" s="911"/>
      <c r="AAV66" s="911"/>
      <c r="AAW66" s="911"/>
      <c r="AAX66" s="911"/>
      <c r="AAY66" s="911"/>
      <c r="AAZ66" s="911"/>
      <c r="ABA66" s="911"/>
      <c r="ABB66" s="911"/>
      <c r="ABC66" s="911"/>
      <c r="ABD66" s="911"/>
      <c r="ABE66" s="911"/>
      <c r="ABF66" s="911"/>
      <c r="ABG66" s="911"/>
      <c r="ABH66" s="911"/>
      <c r="ABI66" s="911"/>
      <c r="ABJ66" s="911"/>
      <c r="ABK66" s="911"/>
      <c r="ABL66" s="911"/>
      <c r="ABM66" s="911"/>
      <c r="ABN66" s="911"/>
      <c r="ABO66" s="911"/>
      <c r="ABP66" s="911"/>
      <c r="ABQ66" s="911"/>
      <c r="ABR66" s="911"/>
      <c r="ABS66" s="911"/>
      <c r="ABT66" s="911"/>
      <c r="ABU66" s="911"/>
      <c r="ABV66" s="911"/>
      <c r="ABW66" s="911"/>
      <c r="ABX66" s="911"/>
      <c r="ABY66" s="911"/>
      <c r="ABZ66" s="911"/>
      <c r="ACA66" s="911"/>
      <c r="ACB66" s="911"/>
      <c r="ACC66" s="911"/>
      <c r="ACD66" s="911"/>
      <c r="ACE66" s="911"/>
      <c r="ACF66" s="911"/>
      <c r="ACG66" s="911"/>
      <c r="ACH66" s="911"/>
      <c r="ACI66" s="911"/>
      <c r="ACJ66" s="911"/>
      <c r="ACK66" s="911"/>
      <c r="ACL66" s="911"/>
      <c r="ACM66" s="911"/>
      <c r="ACN66" s="911"/>
      <c r="ACO66" s="911"/>
      <c r="ACP66" s="911"/>
      <c r="ACQ66" s="911"/>
      <c r="ACR66" s="911"/>
      <c r="ACS66" s="911"/>
      <c r="ACT66" s="911"/>
      <c r="ACU66" s="911"/>
      <c r="ACV66" s="911"/>
      <c r="ACW66" s="911"/>
      <c r="ACX66" s="911"/>
      <c r="ACY66" s="911"/>
      <c r="ACZ66" s="911"/>
      <c r="ADA66" s="911"/>
      <c r="ADB66" s="911"/>
      <c r="ADC66" s="911"/>
      <c r="ADD66" s="911"/>
      <c r="ADE66" s="911"/>
      <c r="ADF66" s="911"/>
      <c r="ADG66" s="911"/>
      <c r="ADH66" s="911"/>
      <c r="ADI66" s="911"/>
      <c r="ADJ66" s="911"/>
      <c r="ADK66" s="911"/>
      <c r="ADL66" s="911"/>
      <c r="ADM66" s="911"/>
      <c r="ADN66" s="911"/>
      <c r="ADO66" s="911"/>
      <c r="ADP66" s="911"/>
      <c r="ADQ66" s="911"/>
      <c r="ADR66" s="911"/>
      <c r="ADS66" s="911"/>
      <c r="ADT66" s="911"/>
      <c r="ADU66" s="911"/>
      <c r="ADV66" s="911"/>
      <c r="ADW66" s="911"/>
      <c r="ADX66" s="911"/>
      <c r="ADY66" s="911"/>
      <c r="ADZ66" s="911"/>
      <c r="AEA66" s="911"/>
      <c r="AEB66" s="911"/>
      <c r="AEC66" s="911"/>
      <c r="AED66" s="911"/>
      <c r="AEE66" s="911"/>
      <c r="AEF66" s="911"/>
      <c r="AEG66" s="911"/>
      <c r="AEH66" s="911"/>
      <c r="AEI66" s="911"/>
      <c r="AEJ66" s="911"/>
      <c r="AEK66" s="911"/>
      <c r="AEL66" s="911"/>
      <c r="AEM66" s="911"/>
      <c r="AEN66" s="911"/>
      <c r="AEO66" s="911"/>
      <c r="AEP66" s="911"/>
      <c r="AEQ66" s="911"/>
      <c r="AER66" s="911"/>
      <c r="AES66" s="911"/>
      <c r="AET66" s="911"/>
      <c r="AEU66" s="911"/>
      <c r="AEV66" s="911"/>
      <c r="AEW66" s="911"/>
      <c r="AEX66" s="911"/>
      <c r="AEY66" s="911"/>
      <c r="AEZ66" s="911"/>
      <c r="AFA66" s="911"/>
      <c r="AFB66" s="911"/>
      <c r="AFC66" s="911"/>
      <c r="AFD66" s="911"/>
      <c r="AFE66" s="911"/>
      <c r="AFF66" s="911"/>
      <c r="AFG66" s="911"/>
      <c r="AFH66" s="911"/>
      <c r="AFI66" s="911"/>
      <c r="AFJ66" s="911"/>
      <c r="AFK66" s="911"/>
      <c r="AFL66" s="911"/>
      <c r="AFM66" s="911"/>
      <c r="AFN66" s="911"/>
      <c r="AFO66" s="911"/>
      <c r="AFP66" s="911"/>
      <c r="AFQ66" s="911"/>
      <c r="AFR66" s="911"/>
      <c r="AFS66" s="911"/>
      <c r="AFT66" s="911"/>
      <c r="AFU66" s="911"/>
      <c r="AFV66" s="911"/>
      <c r="AFW66" s="911"/>
      <c r="AFX66" s="911"/>
      <c r="AFY66" s="911"/>
      <c r="AFZ66" s="911"/>
      <c r="AGA66" s="911"/>
      <c r="AGB66" s="911"/>
      <c r="AGC66" s="911"/>
      <c r="AGD66" s="911"/>
      <c r="AGE66" s="911"/>
      <c r="AGF66" s="911"/>
      <c r="AGG66" s="911"/>
      <c r="AGH66" s="911"/>
      <c r="AGI66" s="911"/>
      <c r="AGJ66" s="911"/>
      <c r="AGK66" s="911"/>
      <c r="AGL66" s="911"/>
      <c r="AGM66" s="911"/>
      <c r="AGN66" s="911"/>
      <c r="AGO66" s="911"/>
      <c r="AGP66" s="911"/>
      <c r="AGQ66" s="911"/>
      <c r="AGR66" s="911"/>
      <c r="AGS66" s="911"/>
      <c r="AGT66" s="911"/>
      <c r="AGU66" s="911"/>
      <c r="AGV66" s="911"/>
      <c r="AGW66" s="911"/>
      <c r="AGX66" s="911"/>
      <c r="AGY66" s="911"/>
      <c r="AGZ66" s="911"/>
      <c r="AHA66" s="911"/>
      <c r="AHB66" s="911"/>
      <c r="AHC66" s="911"/>
      <c r="AHD66" s="911"/>
      <c r="AHE66" s="911"/>
      <c r="AHF66" s="911"/>
      <c r="AHG66" s="911"/>
      <c r="AHH66" s="911"/>
      <c r="AHI66" s="911"/>
      <c r="AHJ66" s="911"/>
      <c r="AHK66" s="911"/>
      <c r="AHL66" s="911"/>
      <c r="AHM66" s="911"/>
      <c r="AHN66" s="911"/>
      <c r="AHO66" s="911"/>
      <c r="AHP66" s="911"/>
      <c r="AHQ66" s="911"/>
      <c r="AHR66" s="911"/>
      <c r="AHS66" s="911"/>
      <c r="AHT66" s="911"/>
      <c r="AHU66" s="911"/>
      <c r="AHV66" s="911"/>
      <c r="AHW66" s="911"/>
      <c r="AHX66" s="911"/>
      <c r="AHY66" s="911"/>
      <c r="AHZ66" s="911"/>
      <c r="AIA66" s="911"/>
      <c r="AIB66" s="911"/>
      <c r="AIC66" s="911"/>
      <c r="AID66" s="911"/>
      <c r="AIE66" s="911"/>
      <c r="AIF66" s="911"/>
      <c r="AIG66" s="911"/>
      <c r="AIH66" s="911"/>
      <c r="AII66" s="911"/>
      <c r="AIJ66" s="911"/>
      <c r="AIK66" s="911"/>
      <c r="AIL66" s="911"/>
      <c r="AIM66" s="911"/>
      <c r="AIN66" s="911"/>
      <c r="AIO66" s="911"/>
      <c r="AIP66" s="911"/>
      <c r="AIQ66" s="911"/>
      <c r="AIR66" s="911"/>
      <c r="AIS66" s="911"/>
      <c r="AIT66" s="911"/>
      <c r="AIU66" s="911"/>
      <c r="AIV66" s="911"/>
      <c r="AIW66" s="911"/>
      <c r="AIX66" s="911"/>
      <c r="AIY66" s="911"/>
      <c r="AIZ66" s="911"/>
      <c r="AJA66" s="911"/>
      <c r="AJB66" s="911"/>
      <c r="AJC66" s="911"/>
      <c r="AJD66" s="911"/>
      <c r="AJE66" s="911"/>
      <c r="AJF66" s="911"/>
      <c r="AJG66" s="911"/>
      <c r="AJH66" s="911"/>
      <c r="AJI66" s="911"/>
      <c r="AJJ66" s="911"/>
      <c r="AJK66" s="911"/>
      <c r="AJL66" s="911"/>
      <c r="AJM66" s="911"/>
      <c r="AJN66" s="921"/>
      <c r="AJO66" s="921"/>
      <c r="AJP66" s="921"/>
      <c r="AJQ66" s="921"/>
      <c r="AJR66" s="921"/>
      <c r="AJS66" s="921"/>
      <c r="AJT66" s="921"/>
      <c r="AJU66" s="921"/>
      <c r="AJV66" s="921"/>
      <c r="AJW66" s="921"/>
      <c r="AJX66" s="921"/>
      <c r="AJY66" s="921"/>
      <c r="AJZ66" s="921"/>
      <c r="AKA66" s="921"/>
      <c r="AKB66" s="921"/>
      <c r="AKC66" s="911"/>
      <c r="AKD66" s="911"/>
      <c r="AKE66" s="911"/>
      <c r="AKF66" s="911"/>
      <c r="AKG66" s="911"/>
      <c r="AKH66" s="911"/>
      <c r="AKI66" s="911"/>
      <c r="AKJ66" s="911"/>
      <c r="AKK66" s="911"/>
      <c r="AKL66" s="911"/>
      <c r="AKM66" s="911"/>
      <c r="AKN66" s="911"/>
      <c r="AKO66" s="911"/>
      <c r="AKP66" s="911"/>
      <c r="AKQ66" s="911"/>
      <c r="AKR66" s="911"/>
      <c r="AKS66" s="911"/>
      <c r="AKT66" s="911"/>
      <c r="AKU66" s="911"/>
      <c r="AKV66" s="911"/>
      <c r="AKW66" s="911"/>
      <c r="AKX66" s="911"/>
      <c r="AKY66" s="911"/>
      <c r="AKZ66" s="911"/>
      <c r="ALA66" s="911"/>
      <c r="ALB66" s="911"/>
      <c r="ALC66" s="911"/>
      <c r="ALD66" s="911"/>
      <c r="ALE66" s="911"/>
      <c r="ALF66" s="911"/>
      <c r="ALG66" s="911"/>
      <c r="ALH66" s="911"/>
      <c r="ALI66" s="911"/>
      <c r="ALJ66" s="911"/>
      <c r="ALK66" s="911"/>
      <c r="ALL66" s="911"/>
      <c r="ALM66" s="911"/>
      <c r="ALN66" s="911"/>
      <c r="ALO66" s="911"/>
      <c r="ALP66" s="911"/>
      <c r="ALQ66" s="911"/>
      <c r="ALR66" s="911"/>
      <c r="ALS66" s="911"/>
      <c r="ALT66" s="911"/>
      <c r="ALU66" s="911"/>
      <c r="ALV66" s="911"/>
      <c r="ALW66" s="911"/>
      <c r="ALX66" s="911"/>
      <c r="ALY66" s="911"/>
      <c r="ALZ66" s="911"/>
      <c r="AMA66" s="911"/>
      <c r="AMB66" s="911"/>
      <c r="AMC66" s="911"/>
      <c r="AMD66" s="911"/>
      <c r="AME66" s="921"/>
      <c r="AMF66" s="921"/>
      <c r="AMG66" s="921"/>
      <c r="AMH66" s="921"/>
      <c r="AMI66" s="921"/>
      <c r="AMJ66" s="921"/>
      <c r="AMK66" s="921"/>
      <c r="AML66" s="911"/>
      <c r="AMM66" s="911"/>
      <c r="AMN66" s="911"/>
      <c r="AMO66" s="911"/>
      <c r="AMP66" s="911"/>
      <c r="AMQ66" s="911"/>
      <c r="AMR66" s="911"/>
      <c r="AMS66" s="911"/>
      <c r="AMT66" s="911"/>
      <c r="AMU66" s="911"/>
      <c r="AMV66" s="911"/>
      <c r="AMW66" s="911"/>
      <c r="AMX66" s="911"/>
      <c r="AMY66" s="911"/>
      <c r="AMZ66" s="911"/>
      <c r="ANA66" s="911"/>
      <c r="ANB66" s="911"/>
      <c r="ANC66" s="911"/>
      <c r="AND66" s="911"/>
      <c r="ANE66" s="911"/>
      <c r="ANF66" s="911"/>
      <c r="ANG66" s="911"/>
      <c r="ANH66" s="911"/>
      <c r="ANI66" s="911"/>
      <c r="ANJ66" s="911"/>
      <c r="ANK66" s="911"/>
      <c r="ANL66" s="911"/>
      <c r="ANM66" s="911"/>
      <c r="ANN66" s="911"/>
      <c r="ANO66" s="911"/>
      <c r="ANP66" s="911"/>
      <c r="ANQ66" s="911"/>
      <c r="ANR66" s="911"/>
      <c r="ANS66" s="911"/>
      <c r="ANT66" s="911"/>
      <c r="ANU66" s="911"/>
      <c r="ANV66" s="911"/>
      <c r="ANW66" s="911"/>
      <c r="ANX66" s="911"/>
      <c r="ANY66" s="921"/>
      <c r="ANZ66" s="921"/>
      <c r="AOA66" s="921"/>
      <c r="AOB66" s="921"/>
      <c r="AOC66" s="921"/>
      <c r="AOD66" s="921"/>
      <c r="AOE66" s="921"/>
      <c r="AOF66" s="911"/>
      <c r="AOG66" s="911"/>
      <c r="AOH66" s="911"/>
      <c r="AOI66" s="911"/>
      <c r="AOJ66" s="911"/>
      <c r="AOK66" s="911"/>
      <c r="AOL66" s="911"/>
      <c r="AOM66" s="911"/>
      <c r="AON66" s="911"/>
      <c r="AOO66" s="911"/>
      <c r="AOP66" s="911"/>
      <c r="AOQ66" s="911"/>
      <c r="AOR66" s="911"/>
      <c r="AOS66" s="911"/>
      <c r="AOT66" s="911"/>
      <c r="AOU66" s="911"/>
      <c r="AOV66" s="911"/>
      <c r="AOW66" s="911"/>
      <c r="AOX66" s="911"/>
      <c r="AOY66" s="911"/>
      <c r="AOZ66" s="911"/>
      <c r="APA66" s="911"/>
      <c r="APB66" s="911"/>
      <c r="APC66" s="911"/>
      <c r="APD66" s="921"/>
      <c r="APE66" s="921"/>
      <c r="APF66" s="921"/>
      <c r="APG66" s="921"/>
      <c r="APH66" s="921"/>
      <c r="API66" s="921"/>
      <c r="APJ66" s="921"/>
      <c r="APK66" s="911"/>
      <c r="APL66" s="911"/>
      <c r="APM66" s="911"/>
      <c r="APN66" s="911"/>
      <c r="APO66" s="911"/>
      <c r="APP66" s="911"/>
      <c r="APQ66" s="911"/>
      <c r="APR66" s="911"/>
      <c r="APS66" s="911"/>
      <c r="APT66" s="911"/>
      <c r="APU66" s="911"/>
      <c r="APV66" s="911"/>
      <c r="APW66" s="911"/>
      <c r="APX66" s="911"/>
      <c r="APY66" s="911"/>
      <c r="APZ66" s="911"/>
      <c r="AQA66" s="911"/>
      <c r="AQB66" s="911"/>
      <c r="AQC66" s="911"/>
      <c r="AQD66" s="911"/>
      <c r="AQE66" s="911"/>
      <c r="AQF66" s="911"/>
      <c r="AQG66" s="911"/>
      <c r="AQH66" s="911"/>
      <c r="AQI66" s="911"/>
      <c r="AQJ66" s="911"/>
      <c r="AQK66" s="911"/>
      <c r="AQL66" s="911"/>
      <c r="AQM66" s="911"/>
      <c r="AQN66" s="911"/>
      <c r="AQO66" s="911"/>
      <c r="AQP66" s="911"/>
      <c r="AQQ66" s="911"/>
      <c r="AQR66" s="911"/>
      <c r="AQS66" s="911"/>
      <c r="AQT66" s="911"/>
      <c r="AQU66" s="911"/>
      <c r="AQV66" s="911"/>
      <c r="AQW66" s="911"/>
      <c r="AQX66" s="911"/>
      <c r="AQY66" s="911"/>
      <c r="AQZ66" s="911"/>
      <c r="ARA66" s="911"/>
      <c r="ARB66" s="911"/>
      <c r="ARC66" s="911"/>
      <c r="ARD66" s="911"/>
      <c r="ARE66" s="911"/>
      <c r="ARF66" s="911"/>
      <c r="ARG66" s="911"/>
      <c r="ARH66" s="911"/>
      <c r="ARI66" s="911"/>
      <c r="ARJ66" s="911"/>
      <c r="ARK66" s="911"/>
      <c r="ARL66" s="911"/>
      <c r="ARM66" s="911"/>
      <c r="ARN66" s="911"/>
      <c r="ARO66" s="911"/>
      <c r="ARP66" s="911"/>
      <c r="ARQ66" s="911"/>
      <c r="ARR66" s="911"/>
      <c r="ARS66" s="911"/>
      <c r="ART66" s="911"/>
      <c r="ARU66" s="911"/>
      <c r="ARV66" s="911"/>
      <c r="ARW66" s="911"/>
      <c r="ARX66" s="911"/>
      <c r="ARY66" s="911"/>
      <c r="ARZ66" s="911"/>
      <c r="ASA66" s="911"/>
      <c r="ASB66" s="911"/>
      <c r="ASC66" s="911"/>
      <c r="ASD66" s="911"/>
      <c r="ASE66" s="911"/>
      <c r="ASF66" s="911"/>
      <c r="ASG66" s="911"/>
      <c r="ASH66" s="911"/>
      <c r="ASI66" s="911"/>
      <c r="ASJ66" s="911"/>
      <c r="ASK66" s="911"/>
      <c r="ASL66" s="911"/>
      <c r="ASM66" s="911"/>
      <c r="ASN66" s="911"/>
      <c r="ASO66" s="911"/>
      <c r="ASP66" s="911"/>
      <c r="ASQ66" s="911"/>
      <c r="ASR66" s="911"/>
      <c r="ASS66" s="911"/>
      <c r="AST66" s="911"/>
      <c r="ASU66" s="911"/>
      <c r="ASV66" s="911"/>
      <c r="ASW66" s="911"/>
      <c r="ASX66" s="911"/>
      <c r="ASY66" s="911"/>
      <c r="ASZ66" s="911"/>
      <c r="ATA66" s="911"/>
      <c r="ATB66" s="911"/>
      <c r="ATC66" s="911"/>
      <c r="ATD66" s="911"/>
      <c r="ATE66" s="911"/>
      <c r="ATF66" s="911"/>
      <c r="ATG66" s="911"/>
      <c r="ATH66" s="911"/>
      <c r="ATI66" s="911"/>
      <c r="ATJ66" s="911"/>
      <c r="ATK66" s="911"/>
      <c r="ATL66" s="911"/>
      <c r="ATM66" s="911"/>
      <c r="ATN66" s="911"/>
      <c r="ATO66" s="911"/>
      <c r="ATP66" s="911"/>
      <c r="ATQ66" s="911"/>
      <c r="ATR66" s="911"/>
      <c r="ATS66" s="911"/>
      <c r="ATT66" s="911"/>
      <c r="ATU66" s="911"/>
      <c r="ATV66" s="911"/>
      <c r="ATW66" s="911"/>
      <c r="ATX66" s="911"/>
      <c r="ATY66" s="911"/>
      <c r="ATZ66" s="911"/>
      <c r="AUA66" s="911"/>
      <c r="AUB66" s="911"/>
      <c r="AUC66" s="911"/>
      <c r="AUD66" s="911"/>
      <c r="AUE66" s="911"/>
      <c r="AUF66" s="911"/>
      <c r="AUG66" s="911"/>
      <c r="AUH66" s="911"/>
      <c r="AUI66" s="911"/>
      <c r="AUJ66" s="911"/>
      <c r="AUK66" s="911"/>
      <c r="AUL66" s="911"/>
      <c r="AUM66" s="911"/>
      <c r="AUN66" s="911"/>
      <c r="AUO66" s="911"/>
      <c r="AUP66" s="911"/>
      <c r="AUQ66" s="911"/>
      <c r="AUR66" s="911"/>
      <c r="AUS66" s="911"/>
      <c r="AUT66" s="911"/>
      <c r="AUU66" s="911"/>
      <c r="AUV66" s="911"/>
      <c r="AUW66" s="911"/>
      <c r="AUX66" s="911"/>
      <c r="AUY66" s="911"/>
      <c r="AUZ66" s="911"/>
      <c r="AVA66" s="911"/>
      <c r="AVB66" s="911"/>
      <c r="AVC66" s="911"/>
      <c r="AVD66" s="911"/>
      <c r="AVE66" s="911"/>
      <c r="AVF66" s="911"/>
      <c r="AVG66" s="911"/>
      <c r="AVH66" s="911"/>
      <c r="AVI66" s="911"/>
      <c r="AVJ66" s="911"/>
      <c r="AVK66" s="911"/>
      <c r="AVL66" s="911"/>
      <c r="AVM66" s="911"/>
      <c r="AVN66" s="911"/>
      <c r="AVO66" s="911"/>
      <c r="AVP66" s="911"/>
      <c r="AVQ66" s="911"/>
      <c r="AVR66" s="911"/>
      <c r="AVS66" s="911"/>
      <c r="AVT66" s="911"/>
      <c r="AVU66" s="911"/>
      <c r="AVV66" s="911"/>
      <c r="AVW66" s="911"/>
      <c r="AVX66" s="911"/>
      <c r="AVY66" s="911"/>
      <c r="AVZ66" s="911"/>
      <c r="AWA66" s="911"/>
      <c r="AWB66" s="911"/>
      <c r="AWC66" s="911"/>
      <c r="AWD66" s="911"/>
      <c r="AWE66" s="911"/>
      <c r="AWF66" s="911"/>
      <c r="AWG66" s="911"/>
      <c r="AWH66" s="911"/>
      <c r="AWI66" s="911"/>
      <c r="AWJ66" s="911"/>
      <c r="AWK66" s="911"/>
      <c r="AWL66" s="911"/>
      <c r="AWM66" s="911"/>
      <c r="AWN66" s="911"/>
      <c r="AWO66" s="911"/>
      <c r="AWP66" s="911"/>
      <c r="AWQ66" s="911"/>
      <c r="AWR66" s="911"/>
      <c r="AWS66" s="911"/>
      <c r="AWT66" s="911"/>
      <c r="AWU66" s="922"/>
      <c r="AWV66" s="922"/>
      <c r="AWW66" s="923"/>
      <c r="AWX66" s="923"/>
      <c r="AWY66" s="923"/>
      <c r="AWZ66" s="923"/>
      <c r="AXA66" s="922"/>
      <c r="AXB66" s="922"/>
      <c r="AXC66" s="922"/>
      <c r="AXD66" s="922"/>
      <c r="AXE66" s="922"/>
      <c r="AXF66" s="922"/>
      <c r="AXG66" s="922"/>
      <c r="AXH66" s="922"/>
      <c r="AXI66" s="922"/>
      <c r="AXJ66" s="922"/>
      <c r="AXK66" s="922"/>
      <c r="AXL66" s="922"/>
      <c r="AXM66" s="922"/>
      <c r="AXN66" s="922"/>
      <c r="AXO66" s="922"/>
      <c r="AXP66" s="922"/>
      <c r="AXQ66" s="922"/>
      <c r="AXR66" s="922"/>
      <c r="AXS66" s="922"/>
      <c r="AXT66" s="922"/>
      <c r="AXU66" s="923"/>
      <c r="AXV66" s="923"/>
      <c r="AXW66" s="922"/>
      <c r="AXX66" s="922"/>
      <c r="AXY66" s="922"/>
      <c r="AXZ66" s="922"/>
      <c r="AYA66" s="922"/>
      <c r="AYB66" s="922"/>
      <c r="AYC66" s="922"/>
      <c r="AYD66" s="922"/>
      <c r="AYE66" s="922"/>
      <c r="AYF66" s="922"/>
      <c r="AYG66" s="922"/>
      <c r="AYH66" s="922"/>
      <c r="AYI66" s="922"/>
      <c r="AYJ66" s="922"/>
      <c r="AYK66" s="922"/>
      <c r="AYL66" s="922"/>
      <c r="AYM66" s="922"/>
      <c r="AYN66" s="922"/>
      <c r="AYO66" s="922"/>
      <c r="AYP66" s="922"/>
      <c r="AYQ66" s="922"/>
      <c r="AYR66" s="922"/>
      <c r="AYS66" s="922"/>
      <c r="AYT66" s="922"/>
      <c r="AYU66" s="922"/>
      <c r="AYV66" s="922"/>
      <c r="AYW66" s="922"/>
      <c r="AYX66" s="922"/>
      <c r="AYY66" s="922"/>
      <c r="AYZ66" s="922"/>
      <c r="AZA66" s="922"/>
      <c r="AZB66" s="922"/>
      <c r="AZC66" s="922"/>
      <c r="AZD66" s="922"/>
      <c r="AZE66" s="922"/>
      <c r="AZF66" s="922"/>
      <c r="AZG66" s="922"/>
      <c r="AZH66" s="922"/>
      <c r="AZI66" s="922"/>
      <c r="AZJ66" s="922"/>
      <c r="AZK66" s="922"/>
      <c r="AZL66" s="922"/>
      <c r="AZM66" s="922"/>
      <c r="AZN66" s="922"/>
      <c r="AZO66" s="922"/>
      <c r="AZP66" s="922"/>
      <c r="AZQ66" s="922"/>
      <c r="AZR66" s="922"/>
      <c r="AZS66" s="922"/>
      <c r="AZT66" s="922"/>
      <c r="AZU66" s="922"/>
      <c r="AZV66" s="922"/>
      <c r="AZW66" s="922"/>
      <c r="AZX66" s="922"/>
      <c r="AZY66" s="922"/>
      <c r="AZZ66" s="922"/>
      <c r="BAA66" s="922"/>
      <c r="BAB66" s="922"/>
      <c r="BAC66" s="922"/>
      <c r="BAD66" s="922"/>
      <c r="BAE66" s="922"/>
      <c r="BAF66" s="922"/>
      <c r="BAG66" s="922"/>
      <c r="BAH66" s="922"/>
      <c r="BAI66" s="922"/>
      <c r="BAJ66" s="922"/>
      <c r="BAK66" s="922"/>
      <c r="BAL66" s="922"/>
      <c r="BAM66" s="922"/>
      <c r="BAN66" s="922"/>
      <c r="BAO66" s="922"/>
      <c r="BAP66" s="923"/>
      <c r="BAQ66" s="923"/>
      <c r="BAR66" s="922"/>
      <c r="BAS66" s="922"/>
      <c r="BAT66" s="922"/>
      <c r="BAU66" s="922"/>
      <c r="BAV66" s="922"/>
      <c r="BAW66" s="922"/>
      <c r="BAX66" s="922"/>
      <c r="BAY66" s="922"/>
      <c r="BAZ66" s="922"/>
      <c r="BBA66" s="923"/>
      <c r="BBB66" s="923"/>
      <c r="BBC66" s="922"/>
      <c r="BBD66" s="922"/>
      <c r="BBE66" s="922"/>
      <c r="BBF66" s="922"/>
      <c r="BBG66" s="922"/>
      <c r="BBH66" s="922"/>
      <c r="BBI66" s="922"/>
      <c r="BBJ66" s="922"/>
      <c r="BBK66" s="922"/>
      <c r="BBL66" s="922"/>
      <c r="BBM66" s="922"/>
      <c r="BBN66" s="922"/>
      <c r="BBO66" s="922"/>
      <c r="BBP66" s="922"/>
      <c r="BBQ66" s="922"/>
      <c r="BBR66" s="922"/>
      <c r="BBS66" s="922"/>
      <c r="BBT66" s="922"/>
      <c r="BBU66" s="922"/>
      <c r="BBV66" s="922"/>
      <c r="BBW66" s="922"/>
      <c r="BBX66" s="922"/>
      <c r="BBY66" s="922"/>
      <c r="BBZ66" s="922"/>
      <c r="BCA66" s="922"/>
      <c r="BCB66" s="922"/>
      <c r="BCC66" s="922"/>
      <c r="BCD66" s="922"/>
      <c r="BCE66" s="922"/>
      <c r="BCF66" s="922"/>
      <c r="BCG66" s="922"/>
      <c r="BCH66" s="922"/>
      <c r="BCI66" s="922"/>
      <c r="BCJ66" s="922"/>
      <c r="BCK66" s="922"/>
      <c r="BCL66" s="922"/>
      <c r="BCM66" s="922"/>
      <c r="BCN66" s="922"/>
      <c r="BCO66" s="922"/>
      <c r="BCP66" s="922"/>
      <c r="BCQ66" s="922"/>
      <c r="BCR66" s="922"/>
      <c r="BCS66" s="922"/>
      <c r="BCT66" s="922"/>
      <c r="BCU66" s="922"/>
      <c r="BCV66" s="922"/>
      <c r="BCW66" s="922"/>
      <c r="BCX66" s="922"/>
      <c r="BCY66" s="922"/>
      <c r="BCZ66" s="922"/>
      <c r="BDA66" s="922"/>
      <c r="BDB66" s="922"/>
      <c r="BDC66" s="922"/>
      <c r="BDD66" s="922"/>
      <c r="BDE66" s="922"/>
      <c r="BDF66" s="922"/>
      <c r="BDG66" s="922"/>
      <c r="BDH66" s="922"/>
      <c r="BDI66" s="922"/>
      <c r="BDJ66" s="922"/>
      <c r="BDK66" s="922"/>
      <c r="BDL66" s="922"/>
      <c r="BDM66" s="922"/>
      <c r="BDN66" s="922"/>
      <c r="BDO66" s="922"/>
      <c r="BDP66" s="922"/>
      <c r="BDQ66" s="922"/>
      <c r="BDR66" s="922"/>
      <c r="BDS66" s="922"/>
      <c r="BDT66" s="922"/>
      <c r="BDU66" s="922"/>
      <c r="BDV66" s="922"/>
      <c r="BDW66" s="922"/>
      <c r="BDX66" s="922"/>
      <c r="BDY66" s="922"/>
      <c r="BDZ66" s="922"/>
      <c r="BEA66" s="922"/>
      <c r="BEB66" s="922"/>
      <c r="BEC66" s="922"/>
      <c r="BED66" s="922"/>
      <c r="BEE66" s="922"/>
      <c r="BEF66" s="922"/>
      <c r="BEG66" s="922"/>
      <c r="BEH66" s="922"/>
      <c r="BEI66" s="922"/>
      <c r="BEJ66" s="922"/>
      <c r="BEK66" s="922"/>
      <c r="BEL66" s="922"/>
      <c r="BEM66" s="922"/>
      <c r="BEN66" s="922"/>
      <c r="BEO66" s="922"/>
      <c r="BEP66" s="922"/>
      <c r="BEQ66" s="922"/>
      <c r="BER66" s="922"/>
      <c r="BES66" s="922"/>
      <c r="BET66" s="922"/>
      <c r="BEU66" s="922"/>
      <c r="BEV66" s="922"/>
      <c r="BEW66" s="922"/>
      <c r="BEX66" s="922"/>
      <c r="BEY66" s="922"/>
      <c r="BEZ66" s="922"/>
      <c r="BFA66" s="922"/>
      <c r="BFB66" s="922"/>
      <c r="BFC66" s="922"/>
      <c r="BFD66" s="922"/>
      <c r="BFE66" s="922"/>
      <c r="BFF66" s="922"/>
      <c r="BFG66" s="922"/>
      <c r="BFH66" s="922"/>
      <c r="BFI66" s="922"/>
      <c r="BFJ66" s="922"/>
      <c r="BFK66" s="922"/>
      <c r="BFL66" s="922"/>
      <c r="BFM66" s="922"/>
      <c r="BFN66" s="922"/>
      <c r="BFO66" s="922"/>
      <c r="BFP66" s="922"/>
      <c r="BFQ66" s="922"/>
      <c r="BFR66" s="922"/>
      <c r="BFS66" s="922"/>
      <c r="BFT66" s="922"/>
      <c r="BFU66" s="922"/>
      <c r="BFV66" s="922"/>
      <c r="BFW66" s="922"/>
      <c r="BFX66" s="922"/>
      <c r="BFY66" s="922"/>
      <c r="BFZ66" s="922"/>
      <c r="BGA66" s="922"/>
      <c r="BGB66" s="922"/>
      <c r="BGC66" s="923"/>
      <c r="BGD66" s="923"/>
      <c r="BGE66" s="923"/>
      <c r="BGF66" s="923"/>
      <c r="BGG66" s="922"/>
      <c r="BGH66" s="922"/>
      <c r="BGI66" s="922"/>
      <c r="BGJ66" s="922"/>
      <c r="BGK66" s="922"/>
      <c r="BGL66" s="922"/>
      <c r="BGM66" s="922"/>
      <c r="BGN66" s="922"/>
      <c r="BGO66" s="922"/>
      <c r="BGP66" s="922"/>
      <c r="BGQ66" s="922"/>
      <c r="BGR66" s="922"/>
      <c r="BGS66" s="922"/>
      <c r="BGT66" s="922"/>
      <c r="BGU66" s="922"/>
      <c r="BGV66" s="922"/>
      <c r="BGW66" s="922"/>
      <c r="BGX66" s="922"/>
      <c r="BGY66" s="922"/>
      <c r="BGZ66" s="922"/>
      <c r="BHA66" s="922"/>
      <c r="BHB66" s="922"/>
      <c r="BHC66" s="922"/>
      <c r="BHD66" s="922"/>
      <c r="BHE66" s="922"/>
      <c r="BHF66" s="922"/>
      <c r="BHG66" s="922"/>
      <c r="BHH66" s="922"/>
      <c r="BHI66" s="922"/>
      <c r="BHJ66" s="922"/>
      <c r="BHK66" s="922"/>
      <c r="BHL66" s="922"/>
      <c r="BHM66" s="922"/>
      <c r="BHN66" s="922"/>
      <c r="BHO66" s="922"/>
      <c r="BHP66" s="922"/>
      <c r="BHQ66" s="922"/>
      <c r="BHR66" s="922"/>
      <c r="BHS66" s="922"/>
      <c r="BHT66" s="922"/>
      <c r="BHU66" s="922"/>
      <c r="BHV66" s="922"/>
      <c r="BHW66" s="922"/>
      <c r="BHX66" s="922"/>
      <c r="BHY66" s="922"/>
      <c r="BHZ66" s="922"/>
      <c r="BIA66" s="922"/>
      <c r="BIB66" s="922"/>
      <c r="BIC66" s="922"/>
      <c r="BID66" s="922"/>
      <c r="BIE66" s="922"/>
      <c r="BIF66" s="922"/>
      <c r="BIG66" s="922"/>
      <c r="BIH66" s="922"/>
      <c r="BII66" s="922"/>
      <c r="BIJ66" s="922"/>
      <c r="BIK66" s="922"/>
      <c r="BIL66" s="922"/>
      <c r="BIM66" s="922"/>
      <c r="BIN66" s="922"/>
      <c r="BIO66" s="922"/>
      <c r="BIP66" s="922"/>
      <c r="BIQ66" s="922"/>
      <c r="BIR66" s="922"/>
      <c r="BIS66" s="922"/>
      <c r="BIT66" s="922"/>
      <c r="BIU66" s="922"/>
      <c r="BIV66" s="922"/>
      <c r="BIW66" s="922"/>
      <c r="BIX66" s="922"/>
      <c r="BIY66" s="922"/>
      <c r="BIZ66" s="922"/>
      <c r="BJA66" s="922"/>
      <c r="BJB66" s="922"/>
      <c r="BJC66" s="922"/>
      <c r="BJD66" s="922"/>
      <c r="BJE66" s="922"/>
      <c r="BJF66" s="922"/>
      <c r="BJG66" s="922"/>
      <c r="BJH66" s="922"/>
      <c r="BJI66" s="922"/>
      <c r="BJJ66" s="922"/>
      <c r="BJK66" s="922"/>
      <c r="BJL66" s="922"/>
      <c r="BJM66" s="922"/>
      <c r="BJN66" s="922"/>
      <c r="BJO66" s="922"/>
      <c r="BJP66" s="922"/>
      <c r="BJQ66" s="922"/>
      <c r="BJR66" s="922"/>
      <c r="BJS66" s="922"/>
      <c r="BJT66" s="922"/>
      <c r="BJU66" s="922"/>
      <c r="BJV66" s="922"/>
      <c r="BJW66" s="922"/>
      <c r="BJX66" s="922"/>
      <c r="BJY66" s="922"/>
      <c r="BJZ66" s="922"/>
      <c r="BKA66" s="922"/>
      <c r="BKB66" s="922"/>
      <c r="BKC66" s="922"/>
      <c r="BKD66" s="922"/>
      <c r="BKE66" s="922"/>
      <c r="BKF66" s="922"/>
      <c r="BKG66" s="922"/>
      <c r="BKH66" s="922"/>
      <c r="BKI66" s="922"/>
      <c r="BKJ66" s="922"/>
      <c r="BKK66" s="922"/>
      <c r="BKL66" s="922"/>
      <c r="BKM66" s="922"/>
      <c r="BKN66" s="922"/>
      <c r="BKO66" s="922"/>
      <c r="BKP66" s="922"/>
      <c r="BKQ66" s="922"/>
      <c r="BKR66" s="922"/>
      <c r="BKS66" s="922"/>
      <c r="BKT66" s="922"/>
      <c r="BKU66" s="922"/>
      <c r="BKV66" s="922"/>
      <c r="BKW66" s="922"/>
      <c r="BKX66" s="922"/>
      <c r="BKY66" s="922"/>
      <c r="BKZ66" s="922"/>
      <c r="BLA66" s="922"/>
      <c r="BLB66" s="922"/>
      <c r="BLC66" s="922"/>
      <c r="BLD66" s="922"/>
      <c r="BLE66" s="922"/>
      <c r="BLF66" s="922"/>
      <c r="BLG66" s="922"/>
      <c r="BLH66" s="922"/>
      <c r="BLI66" s="922"/>
      <c r="BLJ66" s="922"/>
      <c r="BLK66" s="922"/>
      <c r="BLL66" s="922"/>
      <c r="BLM66" s="922"/>
      <c r="BLN66" s="922"/>
      <c r="BLO66" s="922"/>
      <c r="BLP66" s="922"/>
      <c r="BLQ66" s="922"/>
      <c r="BLR66" s="922"/>
      <c r="BLS66" s="922"/>
      <c r="BLT66" s="922"/>
      <c r="BLU66" s="922"/>
      <c r="BLV66" s="922"/>
      <c r="BLW66" s="922"/>
      <c r="BLX66" s="922"/>
      <c r="BLY66" s="922"/>
      <c r="BLZ66" s="922"/>
      <c r="BMA66" s="922"/>
      <c r="BMB66" s="922"/>
      <c r="BMC66" s="922"/>
      <c r="BMD66" s="922"/>
      <c r="BME66" s="922"/>
      <c r="BMF66" s="922"/>
      <c r="BMG66" s="922"/>
      <c r="BMH66" s="922"/>
      <c r="BMI66" s="922"/>
      <c r="BMJ66" s="922"/>
      <c r="BMK66" s="922"/>
      <c r="BML66" s="922"/>
      <c r="BMM66" s="922"/>
      <c r="BMN66" s="922"/>
      <c r="BMO66" s="922"/>
      <c r="BMP66" s="922"/>
      <c r="BMQ66" s="922"/>
      <c r="BMR66" s="922"/>
      <c r="BMS66" s="922"/>
      <c r="BMT66" s="922"/>
      <c r="BMU66" s="922"/>
      <c r="BMV66" s="922"/>
      <c r="BMW66" s="922"/>
      <c r="BMX66" s="922"/>
      <c r="BMY66" s="922"/>
      <c r="BMZ66" s="922"/>
      <c r="BNA66" s="922"/>
      <c r="BNB66" s="922"/>
      <c r="BNC66" s="922"/>
      <c r="BND66" s="922"/>
      <c r="BNE66" s="922"/>
      <c r="BNF66" s="922"/>
      <c r="BNG66" s="922"/>
      <c r="BNH66" s="922"/>
      <c r="BNI66" s="922"/>
      <c r="BNJ66" s="922"/>
      <c r="BNK66" s="922"/>
      <c r="BNL66" s="922"/>
      <c r="BNM66" s="922"/>
      <c r="BNN66" s="922"/>
      <c r="BNO66" s="922"/>
      <c r="BNP66" s="922"/>
      <c r="BNQ66" s="922"/>
      <c r="BNR66" s="922"/>
      <c r="BNS66" s="922"/>
      <c r="BNT66" s="922"/>
      <c r="BNU66" s="922"/>
      <c r="BNV66" s="922"/>
      <c r="BNW66" s="922"/>
      <c r="BNX66" s="922"/>
      <c r="BNY66" s="922"/>
      <c r="BNZ66" s="922"/>
      <c r="BOA66" s="922"/>
      <c r="BOB66" s="922"/>
      <c r="BOC66" s="922"/>
      <c r="BOD66" s="922"/>
      <c r="BOE66" s="922"/>
      <c r="BOF66" s="922"/>
      <c r="BOG66" s="922"/>
      <c r="BOH66" s="922"/>
      <c r="BOI66" s="922"/>
      <c r="BOJ66" s="922"/>
      <c r="BOK66" s="922"/>
      <c r="BOL66" s="922"/>
      <c r="BOM66" s="923"/>
      <c r="BON66" s="923"/>
      <c r="BOO66" s="922"/>
      <c r="BOP66" s="922"/>
      <c r="BOQ66" s="922"/>
      <c r="BOR66" s="922"/>
      <c r="BOS66" s="922"/>
      <c r="BOT66" s="922"/>
      <c r="BOU66" s="922"/>
      <c r="BOV66" s="922"/>
      <c r="BOW66" s="922"/>
      <c r="BOX66" s="922"/>
      <c r="BOY66" s="922"/>
      <c r="BOZ66" s="922"/>
      <c r="BPA66" s="922"/>
      <c r="BPB66" s="922"/>
      <c r="BPC66" s="922"/>
      <c r="BPD66" s="922"/>
      <c r="BPE66" s="922"/>
      <c r="BPF66" s="922"/>
      <c r="BPG66" s="922"/>
      <c r="BPH66" s="922"/>
      <c r="BPI66" s="922"/>
      <c r="BPJ66" s="922"/>
      <c r="BPK66" s="922"/>
      <c r="BPL66" s="922"/>
      <c r="BPM66" s="922"/>
      <c r="BPN66" s="922"/>
      <c r="BPO66" s="922"/>
      <c r="BPP66" s="922"/>
      <c r="BPQ66" s="922"/>
      <c r="BPR66" s="922"/>
      <c r="BPS66" s="922"/>
      <c r="BPT66" s="922"/>
      <c r="BPU66" s="922"/>
      <c r="BPV66" s="922"/>
      <c r="BPW66" s="922"/>
      <c r="BPX66" s="922"/>
      <c r="BPY66" s="922"/>
      <c r="BPZ66" s="922"/>
      <c r="BQA66" s="922"/>
      <c r="BQB66" s="922"/>
      <c r="BQC66" s="922"/>
      <c r="BQD66" s="922"/>
      <c r="BQE66" s="923"/>
      <c r="BQF66" s="923"/>
      <c r="BQG66" s="922"/>
      <c r="BQH66" s="922"/>
      <c r="BQI66" s="922"/>
      <c r="BQJ66" s="922"/>
      <c r="BQK66" s="922"/>
      <c r="BQL66" s="922"/>
      <c r="BQM66" s="922"/>
      <c r="BQN66" s="922"/>
      <c r="BQO66" s="922"/>
      <c r="BQP66" s="922"/>
      <c r="BQQ66" s="922"/>
      <c r="BQR66" s="922"/>
      <c r="BQS66" s="922"/>
      <c r="BQT66" s="922"/>
      <c r="BQU66" s="922"/>
      <c r="BQV66" s="922"/>
      <c r="BQW66" s="923"/>
      <c r="BQX66" s="923"/>
      <c r="BQY66" s="922"/>
      <c r="BQZ66" s="922"/>
      <c r="BRA66" s="922"/>
      <c r="BRB66" s="922"/>
      <c r="BRC66" s="922"/>
      <c r="BRD66" s="922"/>
      <c r="BRE66" s="922"/>
      <c r="BRF66" s="922"/>
      <c r="BRG66" s="922"/>
      <c r="BRH66" s="922"/>
      <c r="BRI66" s="922"/>
      <c r="BRJ66" s="922"/>
      <c r="BRK66" s="922"/>
      <c r="BRL66" s="922"/>
      <c r="BRM66" s="922"/>
      <c r="BRN66" s="922"/>
      <c r="BRO66" s="922"/>
      <c r="BRP66" s="922"/>
      <c r="BRQ66" s="922"/>
      <c r="BRR66" s="922"/>
      <c r="BRS66" s="922"/>
      <c r="BRT66" s="922"/>
      <c r="BRU66" s="922"/>
      <c r="BRV66" s="922"/>
      <c r="BRW66" s="922"/>
      <c r="BRX66" s="922"/>
      <c r="BRY66" s="922"/>
      <c r="BRZ66" s="922"/>
      <c r="BSA66" s="922"/>
      <c r="BSB66" s="922"/>
      <c r="BSC66" s="922"/>
      <c r="BSD66" s="922"/>
      <c r="BSE66" s="922"/>
      <c r="BSF66" s="922"/>
      <c r="BSG66" s="922"/>
      <c r="BSH66" s="922"/>
      <c r="BSI66" s="922"/>
      <c r="BSJ66" s="922"/>
      <c r="BSK66" s="922"/>
      <c r="BSL66" s="922"/>
      <c r="BSM66" s="922"/>
      <c r="BSN66" s="922"/>
      <c r="BSO66" s="922"/>
      <c r="BSP66" s="922"/>
      <c r="BSQ66" s="922"/>
      <c r="BSR66" s="922"/>
      <c r="BSS66" s="922"/>
      <c r="BST66" s="922"/>
      <c r="BSU66" s="922"/>
      <c r="BSV66" s="922"/>
      <c r="BSW66" s="922"/>
      <c r="BSX66" s="922"/>
      <c r="BSY66" s="922"/>
      <c r="BSZ66" s="922"/>
      <c r="BTA66" s="922"/>
      <c r="BTB66" s="922"/>
      <c r="BTC66" s="922"/>
      <c r="BTD66" s="922"/>
      <c r="BTE66" s="922"/>
      <c r="BTF66" s="922"/>
      <c r="BTG66" s="922"/>
      <c r="BTH66" s="922"/>
      <c r="BTI66" s="922"/>
      <c r="BTJ66" s="922"/>
      <c r="BTK66" s="922"/>
      <c r="BTL66" s="922"/>
      <c r="BTM66" s="922"/>
      <c r="BTN66" s="922"/>
      <c r="BTO66" s="922"/>
      <c r="BTP66" s="922"/>
      <c r="BTQ66" s="922"/>
      <c r="BTR66" s="922"/>
      <c r="BTS66" s="922"/>
      <c r="BTT66" s="922"/>
      <c r="BTU66" s="922"/>
      <c r="BTV66" s="922"/>
      <c r="BTW66" s="922"/>
      <c r="BTX66" s="922"/>
      <c r="BTY66" s="922"/>
      <c r="BTZ66" s="922"/>
      <c r="BUA66" s="922"/>
      <c r="BUB66" s="922"/>
      <c r="BUC66" s="922"/>
      <c r="BUD66" s="922"/>
      <c r="BUE66" s="922"/>
      <c r="BUF66" s="922"/>
      <c r="BUG66" s="922"/>
      <c r="BUH66" s="922"/>
      <c r="BUI66" s="922"/>
      <c r="BUJ66" s="922"/>
      <c r="BUK66" s="922"/>
      <c r="BUL66" s="922"/>
      <c r="BUM66" s="922"/>
      <c r="BUN66" s="922"/>
      <c r="BUO66" s="922"/>
      <c r="BUP66" s="922"/>
      <c r="BUQ66" s="922"/>
      <c r="BUR66" s="922"/>
      <c r="BUS66" s="922"/>
      <c r="BUT66" s="922"/>
      <c r="BUU66" s="922"/>
      <c r="BUV66" s="922"/>
      <c r="BUW66" s="922"/>
      <c r="BUX66" s="922"/>
      <c r="BUY66" s="922"/>
      <c r="BUZ66" s="922"/>
      <c r="BVA66" s="922"/>
      <c r="BVB66" s="922"/>
      <c r="BVC66" s="922"/>
      <c r="BVD66" s="922"/>
      <c r="BVE66" s="922"/>
      <c r="BVF66" s="922"/>
      <c r="BVG66" s="922"/>
      <c r="BVH66" s="922"/>
      <c r="BVI66" s="922"/>
      <c r="BVJ66" s="922"/>
      <c r="BVK66" s="922"/>
      <c r="BVL66" s="922"/>
      <c r="BVM66" s="922"/>
      <c r="BVN66" s="922"/>
      <c r="BVO66" s="922"/>
      <c r="BVP66" s="922"/>
      <c r="BVQ66" s="922"/>
      <c r="BVR66" s="922"/>
      <c r="BVS66" s="922"/>
      <c r="BVT66" s="922"/>
      <c r="BVU66" s="923"/>
      <c r="BVV66" s="923"/>
      <c r="BVW66" s="923"/>
      <c r="BVX66" s="923"/>
      <c r="BVY66" s="922"/>
      <c r="BVZ66" s="922"/>
      <c r="BWA66" s="922"/>
      <c r="BWB66" s="922"/>
      <c r="BWC66" s="922"/>
      <c r="BWD66" s="922"/>
      <c r="BWE66" s="922"/>
      <c r="BWF66" s="922"/>
      <c r="BWG66" s="922"/>
      <c r="BWH66" s="922"/>
      <c r="BWI66" s="922"/>
      <c r="BWJ66" s="922"/>
      <c r="BWK66" s="922"/>
      <c r="BWL66" s="922"/>
      <c r="BWM66" s="922"/>
      <c r="BWN66" s="922"/>
      <c r="BWO66" s="922"/>
      <c r="BWP66" s="922"/>
      <c r="BWQ66" s="923"/>
      <c r="BWR66" s="923"/>
      <c r="BWS66" s="922"/>
      <c r="BWT66" s="922"/>
      <c r="BWU66" s="922"/>
      <c r="BWV66" s="922"/>
      <c r="BWW66" s="922"/>
      <c r="BWX66" s="922"/>
      <c r="BWY66" s="922"/>
      <c r="BWZ66" s="922"/>
      <c r="BXA66" s="922"/>
      <c r="BXB66" s="922"/>
      <c r="BXC66" s="922"/>
      <c r="BXD66" s="922"/>
      <c r="BXE66" s="922"/>
      <c r="BXF66" s="922"/>
      <c r="BXG66" s="922"/>
      <c r="BXH66" s="922"/>
      <c r="BXI66" s="923"/>
      <c r="BXJ66" s="923"/>
      <c r="BXK66" s="922"/>
      <c r="BXL66" s="922"/>
      <c r="BXM66" s="922"/>
      <c r="BXN66" s="922"/>
      <c r="BXO66" s="922"/>
      <c r="BXP66" s="922"/>
      <c r="BXQ66" s="922"/>
      <c r="BXR66" s="922"/>
      <c r="BXS66" s="922"/>
      <c r="BXT66" s="922"/>
      <c r="BXU66" s="922"/>
      <c r="BXV66" s="922"/>
      <c r="BXW66" s="922"/>
      <c r="BXX66" s="922"/>
      <c r="BXY66" s="922"/>
      <c r="BXZ66" s="922"/>
      <c r="BYA66" s="922"/>
      <c r="BYB66" s="922"/>
      <c r="BYC66" s="922"/>
      <c r="BYD66" s="922"/>
      <c r="BYE66" s="922"/>
      <c r="BYF66" s="922"/>
      <c r="BYG66" s="922"/>
      <c r="BYH66" s="922"/>
      <c r="BYI66" s="922"/>
      <c r="BYJ66" s="922"/>
      <c r="BYK66" s="922"/>
      <c r="BYL66" s="922"/>
      <c r="BYM66" s="922"/>
      <c r="BYN66" s="922"/>
      <c r="BYO66" s="922"/>
      <c r="BYP66" s="922"/>
      <c r="BYQ66" s="922"/>
      <c r="BYR66" s="922"/>
      <c r="BYS66" s="922"/>
      <c r="BYT66" s="922"/>
      <c r="BYU66" s="922"/>
      <c r="BYV66" s="922"/>
      <c r="BYW66" s="922"/>
      <c r="BYX66" s="922"/>
      <c r="BYY66" s="922"/>
      <c r="BYZ66" s="922"/>
      <c r="BZA66" s="922"/>
      <c r="BZB66" s="922"/>
      <c r="BZC66" s="922"/>
      <c r="BZD66" s="922"/>
      <c r="BZE66" s="922"/>
      <c r="BZF66" s="922"/>
      <c r="BZG66" s="922"/>
      <c r="BZH66" s="922"/>
      <c r="BZI66" s="922"/>
      <c r="BZJ66" s="922"/>
      <c r="BZK66" s="922"/>
      <c r="BZL66" s="922"/>
      <c r="BZM66" s="922"/>
      <c r="BZN66" s="922"/>
      <c r="BZO66" s="922"/>
      <c r="BZP66" s="922"/>
      <c r="BZQ66" s="922"/>
      <c r="BZR66" s="922"/>
      <c r="BZS66" s="922"/>
      <c r="BZT66" s="922"/>
      <c r="BZU66" s="922"/>
      <c r="BZV66" s="922"/>
      <c r="BZW66" s="922"/>
      <c r="BZX66" s="922"/>
      <c r="BZY66" s="922"/>
      <c r="BZZ66" s="922"/>
      <c r="CAA66" s="922"/>
      <c r="CAB66" s="922"/>
      <c r="CAC66" s="922"/>
      <c r="CAD66" s="922"/>
      <c r="CAE66" s="922"/>
      <c r="CAF66" s="922"/>
      <c r="CAG66" s="922"/>
      <c r="CAH66" s="922"/>
      <c r="CAI66" s="922"/>
      <c r="CAJ66" s="922"/>
      <c r="CAK66" s="922"/>
      <c r="CAL66" s="922"/>
      <c r="CAM66" s="922"/>
      <c r="CAN66" s="922"/>
      <c r="CAO66" s="922"/>
      <c r="CAP66" s="922"/>
      <c r="CAQ66" s="922"/>
      <c r="CAR66" s="922"/>
      <c r="CAS66" s="922"/>
      <c r="CAT66" s="922"/>
      <c r="CAU66" s="922"/>
      <c r="CAV66" s="922"/>
      <c r="CAW66" s="922"/>
      <c r="CAX66" s="922"/>
      <c r="CAY66" s="922"/>
      <c r="CAZ66" s="922"/>
      <c r="CBA66" s="922"/>
      <c r="CBB66" s="922"/>
      <c r="CBC66" s="922"/>
      <c r="CBD66" s="922"/>
      <c r="CBE66" s="922"/>
      <c r="CBF66" s="922"/>
      <c r="CBG66" s="922"/>
      <c r="CBH66" s="922"/>
      <c r="CBI66" s="922"/>
      <c r="CBJ66" s="922"/>
      <c r="CBK66" s="922"/>
      <c r="CBL66" s="922"/>
      <c r="CBM66" s="922"/>
      <c r="CBN66" s="922"/>
      <c r="CBO66" s="922"/>
      <c r="CBP66" s="922"/>
      <c r="CBQ66" s="922"/>
      <c r="CBR66" s="922"/>
      <c r="CBS66" s="922"/>
      <c r="CBT66" s="922"/>
      <c r="CBU66" s="922"/>
      <c r="CBV66" s="922"/>
      <c r="CBW66" s="922"/>
      <c r="CBX66" s="922"/>
      <c r="CBY66" s="922"/>
      <c r="CBZ66" s="922"/>
      <c r="CCA66" s="922"/>
      <c r="CCB66" s="922"/>
      <c r="CCC66" s="922"/>
      <c r="CCD66" s="922"/>
      <c r="CCE66" s="923"/>
      <c r="CCF66" s="923"/>
      <c r="CCG66" s="922"/>
      <c r="CCH66" s="922"/>
      <c r="CCI66" s="922"/>
      <c r="CCJ66" s="922"/>
      <c r="CCK66" s="922"/>
      <c r="CCL66" s="922"/>
      <c r="CCM66" s="922"/>
      <c r="CCN66" s="922"/>
      <c r="CCO66" s="922"/>
      <c r="CCP66" s="922"/>
      <c r="CCQ66" s="922"/>
      <c r="CCR66" s="922"/>
      <c r="CCS66" s="922"/>
      <c r="CCT66" s="922"/>
      <c r="CCU66" s="922"/>
      <c r="CCV66" s="922"/>
      <c r="CCW66" s="923"/>
      <c r="CCX66" s="923"/>
      <c r="CCY66" s="922"/>
      <c r="CCZ66" s="922"/>
      <c r="CDA66" s="922"/>
      <c r="CDB66" s="922"/>
      <c r="CDC66" s="922"/>
      <c r="CDD66" s="922"/>
      <c r="CDE66" s="922"/>
      <c r="CDF66" s="922"/>
      <c r="CDG66" s="922"/>
      <c r="CDH66" s="922"/>
      <c r="CDI66" s="922"/>
      <c r="CDJ66" s="922"/>
      <c r="CDK66" s="922"/>
      <c r="CDL66" s="922"/>
      <c r="CDM66" s="922"/>
      <c r="CDN66" s="922"/>
      <c r="CDO66" s="922"/>
      <c r="CDP66" s="922"/>
      <c r="CDQ66" s="922"/>
      <c r="CDR66" s="922"/>
      <c r="CDS66" s="922"/>
      <c r="CDT66" s="922"/>
      <c r="CDU66" s="922"/>
      <c r="CDV66" s="922"/>
      <c r="CDW66" s="922"/>
      <c r="CDX66" s="922"/>
      <c r="CDY66" s="922"/>
      <c r="CDZ66" s="922"/>
      <c r="CEA66" s="922"/>
      <c r="CEB66" s="922"/>
      <c r="CEC66" s="922"/>
      <c r="CED66" s="922"/>
      <c r="CEE66" s="922"/>
      <c r="CEF66" s="922"/>
      <c r="CEG66" s="922"/>
      <c r="CEH66" s="922"/>
      <c r="CEI66" s="922"/>
      <c r="CEJ66" s="922"/>
      <c r="CEK66" s="922"/>
      <c r="CEL66" s="922"/>
      <c r="CEM66" s="922"/>
      <c r="CEN66" s="922"/>
      <c r="CEO66" s="922"/>
      <c r="CEP66" s="922"/>
      <c r="CEQ66" s="922"/>
      <c r="CER66" s="922"/>
      <c r="CES66" s="922"/>
      <c r="CET66" s="922"/>
      <c r="CEU66" s="922"/>
      <c r="CEV66" s="922"/>
      <c r="CEW66" s="922"/>
      <c r="CEX66" s="922"/>
      <c r="CEY66" s="922"/>
      <c r="CEZ66" s="922"/>
      <c r="CFA66" s="922"/>
      <c r="CFB66" s="922"/>
      <c r="CFC66" s="922"/>
      <c r="CFD66" s="922"/>
      <c r="CFE66" s="922"/>
      <c r="CFF66" s="922"/>
      <c r="CFG66" s="922"/>
      <c r="CFH66" s="922"/>
      <c r="CFI66" s="922"/>
      <c r="CFJ66" s="922"/>
      <c r="CFK66" s="922"/>
      <c r="CFL66" s="922"/>
      <c r="CFM66" s="922"/>
      <c r="CFN66" s="922"/>
      <c r="CFO66" s="922"/>
      <c r="CFP66" s="922"/>
      <c r="CFQ66" s="922"/>
      <c r="CFR66" s="922"/>
      <c r="CFS66" s="922"/>
      <c r="CFT66" s="922"/>
      <c r="CFU66" s="922"/>
      <c r="CFV66" s="922"/>
      <c r="CFW66" s="922"/>
      <c r="CFX66" s="922"/>
      <c r="CFY66" s="922"/>
      <c r="CFZ66" s="922"/>
      <c r="CGA66" s="922"/>
      <c r="CGB66" s="922"/>
      <c r="CGC66" s="922"/>
      <c r="CGD66" s="922"/>
      <c r="CGE66" s="922"/>
      <c r="CGF66" s="922"/>
      <c r="CGG66" s="922"/>
      <c r="CGH66" s="922"/>
      <c r="CGI66" s="922"/>
      <c r="CGJ66" s="922"/>
      <c r="CGK66" s="922"/>
      <c r="CGL66" s="922"/>
      <c r="CGM66" s="922"/>
      <c r="CGN66" s="922"/>
      <c r="CGO66" s="922"/>
      <c r="CGP66" s="922"/>
      <c r="CGQ66" s="922"/>
      <c r="CGR66" s="922"/>
      <c r="CGS66" s="922"/>
      <c r="CGT66" s="922"/>
      <c r="CGU66" s="922"/>
      <c r="CGV66" s="922"/>
      <c r="CGW66" s="922"/>
      <c r="CGX66" s="922"/>
      <c r="CGY66" s="922"/>
      <c r="CGZ66" s="922"/>
      <c r="CHA66" s="922"/>
      <c r="CHB66" s="922"/>
      <c r="CHC66" s="922"/>
      <c r="CHD66" s="922"/>
      <c r="CHE66" s="922"/>
      <c r="CHF66" s="922"/>
      <c r="CHG66" s="922"/>
      <c r="CHH66" s="922"/>
      <c r="CHI66" s="922"/>
      <c r="CHJ66" s="922"/>
      <c r="CHK66" s="922"/>
      <c r="CHL66" s="922"/>
      <c r="CHM66" s="922"/>
      <c r="CHN66" s="922"/>
      <c r="CHO66" s="922"/>
      <c r="CHP66" s="922"/>
      <c r="CHQ66" s="922"/>
      <c r="CHR66" s="922"/>
      <c r="CHS66" s="911"/>
      <c r="CHT66" s="911"/>
      <c r="CHU66" s="911"/>
      <c r="CHV66" s="911"/>
      <c r="CHW66" s="911"/>
      <c r="CHX66" s="911"/>
      <c r="CHY66" s="922"/>
      <c r="CHZ66" s="922"/>
      <c r="CIA66" s="922"/>
      <c r="CIB66" s="922"/>
      <c r="CIC66" s="922"/>
      <c r="CID66" s="922"/>
      <c r="CIE66" s="922"/>
      <c r="CIF66" s="922"/>
      <c r="CIG66" s="922"/>
      <c r="CIH66" s="922"/>
      <c r="CII66" s="922"/>
      <c r="CIJ66" s="922"/>
      <c r="CIK66" s="922"/>
      <c r="CIL66" s="922"/>
      <c r="CIM66" s="922"/>
      <c r="CIN66" s="922"/>
      <c r="CIO66" s="922"/>
      <c r="CIP66" s="922"/>
      <c r="CIQ66" s="922"/>
      <c r="CIR66" s="922"/>
      <c r="CIS66" s="922"/>
      <c r="CIT66" s="922"/>
      <c r="CIU66" s="922"/>
      <c r="CIV66" s="922"/>
      <c r="CIW66" s="922"/>
      <c r="CIX66" s="922"/>
      <c r="CIY66" s="922"/>
      <c r="CIZ66" s="922"/>
      <c r="CJA66" s="922"/>
      <c r="CJB66" s="922"/>
      <c r="CJC66" s="922"/>
      <c r="CJD66" s="922"/>
      <c r="CJE66" s="922"/>
      <c r="CJF66" s="922"/>
      <c r="CJG66" s="922"/>
      <c r="CJH66" s="922"/>
      <c r="CJI66" s="922"/>
      <c r="CJJ66" s="922"/>
      <c r="CJK66" s="922"/>
      <c r="CJL66" s="922"/>
      <c r="CJM66" s="922"/>
      <c r="CJN66" s="922"/>
      <c r="CJO66" s="922"/>
      <c r="CJP66" s="922"/>
      <c r="CJQ66" s="922"/>
      <c r="CJR66" s="922"/>
      <c r="CJS66" s="922"/>
      <c r="CJT66" s="922"/>
      <c r="CJU66" s="922"/>
      <c r="CJV66" s="922"/>
      <c r="CJW66" s="922"/>
      <c r="CJX66" s="922"/>
      <c r="CJY66" s="922"/>
      <c r="CJZ66" s="922"/>
      <c r="CKA66" s="922"/>
      <c r="CKB66" s="922"/>
      <c r="CKC66" s="922"/>
      <c r="CKD66" s="922"/>
      <c r="CKE66" s="922"/>
      <c r="CKF66" s="922"/>
      <c r="CKG66" s="922"/>
      <c r="CKH66" s="922"/>
      <c r="CKI66" s="922"/>
      <c r="CKJ66" s="922"/>
      <c r="CKK66" s="922"/>
      <c r="CKL66" s="922"/>
      <c r="CKM66" s="922"/>
      <c r="CKN66" s="922"/>
      <c r="CKO66" s="922"/>
      <c r="CKP66" s="922"/>
      <c r="CKQ66" s="922"/>
      <c r="CKR66" s="922"/>
      <c r="CKS66" s="922"/>
      <c r="CKT66" s="922"/>
      <c r="CKU66" s="922"/>
      <c r="CKV66" s="922"/>
      <c r="CKW66" s="922"/>
      <c r="CKX66" s="922"/>
      <c r="CKY66" s="922"/>
      <c r="CKZ66" s="922"/>
      <c r="CLA66" s="922"/>
      <c r="CLB66" s="922"/>
      <c r="CLC66" s="922"/>
      <c r="CLD66" s="922"/>
      <c r="CLE66" s="922"/>
      <c r="CLF66" s="922"/>
      <c r="CLG66" s="922"/>
      <c r="CLH66" s="922"/>
      <c r="CLI66" s="922"/>
      <c r="CLJ66" s="922"/>
      <c r="CLK66" s="922"/>
      <c r="CLL66" s="922"/>
      <c r="CLM66" s="922"/>
      <c r="CLN66" s="922"/>
      <c r="CLO66" s="922"/>
      <c r="CLP66" s="922"/>
      <c r="CLQ66" s="922"/>
      <c r="CLR66" s="922"/>
      <c r="CLS66" s="922"/>
      <c r="CLT66" s="922"/>
      <c r="CLU66" s="922"/>
      <c r="CLV66" s="922"/>
      <c r="CLW66" s="922"/>
      <c r="CLX66" s="922"/>
      <c r="CLY66" s="922"/>
      <c r="CLZ66" s="922"/>
      <c r="CMA66" s="922"/>
      <c r="CMB66" s="922"/>
      <c r="CMC66" s="922"/>
      <c r="CMD66" s="922"/>
      <c r="CME66" s="922"/>
      <c r="CMF66" s="922"/>
      <c r="CMG66" s="922"/>
      <c r="CMH66" s="922"/>
    </row>
    <row r="67" spans="1:2374" ht="15" customHeight="1">
      <c r="A67" s="79"/>
      <c r="B67" s="79"/>
      <c r="C67" s="79"/>
      <c r="D67" s="82"/>
      <c r="E67" s="331" t="s">
        <v>120</v>
      </c>
      <c r="F67" s="153"/>
      <c r="G67" s="90"/>
      <c r="H67" s="90"/>
      <c r="I67" s="90"/>
      <c r="J67" s="90"/>
      <c r="K67" s="90"/>
      <c r="L67" s="90"/>
      <c r="M67" s="90"/>
      <c r="N67" s="90"/>
      <c r="O67" s="351"/>
      <c r="P67" s="72"/>
      <c r="Q67" s="71"/>
      <c r="R67" s="71"/>
      <c r="S67" s="76"/>
      <c r="T67" s="76"/>
      <c r="U67" s="76"/>
      <c r="V67" s="76"/>
      <c r="W67" s="76"/>
      <c r="X67" s="76"/>
      <c r="Y67" s="76"/>
      <c r="Z67" s="76"/>
      <c r="AA67" s="76"/>
      <c r="AB67" s="76"/>
      <c r="AC67" s="76"/>
      <c r="AD67" s="76"/>
      <c r="AE67" s="327"/>
      <c r="AF67" s="910"/>
      <c r="AG67" s="909"/>
      <c r="AH67" s="909"/>
      <c r="AS67" s="909"/>
      <c r="AT67" s="909"/>
      <c r="AU67" s="909"/>
      <c r="AV67" s="909"/>
      <c r="AW67" s="909"/>
      <c r="BD67" s="917"/>
      <c r="BE67" s="917"/>
      <c r="BF67" s="917"/>
      <c r="BG67" s="917"/>
      <c r="BH67" s="917"/>
      <c r="BI67" s="917"/>
      <c r="BJ67" s="917"/>
      <c r="BK67" s="917"/>
      <c r="BL67" s="917"/>
      <c r="BM67" s="917"/>
      <c r="BN67" s="917"/>
      <c r="BO67" s="917"/>
      <c r="BP67" s="917"/>
      <c r="BQ67" s="917"/>
      <c r="BR67" s="917"/>
      <c r="BS67" s="917"/>
      <c r="CB67" s="921"/>
      <c r="CI67" s="911"/>
      <c r="CJ67" s="911"/>
      <c r="CK67" s="911"/>
      <c r="CL67" s="911"/>
      <c r="CM67" s="911"/>
      <c r="CN67" s="911"/>
      <c r="BQQ67" s="911"/>
      <c r="CDY67" s="911"/>
      <c r="CJI67" s="910"/>
    </row>
    <row r="68" spans="1:2374" ht="15" customHeight="1" thickBot="1">
      <c r="A68" s="79"/>
      <c r="B68" s="79"/>
      <c r="C68" s="79"/>
      <c r="D68" s="82"/>
      <c r="E68" s="84"/>
      <c r="F68" s="83" t="str">
        <f>F3</f>
        <v>Fecha</v>
      </c>
      <c r="G68" s="83" t="str">
        <f>G3</f>
        <v>Hora</v>
      </c>
      <c r="H68" s="85"/>
      <c r="I68" s="86" t="s">
        <v>2</v>
      </c>
      <c r="J68" s="154" t="s">
        <v>16</v>
      </c>
      <c r="K68" s="87" t="str">
        <f>K3</f>
        <v>Gol</v>
      </c>
      <c r="L68" s="87" t="str">
        <f>L3</f>
        <v>Gol</v>
      </c>
      <c r="M68" s="155" t="s">
        <v>16</v>
      </c>
      <c r="N68" s="88" t="s">
        <v>4</v>
      </c>
      <c r="O68" s="351"/>
      <c r="P68" s="72"/>
      <c r="Q68" s="71"/>
      <c r="R68" s="71"/>
      <c r="S68" s="76"/>
      <c r="T68" s="76"/>
      <c r="U68" s="76"/>
      <c r="V68" s="76"/>
      <c r="W68" s="76"/>
      <c r="X68" s="76"/>
      <c r="Y68" s="76"/>
      <c r="Z68" s="76"/>
      <c r="AA68" s="76"/>
      <c r="AB68" s="76"/>
      <c r="AC68" s="76"/>
      <c r="AD68" s="76"/>
      <c r="AE68" s="327"/>
      <c r="AF68" s="910"/>
      <c r="AG68" s="909"/>
      <c r="AH68" s="909"/>
      <c r="AS68" s="909"/>
      <c r="AT68" s="909"/>
      <c r="AU68" s="909"/>
      <c r="AV68" s="909"/>
      <c r="AW68" s="909"/>
      <c r="BD68" s="917"/>
      <c r="BE68" s="917"/>
      <c r="BF68" s="917"/>
      <c r="BG68" s="917"/>
      <c r="BH68" s="917"/>
      <c r="BI68" s="917"/>
      <c r="BJ68" s="917"/>
      <c r="BK68" s="917"/>
      <c r="BL68" s="917"/>
      <c r="BM68" s="917"/>
      <c r="BN68" s="917"/>
      <c r="BO68" s="917"/>
      <c r="BP68" s="917"/>
      <c r="BQ68" s="917"/>
      <c r="BR68" s="917"/>
      <c r="BS68" s="917"/>
      <c r="CC68" s="914"/>
      <c r="CD68" s="914"/>
      <c r="CE68" s="914"/>
      <c r="CF68" s="914"/>
      <c r="CG68" s="914"/>
      <c r="CI68" s="911"/>
      <c r="CJ68" s="911"/>
      <c r="CK68" s="911"/>
      <c r="CL68" s="911"/>
      <c r="CM68" s="911"/>
      <c r="CN68" s="911"/>
      <c r="BQQ68" s="911"/>
      <c r="CDY68" s="911"/>
    </row>
    <row r="69" spans="1:2374" ht="15" customHeight="1">
      <c r="A69" s="79"/>
      <c r="B69" s="79"/>
      <c r="C69" s="79"/>
      <c r="D69" s="82"/>
      <c r="E69" s="961" t="s">
        <v>121</v>
      </c>
      <c r="F69" s="182">
        <f>Horarios!C68</f>
        <v>44898.75</v>
      </c>
      <c r="G69" s="183">
        <f>Horarios!C68</f>
        <v>44898.75</v>
      </c>
      <c r="H69" s="184"/>
      <c r="I69" s="185" t="str">
        <f ca="1">IF(SUM(AK6:AK9)=12,VLOOKUP(1,AG6:AI9,3,FALSE),"1A")</f>
        <v>Paises Bajos</v>
      </c>
      <c r="J69" s="186"/>
      <c r="K69" s="187"/>
      <c r="L69" s="187"/>
      <c r="M69" s="188"/>
      <c r="N69" s="189" t="str">
        <f t="array" aca="1" ref="N69" ca="1">IF(SUM(AK14:AK17)=12,VLOOKUP(2,AG14:AI17,3,FALSE),"2B")</f>
        <v>Estados unidos</v>
      </c>
      <c r="O69" s="352">
        <f>IF(I81="W49",0,1)</f>
        <v>0</v>
      </c>
      <c r="P69" s="876">
        <v>49</v>
      </c>
      <c r="Q69" s="71"/>
      <c r="R69" s="71"/>
      <c r="S69" s="76"/>
      <c r="T69" s="76"/>
      <c r="U69" s="76"/>
      <c r="V69" s="76"/>
      <c r="W69" s="76"/>
      <c r="X69" s="76"/>
      <c r="Y69" s="76"/>
      <c r="Z69" s="76"/>
      <c r="AA69" s="76"/>
      <c r="AB69" s="76"/>
      <c r="AC69" s="76"/>
      <c r="AD69" s="76"/>
      <c r="AE69" s="327"/>
      <c r="AF69" s="910"/>
      <c r="AG69" s="924"/>
      <c r="AH69" s="924"/>
      <c r="AI69" s="925"/>
      <c r="AJ69" s="924"/>
      <c r="AK69" s="924"/>
      <c r="AL69" s="924"/>
      <c r="AM69" s="924"/>
      <c r="AN69" s="924"/>
      <c r="AO69" s="924"/>
      <c r="AP69" s="924"/>
      <c r="AQ69" s="924"/>
      <c r="AR69" s="924"/>
      <c r="AS69" s="924"/>
      <c r="AU69" s="909"/>
      <c r="AV69" s="909"/>
      <c r="AW69" s="909"/>
      <c r="AX69" s="924"/>
      <c r="AY69" s="924"/>
      <c r="AZ69" s="924"/>
      <c r="BA69" s="924"/>
      <c r="BD69" s="917"/>
      <c r="BE69" s="917"/>
      <c r="BF69" s="917"/>
      <c r="BG69" s="917"/>
      <c r="BH69" s="917"/>
      <c r="BI69" s="917"/>
      <c r="BJ69" s="917"/>
      <c r="BK69" s="917"/>
      <c r="BL69" s="917"/>
      <c r="BM69" s="917"/>
      <c r="BN69" s="917"/>
      <c r="BO69" s="917"/>
      <c r="BP69" s="917"/>
      <c r="BQ69" s="917"/>
      <c r="BR69" s="917"/>
      <c r="BS69" s="917"/>
      <c r="CD69" s="918"/>
    </row>
    <row r="70" spans="1:2374" ht="15" customHeight="1">
      <c r="A70" s="79"/>
      <c r="B70" s="79"/>
      <c r="C70" s="79"/>
      <c r="D70" s="82"/>
      <c r="E70" s="964"/>
      <c r="F70" s="169">
        <f>Horarios!C69</f>
        <v>44898.916666666664</v>
      </c>
      <c r="G70" s="170">
        <f>Horarios!C69</f>
        <v>44898.916666666664</v>
      </c>
      <c r="H70" s="171"/>
      <c r="I70" s="172" t="str">
        <f ca="1">IF(SUM(AK22:AK25)=12,VLOOKUP(1,AG22:AI25,3,FALSE),"1C")</f>
        <v>Argentina</v>
      </c>
      <c r="J70" s="173"/>
      <c r="K70" s="208"/>
      <c r="L70" s="208"/>
      <c r="M70" s="173"/>
      <c r="N70" s="190" t="str">
        <f ca="1">IF(SUM(AK30:AK33)=12,VLOOKUP(2,AG30:AI33,3,FALSE),"2D")</f>
        <v>Australia</v>
      </c>
      <c r="O70" s="352">
        <f>IF(N81="W50",0,1)</f>
        <v>0</v>
      </c>
      <c r="P70" s="876">
        <v>50</v>
      </c>
      <c r="Q70" s="71"/>
      <c r="R70" s="71"/>
      <c r="S70" s="76"/>
      <c r="T70" s="76"/>
      <c r="U70" s="76"/>
      <c r="V70" s="76"/>
      <c r="W70" s="76"/>
      <c r="X70" s="76"/>
      <c r="Y70" s="76"/>
      <c r="Z70" s="76"/>
      <c r="AA70" s="76"/>
      <c r="AB70" s="76"/>
      <c r="AC70" s="76"/>
      <c r="AD70" s="76"/>
      <c r="AE70" s="327"/>
      <c r="AF70" s="910"/>
      <c r="AG70" s="909"/>
      <c r="AI70" s="909"/>
      <c r="AJ70" s="909"/>
      <c r="AK70" s="909"/>
      <c r="AL70" s="909"/>
      <c r="AM70" s="909"/>
      <c r="AN70" s="909"/>
      <c r="AO70" s="909"/>
      <c r="AP70" s="909"/>
      <c r="AQ70" s="909"/>
      <c r="AR70" s="909"/>
      <c r="AS70" s="909"/>
      <c r="AU70" s="909"/>
      <c r="AV70" s="909"/>
      <c r="AW70" s="909"/>
      <c r="AX70" s="909"/>
      <c r="AY70" s="909"/>
      <c r="AZ70" s="909"/>
      <c r="BA70" s="909"/>
      <c r="BC70" s="909"/>
      <c r="BD70" s="909"/>
      <c r="BE70" s="909"/>
      <c r="BF70" s="909"/>
      <c r="BG70" s="909"/>
      <c r="BH70" s="909"/>
      <c r="BI70" s="909"/>
      <c r="BJ70" s="909"/>
      <c r="BK70" s="909"/>
      <c r="BL70" s="909"/>
      <c r="BM70" s="909"/>
      <c r="BN70" s="909"/>
      <c r="BO70" s="909"/>
      <c r="BP70" s="909"/>
      <c r="BQ70" s="909"/>
      <c r="BR70" s="909"/>
      <c r="BS70" s="909"/>
      <c r="BT70" s="909"/>
      <c r="BU70" s="909"/>
      <c r="BV70" s="909"/>
      <c r="BW70" s="909"/>
      <c r="CD70" s="918"/>
      <c r="CH70" s="909"/>
    </row>
    <row r="71" spans="1:2374" ht="15" customHeight="1">
      <c r="A71" s="79"/>
      <c r="B71" s="79"/>
      <c r="C71" s="79"/>
      <c r="D71" s="82"/>
      <c r="E71" s="964"/>
      <c r="F71" s="169">
        <f>Horarios!C70</f>
        <v>44899.75</v>
      </c>
      <c r="G71" s="170">
        <f>Horarios!C70</f>
        <v>44899.75</v>
      </c>
      <c r="H71" s="175"/>
      <c r="I71" s="172" t="str">
        <f ca="1">IF(SUM(AK30:AK33)=12,VLOOKUP(1,AG30:AI33,3,FALSE),"1D")</f>
        <v>Francia</v>
      </c>
      <c r="J71" s="173"/>
      <c r="K71" s="208"/>
      <c r="L71" s="208"/>
      <c r="M71" s="173"/>
      <c r="N71" s="190" t="str">
        <f ca="1">IF(SUM(AK22:AK25)=12,VLOOKUP(2,AG22:AI25,3,FALSE),"2C")</f>
        <v>Polonia</v>
      </c>
      <c r="O71" s="352">
        <f>IF(N83="W52",0,1)</f>
        <v>0</v>
      </c>
      <c r="P71" s="876">
        <v>52</v>
      </c>
      <c r="Q71" s="71"/>
      <c r="R71" s="71"/>
      <c r="S71" s="76"/>
      <c r="T71" s="76"/>
      <c r="U71" s="76"/>
      <c r="V71" s="76"/>
      <c r="W71" s="76"/>
      <c r="X71" s="76"/>
      <c r="Y71" s="76"/>
      <c r="Z71" s="76"/>
      <c r="AA71" s="76"/>
      <c r="AB71" s="76"/>
      <c r="AC71" s="76"/>
      <c r="AD71" s="76"/>
      <c r="AE71" s="327"/>
      <c r="AF71" s="910"/>
      <c r="AG71" s="909"/>
      <c r="AI71" s="909"/>
      <c r="AJ71" s="909"/>
      <c r="AK71" s="909"/>
      <c r="AL71" s="909"/>
      <c r="AM71" s="909"/>
      <c r="AN71" s="909"/>
      <c r="AO71" s="909"/>
      <c r="AP71" s="909"/>
      <c r="AQ71" s="909"/>
      <c r="AR71" s="909"/>
      <c r="AS71" s="909"/>
      <c r="AU71" s="909"/>
      <c r="AV71" s="909"/>
      <c r="AW71" s="909"/>
      <c r="AX71" s="909"/>
      <c r="AY71" s="909"/>
      <c r="AZ71" s="909"/>
      <c r="BA71" s="909"/>
      <c r="BC71" s="909"/>
      <c r="BD71" s="909"/>
      <c r="BE71" s="909"/>
      <c r="BF71" s="909"/>
      <c r="BG71" s="909"/>
      <c r="BH71" s="909"/>
      <c r="BI71" s="909"/>
      <c r="BJ71" s="909"/>
      <c r="BK71" s="909"/>
      <c r="BL71" s="909"/>
      <c r="BM71" s="909"/>
      <c r="BN71" s="909"/>
      <c r="BO71" s="909"/>
      <c r="BP71" s="909"/>
      <c r="BQ71" s="909"/>
      <c r="BR71" s="909"/>
      <c r="BS71" s="909"/>
      <c r="BT71" s="909"/>
      <c r="BU71" s="909"/>
      <c r="BV71" s="909"/>
      <c r="BW71" s="909"/>
      <c r="CD71" s="918"/>
    </row>
    <row r="72" spans="1:2374" ht="15" customHeight="1">
      <c r="A72" s="79"/>
      <c r="B72" s="79"/>
      <c r="C72" s="79"/>
      <c r="D72" s="82"/>
      <c r="E72" s="964"/>
      <c r="F72" s="169">
        <f>Horarios!C71</f>
        <v>44899.916666666664</v>
      </c>
      <c r="G72" s="170">
        <f>Horarios!C71</f>
        <v>44899.916666666664</v>
      </c>
      <c r="H72" s="175"/>
      <c r="I72" s="861" t="str">
        <f ca="1">IF(SUM(AK14:AK17)=12,VLOOKUP(1,AG14:AI17,3,FALSE),"1B")</f>
        <v>Inglaterra</v>
      </c>
      <c r="J72" s="173"/>
      <c r="K72" s="208"/>
      <c r="L72" s="208"/>
      <c r="M72" s="173"/>
      <c r="N72" s="864" t="str">
        <f ca="1">IF(SUM(AK6:AK9)=12,VLOOKUP(2,AG6:AI9,3,FALSE),"2A")</f>
        <v>Senegal</v>
      </c>
      <c r="O72" s="352">
        <f>IF(I83="W51",0,1)</f>
        <v>0</v>
      </c>
      <c r="P72" s="876">
        <v>51</v>
      </c>
      <c r="Q72" s="71"/>
      <c r="R72" s="71"/>
      <c r="S72" s="76"/>
      <c r="T72" s="76"/>
      <c r="U72" s="76"/>
      <c r="V72" s="76"/>
      <c r="W72" s="76"/>
      <c r="X72" s="76"/>
      <c r="Y72" s="76"/>
      <c r="Z72" s="76"/>
      <c r="AA72" s="76"/>
      <c r="AB72" s="76"/>
      <c r="AC72" s="76"/>
      <c r="AD72" s="76"/>
      <c r="AE72" s="327"/>
      <c r="AF72" s="910"/>
      <c r="AG72" s="909"/>
      <c r="AI72" s="909"/>
      <c r="AJ72" s="909"/>
      <c r="AK72" s="909"/>
      <c r="AL72" s="909"/>
      <c r="AM72" s="909"/>
      <c r="AN72" s="909"/>
      <c r="AO72" s="909"/>
      <c r="AP72" s="909"/>
      <c r="AQ72" s="909"/>
      <c r="AR72" s="909"/>
      <c r="AS72" s="909"/>
      <c r="AU72" s="909"/>
      <c r="AV72" s="909"/>
      <c r="AW72" s="909"/>
      <c r="AX72" s="909"/>
      <c r="AY72" s="909"/>
      <c r="AZ72" s="909"/>
      <c r="BA72" s="909"/>
      <c r="BC72" s="909"/>
      <c r="BD72" s="909"/>
      <c r="BE72" s="909"/>
      <c r="BF72" s="909"/>
      <c r="BG72" s="909"/>
      <c r="BH72" s="909"/>
      <c r="BI72" s="909"/>
      <c r="BJ72" s="909"/>
      <c r="BK72" s="909"/>
      <c r="BL72" s="909"/>
      <c r="BM72" s="909"/>
      <c r="BN72" s="909"/>
      <c r="BO72" s="909"/>
      <c r="BP72" s="909"/>
      <c r="BQ72" s="909"/>
      <c r="BR72" s="909"/>
      <c r="BS72" s="909"/>
      <c r="BT72" s="909"/>
      <c r="BU72" s="909"/>
      <c r="BV72" s="909"/>
      <c r="BW72" s="909"/>
      <c r="CD72" s="918"/>
    </row>
    <row r="73" spans="1:2374" ht="15" customHeight="1">
      <c r="A73" s="79"/>
      <c r="B73" s="79"/>
      <c r="C73" s="79"/>
      <c r="D73" s="82"/>
      <c r="E73" s="964"/>
      <c r="F73" s="169">
        <f>Horarios!C72</f>
        <v>44900.75</v>
      </c>
      <c r="G73" s="211">
        <f>Horarios!C72</f>
        <v>44900.75</v>
      </c>
      <c r="H73" s="171"/>
      <c r="I73" s="172" t="str">
        <f ca="1">IF(SUM(AK38:AK41)=12,VLOOKUP(1,AG38:AI41,3,FALSE),"1E")</f>
        <v>Japón</v>
      </c>
      <c r="J73" s="210"/>
      <c r="K73" s="208"/>
      <c r="L73" s="208"/>
      <c r="M73" s="209"/>
      <c r="N73" s="190" t="str">
        <f ca="1">IF(SUM(AK46:AK49)=12,VLOOKUP(2,AG46:AI49,3,FALSE),"2F")</f>
        <v>Croacia</v>
      </c>
      <c r="O73" s="352">
        <f>IF(I80="W53",0,1)</f>
        <v>0</v>
      </c>
      <c r="P73" s="876">
        <v>53</v>
      </c>
      <c r="Q73" s="71"/>
      <c r="R73" s="71"/>
      <c r="S73" s="76"/>
      <c r="T73" s="76"/>
      <c r="U73" s="76"/>
      <c r="V73" s="76"/>
      <c r="W73" s="76"/>
      <c r="X73" s="76"/>
      <c r="Y73" s="76"/>
      <c r="Z73" s="76"/>
      <c r="AA73" s="76"/>
      <c r="AB73" s="76"/>
      <c r="AC73" s="76"/>
      <c r="AD73" s="76"/>
      <c r="AE73" s="327"/>
      <c r="AF73" s="910"/>
      <c r="AG73" s="909"/>
      <c r="AI73" s="909"/>
      <c r="AJ73" s="909"/>
      <c r="AK73" s="909"/>
      <c r="AL73" s="909"/>
      <c r="AM73" s="909"/>
      <c r="AN73" s="909"/>
      <c r="AO73" s="909"/>
      <c r="AP73" s="909"/>
      <c r="AQ73" s="909"/>
      <c r="AR73" s="909"/>
      <c r="AS73" s="909"/>
      <c r="AU73" s="909"/>
      <c r="AV73" s="909"/>
      <c r="AW73" s="909"/>
      <c r="AX73" s="909"/>
      <c r="AY73" s="909"/>
      <c r="AZ73" s="909"/>
      <c r="BA73" s="909"/>
      <c r="BC73" s="909"/>
      <c r="BD73" s="909"/>
      <c r="BE73" s="909"/>
      <c r="BF73" s="909"/>
      <c r="BG73" s="909"/>
      <c r="BH73" s="909"/>
      <c r="BI73" s="909"/>
      <c r="BJ73" s="909"/>
      <c r="BK73" s="909"/>
      <c r="BL73" s="909"/>
      <c r="BM73" s="909"/>
      <c r="BN73" s="909"/>
      <c r="BO73" s="909"/>
      <c r="BP73" s="909"/>
      <c r="BQ73" s="909"/>
      <c r="BR73" s="909"/>
      <c r="BS73" s="909"/>
      <c r="BT73" s="909"/>
      <c r="BU73" s="909"/>
      <c r="BV73" s="909"/>
      <c r="BW73" s="909"/>
      <c r="CD73" s="918"/>
      <c r="XL73" s="911"/>
      <c r="AHO73" s="911"/>
      <c r="AHP73" s="911"/>
      <c r="AHQ73" s="911"/>
      <c r="CJI73" s="910"/>
    </row>
    <row r="74" spans="1:2374" ht="15" customHeight="1">
      <c r="A74" s="79"/>
      <c r="B74" s="79"/>
      <c r="C74" s="79"/>
      <c r="D74" s="82"/>
      <c r="E74" s="964"/>
      <c r="F74" s="169">
        <f>Horarios!C73</f>
        <v>44900.916666666664</v>
      </c>
      <c r="G74" s="170">
        <f>Horarios!C73</f>
        <v>44900.916666666664</v>
      </c>
      <c r="H74" s="171"/>
      <c r="I74" s="172" t="str">
        <f ca="1">IF(SUM(AK54:AK57)=12,VLOOKUP(1,AG54:AI57,3,FALSE),"1G")</f>
        <v>Brasil</v>
      </c>
      <c r="J74" s="173"/>
      <c r="K74" s="174"/>
      <c r="L74" s="174"/>
      <c r="M74" s="173"/>
      <c r="N74" s="190" t="str">
        <f ca="1">IF(SUM(AK62:AK65)=12,VLOOKUP(2,AG62:AI65,3,FALSE),"2H")</f>
        <v>Corea del Sur</v>
      </c>
      <c r="O74" s="352">
        <f>IF(N80="W54",0,1)</f>
        <v>0</v>
      </c>
      <c r="P74" s="876">
        <v>54</v>
      </c>
      <c r="Q74" s="71"/>
      <c r="R74" s="71"/>
      <c r="S74" s="76"/>
      <c r="T74" s="76"/>
      <c r="U74" s="76"/>
      <c r="V74" s="76"/>
      <c r="W74" s="76"/>
      <c r="X74" s="76"/>
      <c r="Y74" s="76"/>
      <c r="Z74" s="76"/>
      <c r="AA74" s="76"/>
      <c r="AB74" s="76"/>
      <c r="AC74" s="76"/>
      <c r="AD74" s="76"/>
      <c r="AE74" s="327"/>
      <c r="AF74" s="910"/>
      <c r="AG74" s="909"/>
      <c r="AI74" s="909"/>
      <c r="AJ74" s="909"/>
      <c r="AK74" s="909"/>
      <c r="AL74" s="909"/>
      <c r="AM74" s="909"/>
      <c r="AN74" s="909"/>
      <c r="AO74" s="909"/>
      <c r="AP74" s="909"/>
      <c r="AQ74" s="909"/>
      <c r="AR74" s="909"/>
      <c r="AS74" s="909"/>
      <c r="AU74" s="909"/>
      <c r="AV74" s="909"/>
      <c r="AW74" s="909"/>
      <c r="AX74" s="909"/>
      <c r="AY74" s="909"/>
      <c r="AZ74" s="909"/>
      <c r="BA74" s="909"/>
      <c r="BC74" s="909"/>
      <c r="BD74" s="909"/>
      <c r="BE74" s="909"/>
      <c r="BF74" s="909"/>
      <c r="BG74" s="909"/>
      <c r="BH74" s="909"/>
      <c r="BI74" s="909"/>
      <c r="BJ74" s="909"/>
      <c r="BK74" s="909"/>
      <c r="BL74" s="909"/>
      <c r="BM74" s="909"/>
      <c r="BN74" s="909"/>
      <c r="BO74" s="909"/>
      <c r="BP74" s="909"/>
      <c r="BQ74" s="909"/>
      <c r="BR74" s="909"/>
      <c r="BS74" s="909"/>
      <c r="BT74" s="909"/>
      <c r="BU74" s="909"/>
      <c r="BV74" s="909"/>
      <c r="BW74" s="909"/>
      <c r="BX74" s="909"/>
      <c r="BY74" s="909"/>
      <c r="CD74" s="918"/>
      <c r="OE74" s="911"/>
      <c r="OF74" s="911"/>
      <c r="OG74" s="911"/>
      <c r="OH74" s="911"/>
      <c r="OI74" s="911"/>
      <c r="OJ74" s="911"/>
      <c r="OK74" s="911"/>
      <c r="OL74" s="911"/>
      <c r="OM74" s="911"/>
      <c r="ON74" s="911"/>
      <c r="OO74" s="911"/>
      <c r="OP74" s="911"/>
      <c r="OQ74" s="911"/>
      <c r="OR74" s="911"/>
      <c r="OS74" s="911"/>
      <c r="OT74" s="911"/>
      <c r="OU74" s="911"/>
      <c r="OV74" s="911"/>
      <c r="OW74" s="911"/>
      <c r="OX74" s="911"/>
      <c r="OY74" s="911"/>
      <c r="OZ74" s="911"/>
      <c r="PA74" s="911"/>
      <c r="PB74" s="911"/>
      <c r="PC74" s="911"/>
      <c r="PD74" s="911"/>
      <c r="PE74" s="911"/>
      <c r="PF74" s="911"/>
      <c r="PG74" s="911"/>
      <c r="PH74" s="911"/>
      <c r="PI74" s="911"/>
      <c r="PJ74" s="911"/>
      <c r="PK74" s="911"/>
      <c r="PL74" s="911"/>
      <c r="PM74" s="911"/>
      <c r="PN74" s="911"/>
      <c r="PO74" s="911"/>
      <c r="PP74" s="911"/>
      <c r="PQ74" s="911"/>
      <c r="PR74" s="911"/>
      <c r="PS74" s="911"/>
      <c r="PT74" s="911"/>
      <c r="PU74" s="911"/>
      <c r="PV74" s="911"/>
      <c r="PW74" s="911"/>
      <c r="PX74" s="911"/>
      <c r="PY74" s="911"/>
      <c r="PZ74" s="911"/>
      <c r="QA74" s="911"/>
      <c r="QB74" s="911"/>
      <c r="QC74" s="911"/>
      <c r="QD74" s="911"/>
      <c r="QE74" s="911"/>
      <c r="QF74" s="911"/>
      <c r="QG74" s="911"/>
      <c r="QH74" s="911"/>
      <c r="QI74" s="911"/>
      <c r="QJ74" s="911"/>
      <c r="QK74" s="911"/>
      <c r="QL74" s="911"/>
      <c r="QM74" s="911"/>
      <c r="QN74" s="911"/>
      <c r="QO74" s="911"/>
      <c r="QP74" s="911"/>
      <c r="QQ74" s="911"/>
      <c r="QR74" s="911"/>
      <c r="QS74" s="911"/>
      <c r="QT74" s="911"/>
      <c r="QU74" s="911"/>
      <c r="QV74" s="911"/>
      <c r="QW74" s="911"/>
      <c r="QX74" s="911"/>
      <c r="QY74" s="911"/>
      <c r="QZ74" s="911"/>
      <c r="RA74" s="911"/>
      <c r="RB74" s="911"/>
      <c r="RC74" s="911"/>
      <c r="RD74" s="911"/>
      <c r="RE74" s="911"/>
      <c r="RF74" s="911"/>
      <c r="RG74" s="911"/>
      <c r="RH74" s="911"/>
      <c r="RI74" s="911"/>
      <c r="RJ74" s="911"/>
      <c r="RK74" s="911"/>
      <c r="RL74" s="911"/>
      <c r="RM74" s="911"/>
      <c r="RN74" s="911"/>
      <c r="RO74" s="911"/>
      <c r="RP74" s="911"/>
      <c r="RQ74" s="911"/>
      <c r="RR74" s="911"/>
      <c r="RS74" s="911"/>
      <c r="RT74" s="911"/>
      <c r="RU74" s="911"/>
      <c r="RV74" s="911"/>
      <c r="RW74" s="911"/>
      <c r="RX74" s="911"/>
      <c r="RY74" s="911"/>
      <c r="RZ74" s="911"/>
      <c r="SA74" s="911"/>
      <c r="SB74" s="911"/>
      <c r="SC74" s="911"/>
      <c r="SD74" s="911"/>
      <c r="SE74" s="911"/>
      <c r="SF74" s="911"/>
      <c r="SG74" s="911"/>
      <c r="SH74" s="911"/>
      <c r="SI74" s="911"/>
      <c r="SJ74" s="911"/>
      <c r="SK74" s="911"/>
      <c r="SL74" s="911"/>
      <c r="SM74" s="911"/>
      <c r="SN74" s="911"/>
      <c r="SO74" s="911"/>
      <c r="SP74" s="911"/>
      <c r="SQ74" s="911"/>
      <c r="SR74" s="911"/>
      <c r="SS74" s="911"/>
      <c r="ST74" s="911"/>
      <c r="SU74" s="911"/>
      <c r="SV74" s="911"/>
      <c r="SW74" s="911"/>
      <c r="SX74" s="911"/>
      <c r="SY74" s="911"/>
      <c r="SZ74" s="911"/>
      <c r="TA74" s="911"/>
      <c r="TB74" s="911"/>
      <c r="TC74" s="911"/>
      <c r="TD74" s="911"/>
      <c r="TE74" s="911"/>
      <c r="TF74" s="911"/>
      <c r="TG74" s="911"/>
      <c r="TH74" s="911"/>
      <c r="TI74" s="911"/>
      <c r="TJ74" s="911"/>
      <c r="TK74" s="911"/>
      <c r="TL74" s="911"/>
      <c r="TM74" s="911"/>
      <c r="TN74" s="911"/>
      <c r="TO74" s="911"/>
      <c r="TP74" s="911"/>
      <c r="TQ74" s="911"/>
      <c r="TR74" s="911"/>
      <c r="TS74" s="911"/>
      <c r="TT74" s="911"/>
      <c r="TU74" s="911"/>
      <c r="TV74" s="911"/>
      <c r="TW74" s="911"/>
      <c r="TX74" s="911"/>
      <c r="TY74" s="911"/>
      <c r="TZ74" s="911"/>
      <c r="UA74" s="911"/>
      <c r="UB74" s="911"/>
      <c r="UC74" s="911"/>
      <c r="UD74" s="911"/>
      <c r="UE74" s="911"/>
      <c r="UF74" s="911"/>
      <c r="UG74" s="911"/>
      <c r="UH74" s="911"/>
      <c r="UI74" s="911"/>
      <c r="UJ74" s="911"/>
      <c r="UK74" s="911"/>
      <c r="UL74" s="911"/>
      <c r="UM74" s="911"/>
      <c r="UN74" s="911"/>
      <c r="UO74" s="911"/>
      <c r="UP74" s="911"/>
      <c r="UQ74" s="911"/>
      <c r="UR74" s="911"/>
      <c r="US74" s="911"/>
      <c r="UT74" s="911"/>
      <c r="UU74" s="911"/>
      <c r="UV74" s="911"/>
      <c r="UW74" s="911"/>
      <c r="UX74" s="911"/>
      <c r="UY74" s="911"/>
      <c r="UZ74" s="911"/>
      <c r="VA74" s="911"/>
      <c r="VB74" s="911"/>
      <c r="XL74" s="911"/>
      <c r="AFG74" s="911"/>
      <c r="AFN74" s="911"/>
      <c r="AFU74" s="911"/>
      <c r="AHA74" s="911"/>
      <c r="AHB74" s="911"/>
      <c r="AHC74" s="911"/>
      <c r="AHD74" s="911"/>
      <c r="AHE74" s="911"/>
      <c r="AHF74" s="911"/>
      <c r="AHG74" s="911"/>
      <c r="AHO74" s="911"/>
      <c r="AHP74" s="911"/>
      <c r="AHQ74" s="911"/>
      <c r="APW74" s="911"/>
      <c r="AXB74" s="911"/>
      <c r="AYT74" s="911"/>
      <c r="CJI74" s="910"/>
    </row>
    <row r="75" spans="1:2374" ht="15" customHeight="1">
      <c r="A75" s="79"/>
      <c r="B75" s="79"/>
      <c r="C75" s="79"/>
      <c r="D75" s="82"/>
      <c r="E75" s="964"/>
      <c r="F75" s="169">
        <f>Horarios!C74</f>
        <v>44901.75</v>
      </c>
      <c r="G75" s="170">
        <f>Horarios!C74</f>
        <v>44901.75</v>
      </c>
      <c r="H75" s="175"/>
      <c r="I75" s="172" t="str">
        <f ca="1">IF(SUM(AK46:AK49)=12,VLOOKUP(1,AG46:AI49,3,FALSE),"1F")</f>
        <v>Marruecos</v>
      </c>
      <c r="J75" s="173"/>
      <c r="K75" s="174"/>
      <c r="L75" s="174"/>
      <c r="M75" s="173"/>
      <c r="N75" s="190" t="str">
        <f ca="1">IF(SUM(AK38:AK41)=12,VLOOKUP(2,AG38:AI41,3,FALSE),"2E")</f>
        <v>España</v>
      </c>
      <c r="O75" s="352">
        <f>IF(I82="W55",0,1)</f>
        <v>0</v>
      </c>
      <c r="P75" s="876">
        <v>55</v>
      </c>
      <c r="Q75" s="71"/>
      <c r="R75" s="71"/>
      <c r="S75" s="76"/>
      <c r="T75" s="76"/>
      <c r="U75" s="76"/>
      <c r="V75" s="76"/>
      <c r="W75" s="76"/>
      <c r="X75" s="76"/>
      <c r="Y75" s="76"/>
      <c r="Z75" s="76"/>
      <c r="AA75" s="76"/>
      <c r="AB75" s="76"/>
      <c r="AC75" s="76"/>
      <c r="AD75" s="76"/>
      <c r="AE75" s="327"/>
      <c r="AF75" s="910"/>
      <c r="AG75" s="909"/>
      <c r="AI75" s="909"/>
      <c r="AJ75" s="909"/>
      <c r="AK75" s="909"/>
      <c r="AL75" s="909"/>
      <c r="AM75" s="909"/>
      <c r="AN75" s="909"/>
      <c r="AO75" s="909"/>
      <c r="AP75" s="909"/>
      <c r="AQ75" s="909"/>
      <c r="AR75" s="909"/>
      <c r="AS75" s="909"/>
      <c r="AU75" s="909"/>
      <c r="AV75" s="909"/>
      <c r="AW75" s="909"/>
      <c r="AX75" s="909"/>
      <c r="AY75" s="909"/>
      <c r="AZ75" s="909"/>
      <c r="BA75" s="909"/>
      <c r="BC75" s="909"/>
      <c r="BD75" s="909"/>
      <c r="BE75" s="909"/>
      <c r="BF75" s="909"/>
      <c r="BG75" s="909"/>
      <c r="BH75" s="909"/>
      <c r="BI75" s="909"/>
      <c r="BJ75" s="909"/>
      <c r="BK75" s="909"/>
      <c r="BL75" s="909"/>
      <c r="BM75" s="909"/>
      <c r="BN75" s="909"/>
      <c r="BO75" s="909"/>
      <c r="BP75" s="909"/>
      <c r="BQ75" s="909"/>
      <c r="BR75" s="909"/>
      <c r="BS75" s="909"/>
      <c r="BT75" s="909"/>
      <c r="BU75" s="909"/>
      <c r="BV75" s="909"/>
      <c r="BW75" s="909"/>
      <c r="BX75" s="909"/>
      <c r="BY75" s="909"/>
      <c r="CC75" s="909"/>
      <c r="CE75" s="909"/>
      <c r="CF75" s="909"/>
      <c r="CG75" s="909"/>
      <c r="OE75" s="911"/>
      <c r="OF75" s="911"/>
      <c r="OG75" s="911"/>
      <c r="OH75" s="911"/>
      <c r="OI75" s="911"/>
      <c r="OJ75" s="911"/>
      <c r="OK75" s="911"/>
      <c r="OL75" s="911"/>
      <c r="OM75" s="911"/>
      <c r="ON75" s="911"/>
      <c r="OO75" s="911"/>
      <c r="OP75" s="911"/>
      <c r="OQ75" s="911"/>
      <c r="OR75" s="911"/>
      <c r="OS75" s="911"/>
      <c r="OT75" s="921"/>
      <c r="OU75" s="921"/>
      <c r="OV75" s="921"/>
      <c r="OW75" s="921"/>
      <c r="OX75" s="921"/>
      <c r="OY75" s="921"/>
      <c r="OZ75" s="921"/>
      <c r="PA75" s="921"/>
      <c r="PB75" s="921"/>
      <c r="PC75" s="921"/>
      <c r="PD75" s="921"/>
      <c r="PE75" s="921"/>
      <c r="PF75" s="921"/>
      <c r="PG75" s="921"/>
      <c r="PH75" s="921"/>
      <c r="PI75" s="911"/>
      <c r="PJ75" s="911"/>
      <c r="PK75" s="911"/>
      <c r="PL75" s="911"/>
      <c r="PM75" s="911"/>
      <c r="PN75" s="911"/>
      <c r="PO75" s="911"/>
      <c r="PP75" s="911"/>
      <c r="PQ75" s="911"/>
      <c r="PR75" s="911"/>
      <c r="PS75" s="911"/>
      <c r="PT75" s="911"/>
      <c r="PU75" s="911"/>
      <c r="PV75" s="911"/>
      <c r="PW75" s="911"/>
      <c r="PX75" s="911"/>
      <c r="PY75" s="911"/>
      <c r="PZ75" s="911"/>
      <c r="QA75" s="911"/>
      <c r="QB75" s="911"/>
      <c r="QC75" s="911"/>
      <c r="QD75" s="911"/>
      <c r="QE75" s="911"/>
      <c r="QF75" s="911"/>
      <c r="QG75" s="911"/>
      <c r="QH75" s="911"/>
      <c r="QI75" s="911"/>
      <c r="QJ75" s="911"/>
      <c r="QK75" s="911"/>
      <c r="QL75" s="911"/>
      <c r="QM75" s="911"/>
      <c r="QN75" s="911"/>
      <c r="QO75" s="911"/>
      <c r="QP75" s="911"/>
      <c r="QQ75" s="911"/>
      <c r="QR75" s="911"/>
      <c r="QS75" s="911"/>
      <c r="QT75" s="911"/>
      <c r="QU75" s="911"/>
      <c r="QV75" s="911"/>
      <c r="QW75" s="911"/>
      <c r="QX75" s="911"/>
      <c r="QY75" s="911"/>
      <c r="QZ75" s="911"/>
      <c r="RA75" s="911"/>
      <c r="RB75" s="911"/>
      <c r="RC75" s="911"/>
      <c r="RD75" s="911"/>
      <c r="RE75" s="911"/>
      <c r="RF75" s="911"/>
      <c r="RG75" s="911"/>
      <c r="RH75" s="911"/>
      <c r="RI75" s="911"/>
      <c r="RJ75" s="911"/>
      <c r="RK75" s="921"/>
      <c r="RL75" s="921"/>
      <c r="RM75" s="921"/>
      <c r="RN75" s="921"/>
      <c r="RO75" s="921"/>
      <c r="RP75" s="921"/>
      <c r="RQ75" s="921"/>
      <c r="RR75" s="911"/>
      <c r="RS75" s="911"/>
      <c r="RT75" s="911"/>
      <c r="RU75" s="911"/>
      <c r="RV75" s="911"/>
      <c r="RW75" s="911"/>
      <c r="RX75" s="911"/>
      <c r="RY75" s="911"/>
      <c r="RZ75" s="911"/>
      <c r="SA75" s="911"/>
      <c r="SB75" s="911"/>
      <c r="SC75" s="911"/>
      <c r="SD75" s="911"/>
      <c r="SE75" s="911"/>
      <c r="SF75" s="911"/>
      <c r="SG75" s="911"/>
      <c r="SH75" s="911"/>
      <c r="SI75" s="911"/>
      <c r="SJ75" s="911"/>
      <c r="SK75" s="911"/>
      <c r="SL75" s="911"/>
      <c r="SM75" s="911"/>
      <c r="SN75" s="911"/>
      <c r="SO75" s="911"/>
      <c r="SP75" s="911"/>
      <c r="SQ75" s="911"/>
      <c r="SR75" s="911"/>
      <c r="SS75" s="911"/>
      <c r="ST75" s="911"/>
      <c r="SU75" s="911"/>
      <c r="SV75" s="911"/>
      <c r="SW75" s="911"/>
      <c r="SX75" s="911"/>
      <c r="SY75" s="911"/>
      <c r="SZ75" s="911"/>
      <c r="TA75" s="911"/>
      <c r="TB75" s="911"/>
      <c r="TC75" s="911"/>
      <c r="TD75" s="911"/>
      <c r="TE75" s="921"/>
      <c r="TF75" s="921"/>
      <c r="TG75" s="921"/>
      <c r="TH75" s="921"/>
      <c r="TI75" s="921"/>
      <c r="TJ75" s="921"/>
      <c r="TK75" s="921"/>
      <c r="TL75" s="911"/>
      <c r="TM75" s="911"/>
      <c r="TN75" s="911"/>
      <c r="TO75" s="911"/>
      <c r="TP75" s="911"/>
      <c r="TQ75" s="911"/>
      <c r="TR75" s="911"/>
      <c r="TS75" s="911"/>
      <c r="TT75" s="911"/>
      <c r="TU75" s="911"/>
      <c r="TV75" s="911"/>
      <c r="TW75" s="911"/>
      <c r="TX75" s="911"/>
      <c r="TY75" s="911"/>
      <c r="TZ75" s="911"/>
      <c r="UA75" s="911"/>
      <c r="UB75" s="911"/>
      <c r="UC75" s="911"/>
      <c r="UD75" s="911"/>
      <c r="UE75" s="911"/>
      <c r="UF75" s="911"/>
      <c r="UG75" s="911"/>
      <c r="UH75" s="911"/>
      <c r="UI75" s="911"/>
      <c r="UJ75" s="921"/>
      <c r="UK75" s="921"/>
      <c r="UL75" s="921"/>
      <c r="UM75" s="921"/>
      <c r="UN75" s="921"/>
      <c r="UO75" s="921"/>
      <c r="UP75" s="921"/>
      <c r="UQ75" s="911"/>
      <c r="UR75" s="911"/>
      <c r="US75" s="911"/>
      <c r="UT75" s="911"/>
      <c r="UU75" s="911"/>
      <c r="UV75" s="911"/>
      <c r="UW75" s="911"/>
      <c r="UX75" s="911"/>
      <c r="UY75" s="911"/>
      <c r="UZ75" s="911"/>
      <c r="VA75" s="911"/>
      <c r="VB75" s="911"/>
      <c r="XL75" s="911"/>
      <c r="AFG75" s="911"/>
      <c r="AFN75" s="911"/>
      <c r="AFU75" s="911"/>
      <c r="AHA75" s="911"/>
      <c r="AHB75" s="911"/>
      <c r="AHC75" s="911"/>
      <c r="AHD75" s="911"/>
      <c r="AHE75" s="911"/>
      <c r="AHF75" s="911"/>
      <c r="AHG75" s="911"/>
      <c r="AHO75" s="911"/>
      <c r="AHP75" s="911"/>
      <c r="AHQ75" s="911"/>
      <c r="APW75" s="911"/>
      <c r="AXB75" s="911"/>
      <c r="AYT75" s="911"/>
      <c r="CJI75" s="910"/>
    </row>
    <row r="76" spans="1:2374" ht="15" customHeight="1" thickBot="1">
      <c r="A76" s="79"/>
      <c r="B76" s="79"/>
      <c r="C76" s="79"/>
      <c r="D76" s="82"/>
      <c r="E76" s="965"/>
      <c r="F76" s="191">
        <f>Horarios!C75</f>
        <v>44901.916666666664</v>
      </c>
      <c r="G76" s="192">
        <f>Horarios!C75</f>
        <v>44901.916666666664</v>
      </c>
      <c r="H76" s="193"/>
      <c r="I76" s="194" t="str">
        <f ca="1">IF(SUM(AK62:AK65)=12,VLOOKUP(1,AG62:AI65,3,FALSE),"1H")</f>
        <v>Portugal</v>
      </c>
      <c r="J76" s="195"/>
      <c r="K76" s="196"/>
      <c r="L76" s="196"/>
      <c r="M76" s="195"/>
      <c r="N76" s="197" t="str">
        <f ca="1">IF(SUM(AK54:AK57)=12,VLOOKUP(2,AG54:AI57,3,FALSE),"2G")</f>
        <v>Suiza</v>
      </c>
      <c r="O76" s="352">
        <f>IF(N82="W56",0,1)</f>
        <v>0</v>
      </c>
      <c r="P76" s="876">
        <v>56</v>
      </c>
      <c r="Q76" s="71"/>
      <c r="R76" s="71"/>
      <c r="S76" s="76"/>
      <c r="T76" s="76"/>
      <c r="U76" s="76"/>
      <c r="V76" s="76"/>
      <c r="W76" s="76"/>
      <c r="X76" s="76"/>
      <c r="Y76" s="76"/>
      <c r="Z76" s="76"/>
      <c r="AA76" s="76"/>
      <c r="AB76" s="76"/>
      <c r="AC76" s="76"/>
      <c r="AD76" s="76"/>
      <c r="AE76" s="327"/>
      <c r="AF76" s="910"/>
      <c r="AV76" s="909"/>
      <c r="AW76" s="909"/>
      <c r="BC76" s="909"/>
      <c r="BD76" s="909"/>
      <c r="BE76" s="909"/>
      <c r="BF76" s="909"/>
      <c r="BG76" s="909"/>
      <c r="BH76" s="909"/>
      <c r="BI76" s="909"/>
      <c r="BJ76" s="909"/>
      <c r="BK76" s="909"/>
      <c r="BL76" s="909"/>
      <c r="BM76" s="909"/>
      <c r="BN76" s="909"/>
      <c r="BO76" s="909"/>
      <c r="BP76" s="909"/>
      <c r="BQ76" s="909"/>
      <c r="BR76" s="909"/>
      <c r="BS76" s="909"/>
      <c r="BT76" s="909"/>
      <c r="BU76" s="909"/>
      <c r="BV76" s="909"/>
      <c r="BW76" s="909"/>
      <c r="BX76" s="909"/>
      <c r="BY76" s="909"/>
      <c r="CC76" s="914"/>
      <c r="CD76" s="914"/>
      <c r="CE76" s="914"/>
      <c r="CF76" s="914"/>
      <c r="CG76" s="914"/>
      <c r="OE76" s="911"/>
      <c r="OF76" s="911"/>
      <c r="OG76" s="911"/>
      <c r="OH76" s="911"/>
      <c r="OI76" s="911"/>
      <c r="OJ76" s="911"/>
      <c r="OK76" s="911"/>
      <c r="OL76" s="911"/>
      <c r="OM76" s="911"/>
      <c r="ON76" s="911"/>
      <c r="OO76" s="911"/>
      <c r="OP76" s="911"/>
      <c r="OQ76" s="911"/>
      <c r="OR76" s="911"/>
      <c r="OS76" s="911"/>
      <c r="OT76" s="911"/>
      <c r="OU76" s="911"/>
      <c r="OV76" s="911"/>
      <c r="OW76" s="911"/>
      <c r="OX76" s="911"/>
      <c r="OY76" s="911"/>
      <c r="OZ76" s="911"/>
      <c r="PA76" s="911"/>
      <c r="PB76" s="911"/>
      <c r="PC76" s="911"/>
      <c r="PD76" s="911"/>
      <c r="PE76" s="911"/>
      <c r="PF76" s="911"/>
      <c r="PG76" s="911"/>
      <c r="PH76" s="911"/>
      <c r="PI76" s="911"/>
      <c r="PJ76" s="911"/>
      <c r="PK76" s="911"/>
      <c r="PL76" s="911"/>
      <c r="PM76" s="911"/>
      <c r="PN76" s="911"/>
      <c r="PO76" s="911"/>
      <c r="PP76" s="911"/>
      <c r="PQ76" s="911"/>
      <c r="PR76" s="911"/>
      <c r="PS76" s="911"/>
      <c r="PT76" s="911"/>
      <c r="PU76" s="911"/>
      <c r="PV76" s="911"/>
      <c r="PW76" s="911"/>
      <c r="PX76" s="911"/>
      <c r="PY76" s="911"/>
      <c r="PZ76" s="911"/>
      <c r="QA76" s="911"/>
      <c r="QB76" s="911"/>
      <c r="QC76" s="911"/>
      <c r="QD76" s="911"/>
      <c r="QE76" s="911"/>
      <c r="QF76" s="911"/>
      <c r="QG76" s="911"/>
      <c r="QH76" s="911"/>
      <c r="QI76" s="911"/>
      <c r="QJ76" s="911"/>
      <c r="QK76" s="911"/>
      <c r="QL76" s="911"/>
      <c r="QM76" s="911"/>
      <c r="QN76" s="911"/>
      <c r="QO76" s="911"/>
      <c r="QP76" s="911"/>
      <c r="QQ76" s="911"/>
      <c r="QR76" s="911"/>
      <c r="QS76" s="911"/>
      <c r="QT76" s="911"/>
      <c r="QU76" s="911"/>
      <c r="QV76" s="911"/>
      <c r="QW76" s="911"/>
      <c r="QX76" s="911"/>
      <c r="QY76" s="911"/>
      <c r="QZ76" s="911"/>
      <c r="RA76" s="911"/>
      <c r="RB76" s="911"/>
      <c r="RC76" s="911"/>
      <c r="RD76" s="911"/>
      <c r="RE76" s="911"/>
      <c r="RF76" s="911"/>
      <c r="RG76" s="911"/>
      <c r="RH76" s="911"/>
      <c r="RI76" s="911"/>
      <c r="RJ76" s="911"/>
      <c r="RK76" s="911"/>
      <c r="RL76" s="911"/>
      <c r="RM76" s="911"/>
      <c r="RN76" s="911"/>
      <c r="RO76" s="911"/>
      <c r="RP76" s="911"/>
      <c r="RQ76" s="911"/>
      <c r="RR76" s="911"/>
      <c r="RS76" s="911"/>
      <c r="RT76" s="911"/>
      <c r="RU76" s="911"/>
      <c r="RV76" s="911"/>
      <c r="RW76" s="911"/>
      <c r="RX76" s="911"/>
      <c r="RY76" s="911"/>
      <c r="RZ76" s="911"/>
      <c r="SA76" s="911"/>
      <c r="SB76" s="911"/>
      <c r="SC76" s="911"/>
      <c r="SD76" s="911"/>
      <c r="SE76" s="911"/>
      <c r="SF76" s="911"/>
      <c r="SG76" s="911"/>
      <c r="SH76" s="911"/>
      <c r="SI76" s="911"/>
      <c r="SJ76" s="911"/>
      <c r="SK76" s="911"/>
      <c r="SL76" s="911"/>
      <c r="SM76" s="911"/>
      <c r="SN76" s="911"/>
      <c r="SO76" s="911"/>
      <c r="SP76" s="911"/>
      <c r="SQ76" s="911"/>
      <c r="SR76" s="911"/>
      <c r="SS76" s="911"/>
      <c r="ST76" s="911"/>
      <c r="SU76" s="911"/>
      <c r="SV76" s="911"/>
      <c r="SW76" s="911"/>
      <c r="SX76" s="911"/>
      <c r="SY76" s="911"/>
      <c r="SZ76" s="911"/>
      <c r="TA76" s="911"/>
      <c r="TB76" s="911"/>
      <c r="TC76" s="911"/>
      <c r="TD76" s="911"/>
      <c r="TE76" s="911"/>
      <c r="TF76" s="911"/>
      <c r="TG76" s="911"/>
      <c r="TH76" s="911"/>
      <c r="TI76" s="911"/>
      <c r="TJ76" s="911"/>
      <c r="TK76" s="911"/>
      <c r="TL76" s="911"/>
      <c r="TM76" s="911"/>
      <c r="TN76" s="911"/>
      <c r="TO76" s="911"/>
      <c r="TP76" s="911"/>
      <c r="TQ76" s="911"/>
      <c r="TR76" s="911"/>
      <c r="TS76" s="911"/>
      <c r="TT76" s="911"/>
      <c r="TU76" s="911"/>
      <c r="TV76" s="911"/>
      <c r="TW76" s="911"/>
      <c r="TX76" s="911"/>
      <c r="TY76" s="911"/>
      <c r="TZ76" s="911"/>
      <c r="UA76" s="911"/>
      <c r="UB76" s="911"/>
      <c r="UC76" s="911"/>
      <c r="UD76" s="911"/>
      <c r="UE76" s="911"/>
      <c r="UF76" s="911"/>
      <c r="UG76" s="911"/>
      <c r="UH76" s="911"/>
      <c r="UI76" s="911"/>
      <c r="UJ76" s="911"/>
      <c r="UK76" s="911"/>
      <c r="UL76" s="911"/>
      <c r="UM76" s="911"/>
      <c r="UN76" s="911"/>
      <c r="UO76" s="911"/>
      <c r="UP76" s="911"/>
      <c r="UQ76" s="911"/>
      <c r="UR76" s="911"/>
      <c r="US76" s="911"/>
      <c r="UT76" s="911"/>
      <c r="UU76" s="911"/>
      <c r="UV76" s="911"/>
      <c r="UW76" s="911"/>
      <c r="UX76" s="911"/>
      <c r="UY76" s="911"/>
      <c r="UZ76" s="911"/>
      <c r="VA76" s="911"/>
      <c r="VB76" s="911"/>
      <c r="XL76" s="911"/>
      <c r="YJ76" s="911"/>
      <c r="YK76" s="911"/>
      <c r="YL76" s="911"/>
      <c r="YM76" s="911"/>
      <c r="YN76" s="911"/>
      <c r="YO76" s="911"/>
      <c r="YP76" s="911"/>
      <c r="YQ76" s="911"/>
      <c r="YR76" s="911"/>
      <c r="AFG76" s="911"/>
      <c r="AFN76" s="911"/>
      <c r="AFU76" s="911"/>
      <c r="AHA76" s="911"/>
      <c r="AHB76" s="911"/>
      <c r="AHC76" s="911"/>
      <c r="AHD76" s="911"/>
      <c r="AHE76" s="911"/>
      <c r="AHF76" s="911"/>
      <c r="AHG76" s="911"/>
      <c r="AHO76" s="911"/>
      <c r="AHP76" s="911"/>
      <c r="AHQ76" s="911"/>
      <c r="APW76" s="911"/>
      <c r="AXB76" s="911"/>
      <c r="AYT76" s="911"/>
      <c r="CJI76" s="910"/>
    </row>
    <row r="77" spans="1:2374" ht="15" customHeight="1">
      <c r="A77" s="79"/>
      <c r="B77" s="79"/>
      <c r="C77" s="79"/>
      <c r="D77" s="82"/>
      <c r="E77" s="82"/>
      <c r="F77" s="82"/>
      <c r="G77" s="82"/>
      <c r="H77" s="82"/>
      <c r="I77" s="82"/>
      <c r="J77" s="82"/>
      <c r="K77" s="82"/>
      <c r="L77" s="82"/>
      <c r="M77" s="82"/>
      <c r="N77" s="82"/>
      <c r="O77" s="351"/>
      <c r="P77" s="876"/>
      <c r="Q77" s="71"/>
      <c r="R77" s="71"/>
      <c r="S77" s="76"/>
      <c r="T77" s="76"/>
      <c r="U77" s="76"/>
      <c r="V77" s="76"/>
      <c r="W77" s="76"/>
      <c r="X77" s="76"/>
      <c r="Y77" s="76"/>
      <c r="Z77" s="76"/>
      <c r="AA77" s="76"/>
      <c r="AB77" s="76"/>
      <c r="AC77" s="76"/>
      <c r="AD77" s="76"/>
      <c r="AE77" s="327"/>
      <c r="AF77" s="910"/>
      <c r="AV77" s="909"/>
      <c r="AW77" s="909"/>
      <c r="BC77" s="909"/>
      <c r="BD77" s="909"/>
      <c r="BE77" s="909"/>
      <c r="BF77" s="909"/>
      <c r="BG77" s="909"/>
      <c r="BH77" s="909"/>
      <c r="BI77" s="909"/>
      <c r="BJ77" s="909"/>
      <c r="BK77" s="909"/>
      <c r="BL77" s="909"/>
      <c r="BM77" s="909"/>
      <c r="BN77" s="909"/>
      <c r="BO77" s="909"/>
      <c r="BP77" s="909"/>
      <c r="BQ77" s="909"/>
      <c r="BR77" s="909"/>
      <c r="BS77" s="909"/>
      <c r="BT77" s="909"/>
      <c r="BU77" s="909"/>
      <c r="BV77" s="909"/>
      <c r="BW77" s="909"/>
      <c r="BX77" s="909"/>
      <c r="BY77" s="909"/>
      <c r="CC77" s="914"/>
      <c r="CD77" s="914"/>
      <c r="CE77" s="914"/>
      <c r="CF77" s="914"/>
      <c r="CG77" s="914"/>
      <c r="OE77" s="911"/>
      <c r="OF77" s="911"/>
      <c r="OG77" s="911"/>
      <c r="OH77" s="911"/>
      <c r="OI77" s="911"/>
      <c r="OJ77" s="911"/>
      <c r="OK77" s="911"/>
      <c r="OL77" s="911"/>
      <c r="OM77" s="911"/>
      <c r="ON77" s="911"/>
      <c r="OO77" s="911"/>
      <c r="OP77" s="911"/>
      <c r="OQ77" s="911"/>
      <c r="OR77" s="911"/>
      <c r="OS77" s="911"/>
      <c r="OT77" s="911"/>
      <c r="OU77" s="911"/>
      <c r="OV77" s="911"/>
      <c r="OW77" s="911"/>
      <c r="OX77" s="911"/>
      <c r="OY77" s="911"/>
      <c r="OZ77" s="911"/>
      <c r="PA77" s="911"/>
      <c r="PB77" s="911"/>
      <c r="PC77" s="911"/>
      <c r="PD77" s="911"/>
      <c r="PE77" s="911"/>
      <c r="PF77" s="911"/>
      <c r="PG77" s="911"/>
      <c r="PH77" s="911"/>
      <c r="PI77" s="911"/>
      <c r="PJ77" s="911"/>
      <c r="PK77" s="911"/>
      <c r="PL77" s="911"/>
      <c r="PM77" s="911"/>
      <c r="PN77" s="911"/>
      <c r="PO77" s="911"/>
      <c r="PP77" s="911"/>
      <c r="PQ77" s="911"/>
      <c r="PR77" s="911"/>
      <c r="PS77" s="911"/>
      <c r="PT77" s="911"/>
      <c r="PU77" s="911"/>
      <c r="PV77" s="911"/>
      <c r="PW77" s="911"/>
      <c r="PX77" s="911"/>
      <c r="PY77" s="911"/>
      <c r="PZ77" s="911"/>
      <c r="QA77" s="911"/>
      <c r="QB77" s="911"/>
      <c r="QC77" s="911"/>
      <c r="QD77" s="911"/>
      <c r="QE77" s="911"/>
      <c r="QF77" s="911"/>
      <c r="QG77" s="911"/>
      <c r="QH77" s="911"/>
      <c r="QI77" s="911"/>
      <c r="QJ77" s="911"/>
      <c r="QK77" s="911"/>
      <c r="QL77" s="911"/>
      <c r="QM77" s="911"/>
      <c r="QN77" s="911"/>
      <c r="QO77" s="911"/>
      <c r="QP77" s="911"/>
      <c r="QQ77" s="911"/>
      <c r="QR77" s="911"/>
      <c r="QS77" s="911"/>
      <c r="QT77" s="911"/>
      <c r="QU77" s="911"/>
      <c r="QV77" s="911"/>
      <c r="QW77" s="911"/>
      <c r="QX77" s="911"/>
      <c r="QY77" s="911"/>
      <c r="QZ77" s="911"/>
      <c r="RA77" s="911"/>
      <c r="RB77" s="911"/>
      <c r="RC77" s="911"/>
      <c r="RD77" s="911"/>
      <c r="RE77" s="911"/>
      <c r="RF77" s="911"/>
      <c r="RG77" s="911"/>
      <c r="RH77" s="911"/>
      <c r="RI77" s="911"/>
      <c r="RJ77" s="911"/>
      <c r="RK77" s="911"/>
      <c r="RL77" s="911"/>
      <c r="RM77" s="911"/>
      <c r="RN77" s="911"/>
      <c r="RO77" s="911"/>
      <c r="RP77" s="911"/>
      <c r="RQ77" s="911"/>
      <c r="RR77" s="911"/>
      <c r="RS77" s="911"/>
      <c r="RT77" s="911"/>
      <c r="RU77" s="911"/>
      <c r="RV77" s="911"/>
      <c r="RW77" s="911"/>
      <c r="RX77" s="911"/>
      <c r="RY77" s="911"/>
      <c r="RZ77" s="911"/>
      <c r="SA77" s="911"/>
      <c r="SB77" s="911"/>
      <c r="SC77" s="911"/>
      <c r="SD77" s="911"/>
      <c r="SE77" s="911"/>
      <c r="SF77" s="911"/>
      <c r="SG77" s="911"/>
      <c r="SH77" s="911"/>
      <c r="SI77" s="926"/>
      <c r="SJ77" s="911"/>
      <c r="SK77" s="911"/>
      <c r="SL77" s="911"/>
      <c r="SM77" s="911"/>
      <c r="SN77" s="911"/>
      <c r="SO77" s="911"/>
      <c r="SP77" s="911"/>
      <c r="SQ77" s="911"/>
      <c r="SR77" s="911"/>
      <c r="SS77" s="911"/>
      <c r="ST77" s="911"/>
      <c r="SU77" s="911"/>
      <c r="SV77" s="911"/>
      <c r="SW77" s="911"/>
      <c r="SX77" s="911"/>
      <c r="SY77" s="911"/>
      <c r="SZ77" s="911"/>
      <c r="TA77" s="911"/>
      <c r="TB77" s="911"/>
      <c r="TC77" s="911"/>
      <c r="TD77" s="911"/>
      <c r="TE77" s="911"/>
      <c r="TF77" s="911"/>
      <c r="TG77" s="911"/>
      <c r="TH77" s="911"/>
      <c r="TI77" s="911"/>
      <c r="TJ77" s="911"/>
      <c r="TK77" s="911"/>
      <c r="TL77" s="911"/>
      <c r="TM77" s="911"/>
      <c r="TN77" s="911"/>
      <c r="TO77" s="911"/>
      <c r="TP77" s="911"/>
      <c r="TQ77" s="911"/>
      <c r="TR77" s="911"/>
      <c r="TS77" s="911"/>
      <c r="TT77" s="911"/>
      <c r="TU77" s="911"/>
      <c r="TV77" s="911"/>
      <c r="TW77" s="911"/>
      <c r="TX77" s="911"/>
      <c r="TY77" s="911"/>
      <c r="TZ77" s="911"/>
      <c r="UA77" s="911"/>
      <c r="UB77" s="911"/>
      <c r="UC77" s="911"/>
      <c r="UD77" s="911"/>
      <c r="UE77" s="911"/>
      <c r="UF77" s="911"/>
      <c r="UG77" s="911"/>
      <c r="UH77" s="911"/>
      <c r="UI77" s="911"/>
      <c r="UJ77" s="911"/>
      <c r="UK77" s="911"/>
      <c r="UL77" s="911"/>
      <c r="UM77" s="911"/>
      <c r="UN77" s="911"/>
      <c r="UO77" s="911"/>
      <c r="UP77" s="911"/>
      <c r="UQ77" s="911"/>
      <c r="UR77" s="911"/>
      <c r="US77" s="911"/>
      <c r="UT77" s="911"/>
      <c r="UU77" s="911"/>
      <c r="UV77" s="911"/>
      <c r="UW77" s="911"/>
      <c r="UX77" s="911"/>
      <c r="UY77" s="911"/>
      <c r="UZ77" s="911"/>
      <c r="VA77" s="911"/>
      <c r="VB77" s="911"/>
      <c r="AFG77" s="911"/>
      <c r="AFN77" s="911"/>
      <c r="AFU77" s="911"/>
      <c r="AHA77" s="911"/>
      <c r="AHB77" s="911"/>
      <c r="AHC77" s="911"/>
      <c r="AHD77" s="911"/>
      <c r="AHE77" s="911"/>
      <c r="AHF77" s="911"/>
      <c r="AHG77" s="911"/>
      <c r="APW77" s="911"/>
      <c r="AXB77" s="911"/>
      <c r="AYT77" s="911"/>
    </row>
    <row r="78" spans="1:2374">
      <c r="A78" s="79"/>
      <c r="B78" s="79"/>
      <c r="C78" s="79"/>
      <c r="D78" s="82"/>
      <c r="E78" s="90" t="s">
        <v>101</v>
      </c>
      <c r="F78" s="153"/>
      <c r="G78" s="90"/>
      <c r="H78" s="90"/>
      <c r="I78" s="90"/>
      <c r="J78" s="90"/>
      <c r="K78" s="90"/>
      <c r="L78" s="90"/>
      <c r="M78" s="90"/>
      <c r="N78" s="90"/>
      <c r="O78" s="349"/>
      <c r="P78" s="874"/>
      <c r="Q78" s="68"/>
      <c r="R78" s="68"/>
      <c r="S78" s="76"/>
      <c r="T78" s="76"/>
      <c r="U78" s="76"/>
      <c r="V78" s="76"/>
      <c r="W78" s="76"/>
      <c r="X78" s="76"/>
      <c r="Y78" s="76"/>
      <c r="Z78" s="76"/>
      <c r="AA78" s="76"/>
      <c r="AB78" s="76"/>
      <c r="AC78" s="76"/>
      <c r="AD78" s="76"/>
      <c r="AE78" s="327"/>
      <c r="AF78" s="910"/>
      <c r="AV78" s="909"/>
      <c r="AW78" s="909"/>
      <c r="BC78" s="909"/>
      <c r="BD78" s="909"/>
      <c r="BE78" s="909"/>
      <c r="BF78" s="909"/>
      <c r="BG78" s="909"/>
      <c r="BH78" s="909"/>
      <c r="BI78" s="909"/>
      <c r="BJ78" s="909"/>
      <c r="BK78" s="909"/>
      <c r="BL78" s="909"/>
      <c r="BM78" s="909"/>
      <c r="BN78" s="909"/>
      <c r="BO78" s="909"/>
      <c r="BP78" s="909"/>
      <c r="BQ78" s="909"/>
      <c r="BR78" s="909"/>
      <c r="BS78" s="909"/>
      <c r="BT78" s="909"/>
      <c r="BU78" s="909"/>
      <c r="BV78" s="909"/>
      <c r="BW78" s="909"/>
      <c r="BX78" s="909"/>
      <c r="BY78" s="909"/>
      <c r="BZ78" s="909"/>
      <c r="CA78" s="909"/>
      <c r="CB78" s="909"/>
      <c r="CD78" s="918"/>
      <c r="CH78" s="909"/>
      <c r="OE78" s="911"/>
      <c r="OF78" s="911"/>
      <c r="OG78" s="911"/>
      <c r="OH78" s="911"/>
      <c r="OI78" s="926"/>
      <c r="OJ78" s="911"/>
      <c r="OK78" s="911"/>
      <c r="OL78" s="911"/>
      <c r="OM78" s="911"/>
      <c r="ON78" s="911"/>
      <c r="OO78" s="911"/>
      <c r="OP78" s="911"/>
      <c r="OQ78" s="911"/>
      <c r="OR78" s="911"/>
      <c r="OS78" s="911"/>
      <c r="OT78" s="911"/>
      <c r="OU78" s="911"/>
      <c r="OV78" s="911"/>
      <c r="OW78" s="911"/>
      <c r="OX78" s="926"/>
      <c r="OY78" s="926"/>
      <c r="OZ78" s="911"/>
      <c r="PA78" s="911"/>
      <c r="PB78" s="911"/>
      <c r="PC78" s="911"/>
      <c r="PD78" s="911"/>
      <c r="PE78" s="911"/>
      <c r="PF78" s="911"/>
      <c r="PG78" s="911"/>
      <c r="PH78" s="911"/>
      <c r="PI78" s="911"/>
      <c r="PJ78" s="911"/>
      <c r="PK78" s="911"/>
      <c r="PL78" s="911"/>
      <c r="PM78" s="911"/>
      <c r="PN78" s="911"/>
      <c r="PO78" s="911"/>
      <c r="PP78" s="911"/>
      <c r="PQ78" s="911"/>
      <c r="PR78" s="911"/>
      <c r="PS78" s="911"/>
      <c r="PT78" s="926"/>
      <c r="PU78" s="911"/>
      <c r="PV78" s="911"/>
      <c r="PW78" s="911"/>
      <c r="PX78" s="911"/>
      <c r="PY78" s="911"/>
      <c r="PZ78" s="911"/>
      <c r="QA78" s="911"/>
      <c r="QB78" s="911"/>
      <c r="QC78" s="911"/>
      <c r="QD78" s="911"/>
      <c r="QE78" s="911"/>
      <c r="QF78" s="911"/>
      <c r="QG78" s="911"/>
      <c r="QH78" s="911"/>
      <c r="QI78" s="911"/>
      <c r="QJ78" s="911"/>
      <c r="QK78" s="911"/>
      <c r="QL78" s="911"/>
      <c r="QM78" s="926"/>
      <c r="QN78" s="911"/>
      <c r="QO78" s="911"/>
      <c r="QP78" s="911"/>
      <c r="QQ78" s="911"/>
      <c r="QR78" s="911"/>
      <c r="QS78" s="911"/>
      <c r="QT78" s="911"/>
      <c r="QU78" s="911"/>
      <c r="QV78" s="911"/>
      <c r="QW78" s="911"/>
      <c r="QX78" s="911"/>
      <c r="QY78" s="911"/>
      <c r="QZ78" s="926"/>
      <c r="RA78" s="911"/>
      <c r="RB78" s="911"/>
      <c r="RC78" s="911"/>
      <c r="RD78" s="911"/>
      <c r="RE78" s="911"/>
      <c r="RF78" s="911"/>
      <c r="RG78" s="911"/>
      <c r="RH78" s="911"/>
      <c r="RI78" s="911"/>
      <c r="RJ78" s="911"/>
      <c r="RK78" s="911"/>
      <c r="RL78" s="911"/>
      <c r="RM78" s="911"/>
      <c r="RN78" s="911"/>
      <c r="RO78" s="911"/>
      <c r="RP78" s="911"/>
      <c r="RQ78" s="911"/>
      <c r="RR78" s="911"/>
      <c r="RS78" s="911"/>
      <c r="RT78" s="911"/>
      <c r="RU78" s="911"/>
      <c r="RV78" s="911"/>
      <c r="RW78" s="911"/>
      <c r="RX78" s="911"/>
      <c r="RY78" s="911"/>
      <c r="RZ78" s="911"/>
      <c r="SA78" s="911"/>
      <c r="SB78" s="926"/>
      <c r="SC78" s="911"/>
      <c r="SD78" s="911"/>
      <c r="SE78" s="911"/>
      <c r="SF78" s="911"/>
      <c r="SG78" s="911"/>
      <c r="SH78" s="911"/>
      <c r="SI78" s="911"/>
      <c r="SJ78" s="911"/>
      <c r="SK78" s="911"/>
      <c r="SL78" s="911"/>
      <c r="SM78" s="911"/>
      <c r="SN78" s="911"/>
      <c r="SO78" s="911"/>
      <c r="SP78" s="911"/>
      <c r="SQ78" s="911"/>
      <c r="SR78" s="911"/>
      <c r="SS78" s="911"/>
      <c r="ST78" s="911"/>
      <c r="SU78" s="911"/>
      <c r="SV78" s="911"/>
      <c r="SW78" s="911"/>
      <c r="SX78" s="911"/>
      <c r="SY78" s="911"/>
      <c r="SZ78" s="911"/>
      <c r="TA78" s="911"/>
      <c r="TB78" s="911"/>
      <c r="TC78" s="911"/>
      <c r="TD78" s="911"/>
      <c r="TE78" s="911"/>
      <c r="TF78" s="911"/>
      <c r="TG78" s="911"/>
      <c r="TH78" s="911"/>
      <c r="TI78" s="911"/>
      <c r="TJ78" s="911"/>
      <c r="TK78" s="911"/>
      <c r="TL78" s="911"/>
      <c r="TM78" s="911"/>
      <c r="TN78" s="911"/>
      <c r="TO78" s="911"/>
      <c r="TP78" s="911"/>
      <c r="TQ78" s="911"/>
      <c r="TR78" s="911"/>
      <c r="TS78" s="911"/>
      <c r="TT78" s="911"/>
      <c r="TU78" s="911"/>
      <c r="TV78" s="911"/>
      <c r="TW78" s="911"/>
      <c r="TX78" s="911"/>
      <c r="TY78" s="911"/>
      <c r="TZ78" s="911"/>
      <c r="UA78" s="911"/>
      <c r="UB78" s="911"/>
      <c r="UC78" s="911"/>
      <c r="UD78" s="911"/>
      <c r="UE78" s="911"/>
      <c r="UF78" s="911"/>
      <c r="UG78" s="911"/>
      <c r="UH78" s="911"/>
      <c r="UI78" s="911"/>
      <c r="UJ78" s="911"/>
      <c r="UK78" s="911"/>
      <c r="UL78" s="911"/>
      <c r="UM78" s="911"/>
      <c r="UN78" s="911"/>
      <c r="UO78" s="911"/>
      <c r="UP78" s="911"/>
      <c r="UQ78" s="911"/>
      <c r="UR78" s="911"/>
      <c r="US78" s="911"/>
      <c r="UT78" s="911"/>
      <c r="UU78" s="911"/>
      <c r="UV78" s="911"/>
      <c r="UW78" s="911"/>
      <c r="UX78" s="911"/>
      <c r="UY78" s="911"/>
      <c r="UZ78" s="911"/>
      <c r="VA78" s="911"/>
      <c r="VB78" s="911"/>
    </row>
    <row r="79" spans="1:2374" ht="15" customHeight="1" thickBot="1">
      <c r="A79" s="79"/>
      <c r="B79" s="79"/>
      <c r="C79" s="79"/>
      <c r="D79" s="82"/>
      <c r="E79" s="84"/>
      <c r="F79" s="83" t="str">
        <f>F3</f>
        <v>Fecha</v>
      </c>
      <c r="G79" s="83" t="str">
        <f>G3</f>
        <v>Hora</v>
      </c>
      <c r="H79" s="85"/>
      <c r="I79" s="86" t="s">
        <v>2</v>
      </c>
      <c r="J79" s="154" t="s">
        <v>16</v>
      </c>
      <c r="K79" s="87" t="str">
        <f>K3</f>
        <v>Gol</v>
      </c>
      <c r="L79" s="87" t="str">
        <f>L3</f>
        <v>Gol</v>
      </c>
      <c r="M79" s="155" t="s">
        <v>16</v>
      </c>
      <c r="N79" s="88" t="s">
        <v>4</v>
      </c>
      <c r="O79" s="349"/>
      <c r="P79" s="874"/>
      <c r="Q79" s="68"/>
      <c r="R79" s="68"/>
      <c r="S79" s="68"/>
      <c r="T79" s="68"/>
      <c r="U79" s="68"/>
      <c r="V79" s="67"/>
      <c r="W79" s="67"/>
      <c r="X79" s="67"/>
      <c r="Y79" s="67"/>
      <c r="Z79" s="67"/>
      <c r="AA79" s="70"/>
      <c r="AB79" s="70"/>
      <c r="AC79" s="70"/>
      <c r="AD79" s="70"/>
      <c r="AE79" s="327"/>
      <c r="AF79" s="910"/>
      <c r="AV79" s="909"/>
      <c r="AW79" s="909"/>
      <c r="BB79" s="909"/>
      <c r="BD79" s="909"/>
      <c r="BE79" s="909"/>
      <c r="BF79" s="909"/>
      <c r="BG79" s="909"/>
      <c r="BH79" s="909"/>
      <c r="BI79" s="909"/>
      <c r="BJ79" s="909"/>
      <c r="BK79" s="909"/>
      <c r="BL79" s="909"/>
      <c r="BM79" s="909"/>
      <c r="BN79" s="909"/>
      <c r="BO79" s="909"/>
      <c r="BP79" s="909"/>
      <c r="BQ79" s="909"/>
      <c r="BR79" s="909"/>
      <c r="BS79" s="909"/>
      <c r="BZ79" s="909"/>
      <c r="CA79" s="909"/>
      <c r="CD79" s="918"/>
      <c r="CH79" s="909"/>
    </row>
    <row r="80" spans="1:2374" ht="15" customHeight="1">
      <c r="A80" s="79"/>
      <c r="B80" s="79"/>
      <c r="C80" s="79"/>
      <c r="D80" s="82"/>
      <c r="E80" s="961" t="s">
        <v>78</v>
      </c>
      <c r="F80" s="182">
        <f>Horarios!C80</f>
        <v>44904.75</v>
      </c>
      <c r="G80" s="183">
        <f>Horarios!C80</f>
        <v>44904.75</v>
      </c>
      <c r="H80" s="184"/>
      <c r="I80" s="185" t="str">
        <f>IF(AND(OR(K73="",L73="")),"W53",IF(K73&gt;L73,I73,IF(K73&lt;L73,N73,IF(AND(K73=L73,J73=M73),"W53",IF(AND(K73=L73,OR(J73="",M73="")),"W53",IF(AND(K73=L73,J73&gt;M73),I73,N73))))))</f>
        <v>W53</v>
      </c>
      <c r="J80" s="186"/>
      <c r="K80" s="187"/>
      <c r="L80" s="187"/>
      <c r="M80" s="188"/>
      <c r="N80" s="189" t="str">
        <f>IF(AND(OR(K74="",L74="")),"W54",IF(K74&gt;L74,I74,IF(K74&lt;L74,N74,IF(AND(K74=L74,J74=M74),"W54",IF(AND(K74=L74,OR(J74="",M74="")),"W54",IF(AND(K74=L74,J74&gt;M74),I74,N74))))))</f>
        <v>W54</v>
      </c>
      <c r="O80" s="352">
        <f>IF(N86="W58",0,1)</f>
        <v>0</v>
      </c>
      <c r="P80" s="877">
        <v>58</v>
      </c>
      <c r="Q80" s="150"/>
      <c r="R80" s="150"/>
      <c r="S80" s="150"/>
      <c r="T80" s="150"/>
      <c r="U80" s="150"/>
      <c r="V80" s="150"/>
      <c r="W80" s="150"/>
      <c r="X80" s="150"/>
      <c r="Y80" s="150"/>
      <c r="Z80" s="150"/>
      <c r="AA80" s="70"/>
      <c r="AB80" s="70"/>
      <c r="AC80" s="70"/>
      <c r="AD80" s="70"/>
      <c r="AE80" s="327"/>
      <c r="AF80" s="910"/>
      <c r="AV80" s="909"/>
      <c r="AW80" s="909"/>
      <c r="BB80" s="909"/>
      <c r="BC80" s="909"/>
      <c r="BD80" s="909"/>
      <c r="BE80" s="909"/>
      <c r="BF80" s="909"/>
      <c r="BG80" s="909"/>
      <c r="BH80" s="909"/>
      <c r="BI80" s="909"/>
      <c r="BJ80" s="909"/>
      <c r="BK80" s="909"/>
      <c r="BM80" s="909"/>
      <c r="BN80" s="909"/>
      <c r="BO80" s="909"/>
      <c r="BP80" s="909"/>
      <c r="BQ80" s="909"/>
      <c r="BR80" s="909"/>
      <c r="BS80" s="909"/>
      <c r="BZ80" s="909"/>
      <c r="CA80" s="909"/>
      <c r="CD80" s="918"/>
      <c r="CH80" s="909"/>
    </row>
    <row r="81" spans="1:88" ht="15" customHeight="1">
      <c r="A81" s="79"/>
      <c r="B81" s="79"/>
      <c r="C81" s="79"/>
      <c r="D81" s="82"/>
      <c r="E81" s="962"/>
      <c r="F81" s="169">
        <f>Horarios!C81</f>
        <v>44904.916666666664</v>
      </c>
      <c r="G81" s="170">
        <f>Horarios!C81</f>
        <v>44904.916666666664</v>
      </c>
      <c r="H81" s="171"/>
      <c r="I81" s="172" t="str">
        <f>IF(AND(OR(K69="",L69="")),"W49",IF(K69&gt;L69,I69,IF(K69&lt;L69,N69,IF(AND(K69=L69,J69=M69),"W49",IF(AND(K69=L69,OR(J69="",M69="")),"W49",IF(AND(K69=L69,J69&gt;M69),I69,N69))))))</f>
        <v>W49</v>
      </c>
      <c r="J81" s="173"/>
      <c r="K81" s="174"/>
      <c r="L81" s="174"/>
      <c r="M81" s="173"/>
      <c r="N81" s="190" t="str">
        <f>IF(AND(OR(K70="",L70="")),"W50",IF(K70&gt;L70,I70,IF(K70&lt;L70,N70,IF(AND(K70=L70,J70=M70),"W50",IF(AND(K70=L70,OR(J70="",M70="")),"W50",IF(AND(K70=L70,J70&gt;M70),I70,N70))))))</f>
        <v>W50</v>
      </c>
      <c r="O81" s="352">
        <f>IF(I86="W57",0,1)</f>
        <v>0</v>
      </c>
      <c r="P81" s="877">
        <v>57</v>
      </c>
      <c r="Q81" s="150"/>
      <c r="R81" s="150"/>
      <c r="S81" s="150"/>
      <c r="T81" s="150"/>
      <c r="U81" s="150"/>
      <c r="V81" s="150"/>
      <c r="W81" s="150"/>
      <c r="X81" s="150"/>
      <c r="Y81" s="150"/>
      <c r="Z81" s="150"/>
      <c r="AA81" s="70"/>
      <c r="AB81" s="70"/>
      <c r="AC81" s="70"/>
      <c r="AD81" s="70"/>
      <c r="AE81" s="327"/>
      <c r="AF81" s="910"/>
      <c r="AV81" s="909"/>
      <c r="AW81" s="909"/>
      <c r="BB81" s="909"/>
      <c r="BC81" s="909"/>
      <c r="BD81" s="909"/>
      <c r="BE81" s="909"/>
      <c r="BF81" s="909"/>
      <c r="BG81" s="909"/>
      <c r="BH81" s="909"/>
      <c r="BI81" s="909"/>
      <c r="BJ81" s="909"/>
      <c r="BK81" s="909"/>
      <c r="BL81" s="909"/>
      <c r="BM81" s="909"/>
      <c r="BN81" s="909"/>
      <c r="BO81" s="909"/>
      <c r="BP81" s="909"/>
      <c r="BQ81" s="909"/>
      <c r="BR81" s="909"/>
      <c r="BS81" s="909"/>
      <c r="BZ81" s="909"/>
      <c r="CA81" s="909"/>
      <c r="CD81" s="918"/>
      <c r="CH81" s="909"/>
    </row>
    <row r="82" spans="1:88" ht="15" customHeight="1">
      <c r="A82" s="79"/>
      <c r="B82" s="79"/>
      <c r="C82" s="79"/>
      <c r="D82" s="82"/>
      <c r="E82" s="962"/>
      <c r="F82" s="169">
        <f>Horarios!C82</f>
        <v>44905.75</v>
      </c>
      <c r="G82" s="170">
        <f>Horarios!C82</f>
        <v>44905.75</v>
      </c>
      <c r="H82" s="175"/>
      <c r="I82" s="172" t="str">
        <f>IF(AND(OR(K75="",L75="")),"W55",IF(K75&gt;L75,I75,IF(K75&lt;L75,N75,IF(AND(K75=L75,J75=M75),"W55",IF(AND(K75=L75,OR(J75="",M75="")),"W55",IF(AND(K75=L75,J75&gt;M75),I75,N75))))))</f>
        <v>W55</v>
      </c>
      <c r="J82" s="173"/>
      <c r="K82" s="174"/>
      <c r="L82" s="174"/>
      <c r="M82" s="173"/>
      <c r="N82" s="190" t="str">
        <f>IF(AND(OR(K76="",L76="")),"W56",IF(K76&gt;L76,I76,IF(K76&lt;L76,N76,IF(AND(K76=L76,J76=M76),"W56",IF(AND(K76=L76,OR(J76="",M76="")),"W56",IF(AND(K76=L76,J76&gt;M76),I76,N76))))))</f>
        <v>W56</v>
      </c>
      <c r="O82" s="352">
        <f>IF(N87="W60",0,1)</f>
        <v>0</v>
      </c>
      <c r="P82" s="877">
        <v>60</v>
      </c>
      <c r="Q82" s="150"/>
      <c r="R82" s="150"/>
      <c r="S82" s="150"/>
      <c r="T82" s="150"/>
      <c r="U82" s="150"/>
      <c r="V82" s="150"/>
      <c r="W82" s="150"/>
      <c r="X82" s="150"/>
      <c r="Y82" s="150"/>
      <c r="Z82" s="150"/>
      <c r="AA82" s="70"/>
      <c r="AB82" s="70"/>
      <c r="AC82" s="70"/>
      <c r="AD82" s="70"/>
      <c r="AE82" s="327"/>
      <c r="AF82" s="910"/>
      <c r="AG82" s="909"/>
      <c r="BB82" s="909"/>
      <c r="BC82" s="909"/>
      <c r="BD82" s="909"/>
      <c r="BE82" s="909"/>
      <c r="BF82" s="909"/>
      <c r="BG82" s="909"/>
      <c r="BH82" s="909"/>
      <c r="BI82" s="909"/>
      <c r="BJ82" s="909"/>
      <c r="BK82" s="909"/>
      <c r="BL82" s="909"/>
      <c r="BM82" s="909"/>
      <c r="BN82" s="909"/>
      <c r="BO82" s="909"/>
      <c r="BP82" s="909"/>
      <c r="BQ82" s="909"/>
      <c r="BR82" s="909"/>
      <c r="BS82" s="909"/>
      <c r="BZ82" s="909"/>
      <c r="CA82" s="909"/>
      <c r="CD82" s="918"/>
      <c r="CH82" s="909"/>
    </row>
    <row r="83" spans="1:88" ht="15" customHeight="1" thickBot="1">
      <c r="A83" s="79"/>
      <c r="B83" s="79"/>
      <c r="C83" s="79"/>
      <c r="D83" s="82"/>
      <c r="E83" s="963"/>
      <c r="F83" s="191">
        <f>Horarios!C83</f>
        <v>44905.916666666664</v>
      </c>
      <c r="G83" s="192">
        <f>Horarios!C83</f>
        <v>44905.916666666664</v>
      </c>
      <c r="H83" s="193"/>
      <c r="I83" s="194" t="str">
        <f>IF(AND(OR(K72="",L72="")),"W51",IF(K72&gt;L72,I72,IF(K72&lt;L72,N72,IF(AND(K72=L72,J72=M72),"W51",IF(AND(K72=L72,OR(J72="",M72="")),"W51",IF(AND(K72=L72,J72&gt;M72),I72,N72))))))</f>
        <v>W51</v>
      </c>
      <c r="J83" s="195"/>
      <c r="K83" s="196"/>
      <c r="L83" s="196"/>
      <c r="M83" s="195"/>
      <c r="N83" s="197" t="str">
        <f>IF(AND(OR(K71="",L71="")),"W52",IF(K71&gt;L71,I71,IF(K71&lt;L71,N71,IF(AND(K71=L71,J71=M71),"W52",IF(AND(K71=L71,OR(J71="",M71="")),"W52",IF(AND(K71=L71,J71&gt;M71),I71,N71))))))</f>
        <v>W52</v>
      </c>
      <c r="O83" s="352">
        <f>IF(I87="W59",0,1)</f>
        <v>0</v>
      </c>
      <c r="P83" s="877">
        <v>59</v>
      </c>
      <c r="Q83" s="150"/>
      <c r="R83" s="150"/>
      <c r="S83" s="150"/>
      <c r="T83" s="150"/>
      <c r="U83" s="150"/>
      <c r="V83" s="150"/>
      <c r="W83" s="150"/>
      <c r="X83" s="150"/>
      <c r="Y83" s="150"/>
      <c r="Z83" s="150"/>
      <c r="AA83" s="70"/>
      <c r="AB83" s="70"/>
      <c r="AC83" s="70"/>
      <c r="AD83" s="70"/>
      <c r="AE83" s="327"/>
      <c r="AF83" s="910"/>
      <c r="AG83" s="909"/>
      <c r="BB83" s="909"/>
      <c r="BC83" s="909"/>
      <c r="BD83" s="909"/>
      <c r="BE83" s="909"/>
      <c r="BF83" s="909"/>
      <c r="BG83" s="909"/>
      <c r="BH83" s="909"/>
      <c r="BI83" s="909"/>
      <c r="BJ83" s="909"/>
      <c r="BK83" s="909"/>
      <c r="BL83" s="909"/>
      <c r="BM83" s="909"/>
      <c r="BN83" s="909"/>
      <c r="BO83" s="909"/>
      <c r="BP83" s="909"/>
      <c r="BQ83" s="909"/>
      <c r="BR83" s="909"/>
      <c r="BS83" s="909"/>
      <c r="BZ83" s="909"/>
      <c r="CA83" s="909"/>
      <c r="CD83" s="918"/>
      <c r="CH83" s="909"/>
    </row>
    <row r="84" spans="1:88">
      <c r="A84" s="79"/>
      <c r="B84" s="79"/>
      <c r="C84" s="79"/>
      <c r="D84" s="82"/>
      <c r="E84" s="90" t="s">
        <v>80</v>
      </c>
      <c r="F84" s="153"/>
      <c r="G84" s="90"/>
      <c r="H84" s="90"/>
      <c r="I84" s="90"/>
      <c r="J84" s="91"/>
      <c r="K84" s="91"/>
      <c r="L84" s="91"/>
      <c r="M84" s="91"/>
      <c r="N84" s="91"/>
      <c r="O84" s="353"/>
      <c r="P84" s="878"/>
      <c r="Q84" s="150"/>
      <c r="R84" s="150"/>
      <c r="S84" s="150"/>
      <c r="T84" s="150"/>
      <c r="U84" s="150"/>
      <c r="V84" s="150"/>
      <c r="W84" s="150"/>
      <c r="X84" s="150"/>
      <c r="Y84" s="150"/>
      <c r="Z84" s="150"/>
      <c r="AA84" s="150"/>
      <c r="AB84" s="150"/>
      <c r="AC84" s="150"/>
      <c r="AD84" s="70"/>
      <c r="AE84" s="327"/>
      <c r="AF84" s="910"/>
      <c r="AG84" s="909"/>
      <c r="BB84" s="909"/>
      <c r="BC84" s="909"/>
      <c r="BD84" s="909"/>
      <c r="BE84" s="909"/>
      <c r="BF84" s="909"/>
      <c r="BG84" s="909"/>
      <c r="BH84" s="909"/>
      <c r="BI84" s="909"/>
      <c r="BJ84" s="909"/>
      <c r="BK84" s="909"/>
      <c r="BL84" s="909"/>
      <c r="BM84" s="909"/>
      <c r="BN84" s="909"/>
      <c r="BO84" s="909"/>
      <c r="BP84" s="909"/>
      <c r="BQ84" s="909"/>
      <c r="BR84" s="909"/>
      <c r="BS84" s="909"/>
      <c r="BZ84" s="909"/>
      <c r="CA84" s="909"/>
      <c r="CH84" s="909"/>
    </row>
    <row r="85" spans="1:88" ht="16" thickBot="1">
      <c r="A85" s="79"/>
      <c r="B85" s="79"/>
      <c r="C85" s="79"/>
      <c r="D85" s="82"/>
      <c r="E85" s="84"/>
      <c r="F85" s="83" t="str">
        <f>F3</f>
        <v>Fecha</v>
      </c>
      <c r="G85" s="83" t="str">
        <f>G3</f>
        <v>Hora</v>
      </c>
      <c r="H85" s="85"/>
      <c r="I85" s="862" t="s">
        <v>2</v>
      </c>
      <c r="J85" s="156" t="s">
        <v>16</v>
      </c>
      <c r="K85" s="157" t="s">
        <v>22</v>
      </c>
      <c r="L85" s="157" t="s">
        <v>22</v>
      </c>
      <c r="M85" s="156" t="s">
        <v>16</v>
      </c>
      <c r="N85" s="88" t="s">
        <v>4</v>
      </c>
      <c r="O85" s="353"/>
      <c r="P85" s="878"/>
      <c r="Q85" s="150"/>
      <c r="R85" s="150"/>
      <c r="S85" s="150"/>
      <c r="T85" s="150"/>
      <c r="U85" s="150"/>
      <c r="V85" s="150"/>
      <c r="W85" s="150"/>
      <c r="X85" s="150"/>
      <c r="Y85" s="150"/>
      <c r="Z85" s="150"/>
      <c r="AA85" s="150"/>
      <c r="AB85" s="150"/>
      <c r="AC85" s="150"/>
      <c r="AD85" s="70"/>
      <c r="AE85" s="327"/>
      <c r="AF85" s="910"/>
      <c r="AG85" s="909"/>
      <c r="AV85" s="909"/>
      <c r="AW85" s="909"/>
      <c r="AX85" s="909"/>
      <c r="AY85" s="909"/>
      <c r="AZ85" s="909"/>
      <c r="BA85" s="909"/>
      <c r="BC85" s="909"/>
      <c r="BD85" s="909"/>
      <c r="BE85" s="909"/>
      <c r="BF85" s="909"/>
      <c r="BG85" s="909"/>
      <c r="BH85" s="909"/>
      <c r="BI85" s="909"/>
      <c r="BJ85" s="909"/>
      <c r="BK85" s="909"/>
      <c r="BL85" s="909"/>
      <c r="BM85" s="909"/>
      <c r="BN85" s="909"/>
      <c r="BO85" s="909"/>
      <c r="BP85" s="909"/>
      <c r="BQ85" s="909"/>
      <c r="BR85" s="909"/>
      <c r="BS85" s="909"/>
      <c r="BZ85" s="909"/>
      <c r="CA85" s="909"/>
      <c r="CC85" s="914"/>
      <c r="CD85" s="914"/>
      <c r="CE85" s="914"/>
      <c r="CF85" s="914"/>
      <c r="CG85" s="914"/>
      <c r="CH85" s="927"/>
    </row>
    <row r="86" spans="1:88" ht="15" customHeight="1">
      <c r="A86" s="79"/>
      <c r="B86" s="79"/>
      <c r="C86" s="79"/>
      <c r="D86" s="82"/>
      <c r="E86" s="959" t="s">
        <v>79</v>
      </c>
      <c r="F86" s="182">
        <f>Horarios!C86</f>
        <v>44908.916666666664</v>
      </c>
      <c r="G86" s="183">
        <f>Horarios!C86</f>
        <v>44908.916666666664</v>
      </c>
      <c r="H86" s="198"/>
      <c r="I86" s="185" t="str">
        <f>IF(AND(OR(K81="",L81="")),"W57",IF(K81&gt;L81,I81,IF(K81&lt;L81,N81,IF(AND(K81=L81,J81=M81),"W57",IF(AND(K81=L81,OR(J81="",M81="")),"WC57",IF(AND(K81=L81,J81&gt;M81),I81,N81))))))</f>
        <v>W57</v>
      </c>
      <c r="J86" s="199"/>
      <c r="K86" s="200"/>
      <c r="L86" s="200"/>
      <c r="M86" s="199"/>
      <c r="N86" s="865" t="str">
        <f>IF(AND(OR(K80="",L80="")),"W58",IF(K80&gt;L80,I80,IF(K80&lt;L80,N80,IF(AND(K80=L80,J80=M80),"W58",IF(AND(K80=L80,OR(J80="",M80="")),"W58",IF(AND(K80=L80,J80&gt;M80),I80,N80))))))</f>
        <v>W58</v>
      </c>
      <c r="O86" s="352">
        <f>IF(I93="W61",0,1)</f>
        <v>0</v>
      </c>
      <c r="P86" s="877">
        <v>61</v>
      </c>
      <c r="Q86" s="150"/>
      <c r="R86" s="150"/>
      <c r="S86" s="150"/>
      <c r="T86" s="150"/>
      <c r="U86" s="150"/>
      <c r="V86" s="150"/>
      <c r="W86" s="150"/>
      <c r="X86" s="150"/>
      <c r="Y86" s="150"/>
      <c r="Z86" s="150"/>
      <c r="AA86" s="150"/>
      <c r="AB86" s="150"/>
      <c r="AC86" s="150"/>
      <c r="AD86" s="151"/>
      <c r="AE86" s="329"/>
      <c r="AF86" s="928"/>
      <c r="AV86" s="909"/>
      <c r="AW86" s="909"/>
      <c r="AX86" s="909"/>
      <c r="AY86" s="909"/>
      <c r="AZ86" s="909"/>
      <c r="BA86" s="909"/>
      <c r="BC86" s="909"/>
      <c r="BD86" s="909"/>
      <c r="BE86" s="909"/>
      <c r="BF86" s="909"/>
      <c r="BG86" s="909"/>
      <c r="BH86" s="909"/>
      <c r="BI86" s="909"/>
      <c r="BJ86" s="909"/>
      <c r="BK86" s="909"/>
      <c r="BL86" s="909"/>
      <c r="BM86" s="909"/>
      <c r="BN86" s="909"/>
      <c r="BO86" s="909"/>
      <c r="BP86" s="909"/>
      <c r="BQ86" s="909"/>
      <c r="BR86" s="909"/>
      <c r="BS86" s="909"/>
      <c r="BZ86" s="909"/>
      <c r="CA86" s="909"/>
      <c r="CD86" s="918"/>
      <c r="CH86" s="909"/>
    </row>
    <row r="87" spans="1:88" ht="16" thickBot="1">
      <c r="A87" s="79"/>
      <c r="B87" s="79"/>
      <c r="C87" s="79"/>
      <c r="D87" s="82"/>
      <c r="E87" s="960"/>
      <c r="F87" s="201">
        <f>Horarios!C87</f>
        <v>44909.916666666664</v>
      </c>
      <c r="G87" s="202">
        <f>Horarios!C87</f>
        <v>44909.916666666664</v>
      </c>
      <c r="H87" s="191"/>
      <c r="I87" s="194" t="str">
        <f>IF(AND(OR(K83="",L83="")),"W59",IF(K83&gt;L83,I83,IF(K83&lt;L83,N83,IF(AND(K83=L83,J83=M83),"W59",IF(AND(K83=L83,OR(J83="",M83="")),"W59",IF(AND(K83=L83,J83&gt;M83),I83,N83))))))</f>
        <v>W59</v>
      </c>
      <c r="J87" s="203"/>
      <c r="K87" s="204"/>
      <c r="L87" s="204"/>
      <c r="M87" s="203"/>
      <c r="N87" s="866" t="str">
        <f>IF(AND(OR(K82="",L82="")),"W60",IF(K82&gt;L82,I82,IF(K82&lt;L82,N82,IF(AND(K82=L82,J82=M82),"W60",IF(AND(K82=L82,OR(J82="",M82="")),"W60",IF(AND(K82=L82,J82&gt;M82),I82,N82))))))</f>
        <v>W60</v>
      </c>
      <c r="O87" s="352">
        <f>IF(N93="W62",0,1)</f>
        <v>0</v>
      </c>
      <c r="P87" s="877">
        <v>62</v>
      </c>
      <c r="Q87" s="150"/>
      <c r="R87" s="150"/>
      <c r="S87" s="150"/>
      <c r="T87" s="150"/>
      <c r="U87" s="150"/>
      <c r="V87" s="150"/>
      <c r="W87" s="150"/>
      <c r="X87" s="150"/>
      <c r="Y87" s="150"/>
      <c r="Z87" s="150"/>
      <c r="AA87" s="150"/>
      <c r="AB87" s="150"/>
      <c r="AC87" s="150"/>
      <c r="AD87" s="152"/>
      <c r="AE87" s="152"/>
      <c r="AF87" s="928"/>
      <c r="BC87" s="909"/>
      <c r="BD87" s="909"/>
      <c r="BE87" s="909"/>
      <c r="BF87" s="909"/>
      <c r="BG87" s="909"/>
      <c r="BH87" s="909"/>
      <c r="BI87" s="929"/>
      <c r="BJ87" s="909"/>
      <c r="BK87" s="909"/>
      <c r="BL87" s="909"/>
      <c r="BM87" s="909"/>
      <c r="BN87" s="909"/>
      <c r="BO87" s="909"/>
      <c r="BP87" s="909"/>
      <c r="BQ87" s="909"/>
      <c r="BR87" s="909"/>
      <c r="BS87" s="909"/>
      <c r="BZ87" s="909"/>
      <c r="CA87" s="909"/>
      <c r="CD87" s="918"/>
      <c r="CH87" s="909"/>
      <c r="CI87" s="911"/>
    </row>
    <row r="88" spans="1:88">
      <c r="A88" s="79"/>
      <c r="B88" s="79"/>
      <c r="C88" s="79"/>
      <c r="D88" s="82"/>
      <c r="E88" s="90" t="s">
        <v>174</v>
      </c>
      <c r="F88" s="153"/>
      <c r="G88" s="90"/>
      <c r="H88" s="90"/>
      <c r="I88" s="90"/>
      <c r="J88" s="91"/>
      <c r="K88" s="91"/>
      <c r="L88" s="91"/>
      <c r="M88" s="91"/>
      <c r="N88" s="91"/>
      <c r="O88" s="353"/>
      <c r="P88" s="878"/>
      <c r="Q88" s="150"/>
      <c r="R88" s="150"/>
      <c r="S88" s="150"/>
      <c r="T88" s="150"/>
      <c r="U88" s="150"/>
      <c r="V88" s="150"/>
      <c r="W88" s="150"/>
      <c r="X88" s="150"/>
      <c r="Y88" s="150"/>
      <c r="Z88" s="150"/>
      <c r="AA88" s="150"/>
      <c r="AB88" s="150"/>
      <c r="AC88" s="150"/>
      <c r="AD88" s="152"/>
      <c r="AE88" s="152"/>
      <c r="AF88" s="928"/>
      <c r="BC88" s="909"/>
      <c r="BD88" s="909"/>
      <c r="BE88" s="909"/>
      <c r="BF88" s="909"/>
      <c r="BG88" s="909"/>
      <c r="BH88" s="909"/>
      <c r="BI88" s="929"/>
      <c r="BJ88" s="909"/>
      <c r="BK88" s="909"/>
      <c r="BL88" s="909"/>
      <c r="BM88" s="909"/>
      <c r="BN88" s="909"/>
      <c r="BO88" s="909"/>
      <c r="BP88" s="909"/>
      <c r="BQ88" s="909"/>
      <c r="BR88" s="909"/>
      <c r="BS88" s="909"/>
      <c r="BZ88" s="909"/>
      <c r="CA88" s="909"/>
      <c r="CD88" s="918"/>
      <c r="CH88" s="909"/>
      <c r="CI88" s="911"/>
    </row>
    <row r="89" spans="1:88" ht="16" thickBot="1">
      <c r="A89" s="79"/>
      <c r="B89" s="79"/>
      <c r="C89" s="79"/>
      <c r="D89" s="82"/>
      <c r="E89" s="84"/>
      <c r="F89" s="83" t="str">
        <f>F3</f>
        <v>Fecha</v>
      </c>
      <c r="G89" s="83" t="str">
        <f>G3</f>
        <v>Hora</v>
      </c>
      <c r="H89" s="85"/>
      <c r="I89" s="862" t="s">
        <v>2</v>
      </c>
      <c r="J89" s="156" t="s">
        <v>16</v>
      </c>
      <c r="K89" s="157" t="s">
        <v>22</v>
      </c>
      <c r="L89" s="157" t="s">
        <v>22</v>
      </c>
      <c r="M89" s="156" t="s">
        <v>16</v>
      </c>
      <c r="N89" s="88" t="s">
        <v>4</v>
      </c>
      <c r="O89" s="353"/>
      <c r="P89" s="878"/>
      <c r="Q89" s="152"/>
      <c r="R89" s="152"/>
      <c r="S89" s="152"/>
      <c r="T89" s="152"/>
      <c r="U89" s="152"/>
      <c r="V89" s="152"/>
      <c r="W89" s="152"/>
      <c r="X89" s="152"/>
      <c r="Y89" s="152"/>
      <c r="Z89" s="152"/>
      <c r="AA89" s="152"/>
      <c r="AB89" s="152"/>
      <c r="AC89" s="152"/>
      <c r="AD89" s="152"/>
      <c r="AE89" s="152"/>
      <c r="AF89" s="928"/>
      <c r="BC89" s="909"/>
      <c r="BD89" s="909"/>
      <c r="BE89" s="909"/>
      <c r="BF89" s="909"/>
      <c r="BG89" s="909"/>
      <c r="BH89" s="909"/>
      <c r="BI89" s="929"/>
      <c r="BJ89" s="909"/>
      <c r="BK89" s="909"/>
      <c r="BL89" s="909"/>
      <c r="BM89" s="909"/>
      <c r="BN89" s="909"/>
      <c r="BO89" s="909"/>
      <c r="BP89" s="909"/>
      <c r="BQ89" s="909"/>
      <c r="BR89" s="909"/>
      <c r="BS89" s="909"/>
      <c r="BZ89" s="909"/>
      <c r="CA89" s="909"/>
      <c r="CD89" s="918"/>
      <c r="CH89" s="909"/>
    </row>
    <row r="90" spans="1:88" ht="22" thickBot="1">
      <c r="A90" s="79"/>
      <c r="B90" s="79"/>
      <c r="C90" s="79"/>
      <c r="D90" s="82"/>
      <c r="E90" s="168" t="s">
        <v>169</v>
      </c>
      <c r="F90" s="161">
        <f>Horarios!C90</f>
        <v>44912.75</v>
      </c>
      <c r="G90" s="162">
        <f>Horarios!C90</f>
        <v>44912.75</v>
      </c>
      <c r="H90" s="163"/>
      <c r="I90" s="164" t="str">
        <f>IF(AND(OR(K86="",L86="")),"L61",IF(K86&gt;L86,N86,IF(K86&lt;L86,I86,IF(AND(K86=L86,J86=M86),"L61",IF(AND(K86=L86,OR(J86="",M86="")),"L61",IF(AND(K86=L86,J86&gt;M86),N86,I86))))))</f>
        <v>L61</v>
      </c>
      <c r="J90" s="165"/>
      <c r="K90" s="166"/>
      <c r="L90" s="166"/>
      <c r="M90" s="165"/>
      <c r="N90" s="867" t="str">
        <f>IF(AND(OR(K87="",L87="")),"L62",IF(K87&gt;L87,N87,IF(K87&lt;L87,I87,IF(AND(K87=L87,J87=M87),"L62",IF(AND(K87=L87,OR(J87="",M87="")),"L62",IF(AND(K87=L87,J87&gt;M87),N87,I87))))))</f>
        <v>L62</v>
      </c>
      <c r="O90" s="352">
        <f>IF(I99="W34",0,1)</f>
        <v>0</v>
      </c>
      <c r="P90" s="878">
        <v>63</v>
      </c>
      <c r="Q90" s="152"/>
      <c r="R90" s="152"/>
      <c r="S90" s="152"/>
      <c r="T90" s="152"/>
      <c r="U90" s="152"/>
      <c r="V90" s="152"/>
      <c r="W90" s="152"/>
      <c r="X90" s="152"/>
      <c r="Y90" s="152"/>
      <c r="Z90" s="152"/>
      <c r="AA90" s="152"/>
      <c r="AB90" s="152"/>
      <c r="AC90" s="152"/>
      <c r="AD90" s="152"/>
      <c r="AE90" s="152"/>
      <c r="AF90" s="910"/>
      <c r="BC90" s="909"/>
      <c r="BD90" s="909"/>
      <c r="BE90" s="909"/>
      <c r="BF90" s="909"/>
      <c r="BG90" s="909"/>
      <c r="BH90" s="909"/>
      <c r="BI90" s="929"/>
      <c r="BJ90" s="909"/>
      <c r="BK90" s="909"/>
      <c r="BL90" s="909"/>
      <c r="BM90" s="909"/>
      <c r="BN90" s="909"/>
      <c r="BO90" s="909"/>
      <c r="BP90" s="909"/>
      <c r="BQ90" s="909"/>
      <c r="BR90" s="909"/>
      <c r="BS90" s="909"/>
      <c r="BZ90" s="909"/>
      <c r="CA90" s="909"/>
      <c r="CD90" s="918"/>
      <c r="CH90" s="909"/>
    </row>
    <row r="91" spans="1:88">
      <c r="A91" s="79"/>
      <c r="B91" s="79"/>
      <c r="C91" s="79"/>
      <c r="D91" s="79"/>
      <c r="E91" s="90" t="s">
        <v>81</v>
      </c>
      <c r="F91" s="153"/>
      <c r="G91" s="90"/>
      <c r="H91" s="90"/>
      <c r="I91" s="90"/>
      <c r="J91" s="91"/>
      <c r="K91" s="91"/>
      <c r="L91" s="91"/>
      <c r="M91" s="91"/>
      <c r="N91" s="91"/>
      <c r="O91" s="353"/>
      <c r="P91" s="878"/>
      <c r="Q91" s="152"/>
      <c r="R91" s="152"/>
      <c r="S91" s="152"/>
      <c r="T91" s="152"/>
      <c r="U91" s="152"/>
      <c r="V91" s="152"/>
      <c r="W91" s="152"/>
      <c r="X91" s="152"/>
      <c r="Y91" s="152"/>
      <c r="Z91" s="152"/>
      <c r="AA91" s="152"/>
      <c r="AB91" s="152"/>
      <c r="AC91" s="152"/>
      <c r="AD91" s="152"/>
      <c r="AE91" s="152"/>
      <c r="AF91" s="910"/>
      <c r="BC91" s="909"/>
      <c r="BD91" s="909"/>
      <c r="BE91" s="909"/>
      <c r="BF91" s="909"/>
      <c r="BG91" s="909"/>
      <c r="BH91" s="909"/>
      <c r="BI91" s="929"/>
      <c r="BJ91" s="909"/>
      <c r="BK91" s="909"/>
      <c r="BL91" s="909"/>
      <c r="BM91" s="909"/>
      <c r="BN91" s="909"/>
      <c r="BO91" s="909"/>
      <c r="BP91" s="909"/>
      <c r="BQ91" s="909"/>
      <c r="BR91" s="909"/>
      <c r="BS91" s="909"/>
      <c r="BZ91" s="909"/>
      <c r="CA91" s="909"/>
      <c r="CD91" s="918"/>
      <c r="CH91" s="909"/>
    </row>
    <row r="92" spans="1:88" ht="16" thickBot="1">
      <c r="A92" s="79"/>
      <c r="B92" s="79"/>
      <c r="C92" s="79"/>
      <c r="D92" s="79"/>
      <c r="E92" s="84"/>
      <c r="F92" s="83" t="str">
        <f>F3</f>
        <v>Fecha</v>
      </c>
      <c r="G92" s="83" t="str">
        <f>G3</f>
        <v>Hora</v>
      </c>
      <c r="H92" s="85"/>
      <c r="I92" s="862" t="s">
        <v>2</v>
      </c>
      <c r="J92" s="156" t="s">
        <v>16</v>
      </c>
      <c r="K92" s="157" t="s">
        <v>22</v>
      </c>
      <c r="L92" s="157" t="s">
        <v>22</v>
      </c>
      <c r="M92" s="156" t="s">
        <v>16</v>
      </c>
      <c r="N92" s="88" t="s">
        <v>4</v>
      </c>
      <c r="O92" s="353"/>
      <c r="P92" s="878"/>
      <c r="Q92" s="152"/>
      <c r="R92" s="152"/>
      <c r="S92" s="152"/>
      <c r="T92" s="152"/>
      <c r="U92" s="152"/>
      <c r="V92" s="152"/>
      <c r="W92" s="152"/>
      <c r="X92" s="152"/>
      <c r="Y92" s="152"/>
      <c r="Z92" s="152"/>
      <c r="AA92" s="152"/>
      <c r="AB92" s="152"/>
      <c r="AC92" s="152"/>
      <c r="AD92" s="152"/>
      <c r="AE92" s="152"/>
      <c r="AF92" s="910"/>
      <c r="BC92" s="909"/>
      <c r="BD92" s="909"/>
      <c r="BE92" s="909"/>
      <c r="BF92" s="909"/>
      <c r="BG92" s="909"/>
      <c r="BH92" s="909"/>
      <c r="BI92" s="929"/>
      <c r="BJ92" s="909"/>
      <c r="BK92" s="909"/>
      <c r="BL92" s="909"/>
      <c r="BM92" s="909"/>
      <c r="BN92" s="909"/>
      <c r="BO92" s="909"/>
      <c r="BP92" s="909"/>
      <c r="BQ92" s="909"/>
      <c r="BR92" s="909"/>
      <c r="BS92" s="909"/>
      <c r="BZ92" s="909"/>
      <c r="CA92" s="909"/>
      <c r="CD92" s="918"/>
      <c r="CH92" s="909"/>
    </row>
    <row r="93" spans="1:88" ht="30" customHeight="1" thickBot="1">
      <c r="A93" s="79"/>
      <c r="B93" s="79"/>
      <c r="C93" s="79"/>
      <c r="D93" s="82"/>
      <c r="E93" s="168" t="s">
        <v>4</v>
      </c>
      <c r="F93" s="161">
        <f>Horarios!C93</f>
        <v>44913.75</v>
      </c>
      <c r="G93" s="162">
        <f>Horarios!C93</f>
        <v>44913.75</v>
      </c>
      <c r="H93" s="163"/>
      <c r="I93" s="164" t="str">
        <f>IF(AND(OR(K86="",L86="")),"W61",IF(K86&gt;L86,I86,IF(K86&lt;L86,N86,IF(AND(K86=L86,J86=M86),"W61",IF(AND(K86=L86,OR(J86="",M86="")),"W61",IF(AND(K86=L86,J86&gt;M86),I86,N86))))))</f>
        <v>W61</v>
      </c>
      <c r="J93" s="165"/>
      <c r="K93" s="166"/>
      <c r="L93" s="166"/>
      <c r="M93" s="165"/>
      <c r="N93" s="867" t="str">
        <f>IF(AND(OR(K87="",L87="")),"W62",IF(K87&gt;L87,I87,IF(K87&lt;L87,N87,IF(AND(K87=L87,J87=M87),"W62",IF(AND(K87=L87,OR(J87="",M87="")),"W62",IF(AND(K87=L87,J87&gt;M87),I87,N87))))))</f>
        <v>W62</v>
      </c>
      <c r="O93" s="352">
        <f>IF(I97="WF",0,1)</f>
        <v>0</v>
      </c>
      <c r="P93" s="878">
        <v>64</v>
      </c>
      <c r="Q93" s="152"/>
      <c r="R93" s="152"/>
      <c r="S93" s="152"/>
      <c r="T93" s="152"/>
      <c r="U93" s="152"/>
      <c r="V93" s="152"/>
      <c r="W93" s="152"/>
      <c r="X93" s="152"/>
      <c r="Y93" s="152"/>
      <c r="Z93" s="152"/>
      <c r="AA93" s="152"/>
      <c r="AB93" s="152"/>
      <c r="AC93" s="152"/>
      <c r="AD93" s="152"/>
      <c r="AE93" s="152"/>
      <c r="AF93" s="910"/>
      <c r="AG93" s="909"/>
      <c r="BC93" s="909"/>
      <c r="BD93" s="909"/>
      <c r="BE93" s="909"/>
      <c r="BF93" s="909"/>
      <c r="BG93" s="909"/>
      <c r="BH93" s="909"/>
      <c r="BI93" s="929"/>
      <c r="BJ93" s="909"/>
      <c r="BK93" s="909"/>
      <c r="BL93" s="909"/>
      <c r="BM93" s="909"/>
      <c r="BN93" s="909"/>
      <c r="BO93" s="909"/>
      <c r="BP93" s="909"/>
      <c r="BQ93" s="909"/>
      <c r="BR93" s="909"/>
      <c r="BS93" s="909"/>
      <c r="BZ93" s="909"/>
      <c r="CA93" s="909"/>
      <c r="CD93" s="918"/>
      <c r="CH93" s="909"/>
      <c r="CI93" s="911"/>
    </row>
    <row r="94" spans="1:88" ht="30" customHeight="1">
      <c r="A94" s="79"/>
      <c r="B94" s="79"/>
      <c r="C94" s="79"/>
      <c r="D94" s="82"/>
      <c r="E94" s="90"/>
      <c r="F94" s="153"/>
      <c r="G94" s="90"/>
      <c r="H94" s="90"/>
      <c r="I94" s="90"/>
      <c r="J94" s="91"/>
      <c r="K94" s="91"/>
      <c r="L94" s="91"/>
      <c r="M94" s="91"/>
      <c r="N94" s="91"/>
      <c r="O94" s="354"/>
      <c r="P94" s="149"/>
      <c r="Q94" s="152"/>
      <c r="R94" s="152"/>
      <c r="S94" s="152"/>
      <c r="T94" s="152"/>
      <c r="U94" s="152"/>
      <c r="V94" s="152"/>
      <c r="W94" s="152"/>
      <c r="X94" s="152"/>
      <c r="Y94" s="152"/>
      <c r="Z94" s="152"/>
      <c r="AA94" s="152"/>
      <c r="AB94" s="152"/>
      <c r="AC94" s="152"/>
      <c r="AD94" s="152"/>
      <c r="AE94" s="152"/>
      <c r="AF94" s="910"/>
      <c r="AG94" s="909"/>
      <c r="BC94" s="909"/>
      <c r="BD94" s="909"/>
      <c r="BE94" s="909"/>
      <c r="BF94" s="909"/>
      <c r="BG94" s="909"/>
      <c r="BH94" s="909"/>
      <c r="BI94" s="929"/>
      <c r="BJ94" s="909"/>
      <c r="BK94" s="909"/>
      <c r="BL94" s="909"/>
      <c r="BM94" s="909"/>
      <c r="BN94" s="909"/>
      <c r="BO94" s="909"/>
      <c r="BP94" s="909"/>
      <c r="BQ94" s="909"/>
      <c r="BR94" s="909"/>
      <c r="BS94" s="909"/>
      <c r="BZ94" s="909"/>
      <c r="CA94" s="909"/>
      <c r="CD94" s="918"/>
      <c r="CH94" s="909"/>
      <c r="CI94" s="911"/>
    </row>
    <row r="95" spans="1:88" ht="30" customHeight="1">
      <c r="A95" s="79"/>
      <c r="B95" s="79"/>
      <c r="C95" s="79"/>
      <c r="D95" s="82"/>
      <c r="E95" s="90"/>
      <c r="F95" s="153"/>
      <c r="G95" s="90"/>
      <c r="H95" s="90"/>
      <c r="I95" s="90"/>
      <c r="J95" s="91"/>
      <c r="K95" s="91"/>
      <c r="L95" s="91"/>
      <c r="M95" s="91"/>
      <c r="N95" s="91"/>
      <c r="O95" s="354"/>
      <c r="P95" s="149"/>
      <c r="Q95" s="152"/>
      <c r="R95" s="152"/>
      <c r="S95" s="152"/>
      <c r="T95" s="152"/>
      <c r="U95" s="152"/>
      <c r="V95" s="152"/>
      <c r="W95" s="152"/>
      <c r="X95" s="152"/>
      <c r="Y95" s="152"/>
      <c r="Z95" s="152"/>
      <c r="AA95" s="152"/>
      <c r="AB95" s="152"/>
      <c r="AC95" s="152"/>
      <c r="AD95" s="152"/>
      <c r="AE95" s="152"/>
      <c r="AF95" s="910"/>
      <c r="AG95" s="909"/>
      <c r="BC95" s="909"/>
      <c r="BD95" s="909"/>
      <c r="BE95" s="909"/>
      <c r="BF95" s="909"/>
      <c r="BG95" s="909"/>
      <c r="BH95" s="909"/>
      <c r="BI95" s="929"/>
      <c r="BJ95" s="909"/>
      <c r="BK95" s="909"/>
      <c r="BL95" s="909"/>
      <c r="BM95" s="909"/>
      <c r="BN95" s="909"/>
      <c r="BO95" s="909"/>
      <c r="BP95" s="909"/>
      <c r="BQ95" s="909"/>
      <c r="BR95" s="909"/>
      <c r="BS95" s="909"/>
      <c r="BZ95" s="909"/>
      <c r="CA95" s="909"/>
      <c r="CD95" s="918"/>
      <c r="CH95" s="909"/>
      <c r="CI95" s="911"/>
    </row>
    <row r="96" spans="1:88" ht="16" thickBot="1">
      <c r="A96" s="79"/>
      <c r="B96" s="79"/>
      <c r="C96" s="79"/>
      <c r="D96" s="90"/>
      <c r="E96" s="158"/>
      <c r="F96" s="158"/>
      <c r="G96" s="158"/>
      <c r="H96" s="158"/>
      <c r="I96" s="97" t="s">
        <v>37</v>
      </c>
      <c r="J96" s="158"/>
      <c r="K96" s="158"/>
      <c r="L96" s="158"/>
      <c r="M96" s="158"/>
      <c r="N96" s="158"/>
      <c r="O96" s="355"/>
      <c r="P96" s="68"/>
      <c r="Q96" s="68"/>
      <c r="R96" s="68"/>
      <c r="S96" s="68"/>
      <c r="T96" s="68"/>
      <c r="U96" s="68"/>
      <c r="V96" s="68"/>
      <c r="W96" s="68"/>
      <c r="X96" s="68"/>
      <c r="Y96" s="68"/>
      <c r="Z96" s="68"/>
      <c r="AA96" s="68"/>
      <c r="AB96" s="68"/>
      <c r="AC96" s="68"/>
      <c r="AD96" s="68"/>
      <c r="AE96" s="68"/>
      <c r="BI96" s="929"/>
      <c r="CC96" s="914"/>
      <c r="CD96" s="914"/>
      <c r="CE96" s="914"/>
      <c r="CF96" s="914"/>
      <c r="CG96" s="914"/>
      <c r="CH96" s="909"/>
      <c r="CJ96" s="911"/>
    </row>
    <row r="97" spans="1:87" ht="19">
      <c r="A97" s="79"/>
      <c r="B97" s="79"/>
      <c r="C97" s="79"/>
      <c r="D97" s="68"/>
      <c r="E97" s="323" t="s">
        <v>34</v>
      </c>
      <c r="F97" s="178"/>
      <c r="G97" s="178"/>
      <c r="H97" s="179"/>
      <c r="I97" s="997" t="str">
        <f>IF(AND(OR(K93="",L93="")),"WF",IF(K93&gt;L93,I93,IF(K93&lt;L93,N93,IF(AND(K93=L93,J93=M93),"WF",IF(AND(K93=L93,OR(J93="",M93="")),"WF",IF(AND(K93=L93,J93&gt;M93),I93,N93))))))</f>
        <v>WF</v>
      </c>
      <c r="J97" s="998"/>
      <c r="K97" s="998"/>
      <c r="L97" s="998"/>
      <c r="M97" s="998"/>
      <c r="N97" s="999"/>
      <c r="O97" s="352">
        <f>IF(I97="WF",0,1)</f>
        <v>0</v>
      </c>
      <c r="P97" s="68"/>
      <c r="Q97" s="982" t="str">
        <f>IF(SUM(COUNTIF(O4:O65,0),COUNTIF(O69:O109,0)&gt;0),"PORRA INCOMPLETA:","PORRA COMPLETA:")</f>
        <v>PORRA INCOMPLETA:</v>
      </c>
      <c r="R97" s="983"/>
      <c r="S97" s="983"/>
      <c r="T97" s="983"/>
      <c r="U97" s="983"/>
      <c r="V97" s="983"/>
      <c r="W97" s="983"/>
      <c r="X97" s="983"/>
      <c r="Y97" s="983"/>
      <c r="Z97" s="983"/>
      <c r="AA97" s="984"/>
      <c r="AB97" s="68"/>
      <c r="AC97" s="68"/>
      <c r="AD97" s="68"/>
      <c r="AE97" s="68"/>
      <c r="BI97" s="929"/>
      <c r="CD97" s="918"/>
      <c r="CH97" s="923"/>
      <c r="CI97" s="923"/>
    </row>
    <row r="98" spans="1:87" ht="16">
      <c r="A98" s="79"/>
      <c r="B98" s="79"/>
      <c r="C98" s="79"/>
      <c r="D98" s="68"/>
      <c r="E98" s="325" t="s">
        <v>35</v>
      </c>
      <c r="F98" s="176"/>
      <c r="G98" s="176"/>
      <c r="H98" s="177"/>
      <c r="I98" s="1000" t="str">
        <f>IF(AND(OR(K93="",L93="")),"LF",IF(K93&gt;L93,N93,IF(K93&lt;L93,I93,IF(AND(K93=L93,J93=M93),"LF",IF(AND(K93=L93,OR(J93="",M93="")),"LF",IF(AND(K93=L93,J93&gt;M93),N93,I93))))))</f>
        <v>LF</v>
      </c>
      <c r="J98" s="1001"/>
      <c r="K98" s="1001"/>
      <c r="L98" s="1001"/>
      <c r="M98" s="1001"/>
      <c r="N98" s="1002"/>
      <c r="O98" s="352">
        <f>IF(I98="LF",0,1)</f>
        <v>0</v>
      </c>
      <c r="P98" s="68"/>
      <c r="Q98" s="985"/>
      <c r="R98" s="986"/>
      <c r="S98" s="986"/>
      <c r="T98" s="986"/>
      <c r="U98" s="986"/>
      <c r="V98" s="986"/>
      <c r="W98" s="986"/>
      <c r="X98" s="986"/>
      <c r="Y98" s="986"/>
      <c r="Z98" s="986"/>
      <c r="AA98" s="987"/>
      <c r="AB98" s="68"/>
      <c r="AC98" s="68"/>
      <c r="AD98" s="68"/>
      <c r="AE98" s="68"/>
      <c r="AH98" s="909"/>
      <c r="AI98" s="909"/>
      <c r="AJ98" s="909"/>
      <c r="AK98" s="909"/>
      <c r="AL98" s="909"/>
      <c r="AM98" s="909"/>
      <c r="AN98" s="909"/>
      <c r="AO98" s="909"/>
      <c r="AP98" s="909"/>
      <c r="AQ98" s="909"/>
      <c r="AR98" s="909"/>
      <c r="AS98" s="909"/>
      <c r="AT98" s="909"/>
      <c r="AU98" s="909"/>
      <c r="AV98" s="909"/>
      <c r="AW98" s="909"/>
      <c r="AX98" s="909"/>
      <c r="AY98" s="909"/>
      <c r="AZ98" s="909"/>
      <c r="BA98" s="909"/>
      <c r="BB98" s="909"/>
      <c r="BI98" s="929"/>
      <c r="BT98" s="909"/>
      <c r="BU98" s="909"/>
      <c r="BV98" s="909"/>
      <c r="BW98" s="909"/>
      <c r="BX98" s="909"/>
      <c r="BY98" s="909"/>
      <c r="CB98" s="909"/>
      <c r="CD98" s="918"/>
      <c r="CH98" s="922"/>
    </row>
    <row r="99" spans="1:87" ht="17" thickBot="1">
      <c r="A99" s="79"/>
      <c r="B99" s="79"/>
      <c r="C99" s="79"/>
      <c r="D99" s="68"/>
      <c r="E99" s="324" t="s">
        <v>175</v>
      </c>
      <c r="F99" s="180"/>
      <c r="G99" s="180"/>
      <c r="H99" s="181"/>
      <c r="I99" s="1012" t="str">
        <f>IF(AND(OR(K90="",L90="")),"W34",IF(K90&gt;L90,I90,IF(K90&lt;L90,N90,IF(AND(K90=L90,J90=M90),"W34",IF(AND(K90=L90,OR(J90="",M90="")),"W34",IF(AND(K90=L90,J90&gt;M90),I90,N90))))))</f>
        <v>W34</v>
      </c>
      <c r="J99" s="1013"/>
      <c r="K99" s="1013"/>
      <c r="L99" s="1013"/>
      <c r="M99" s="1013"/>
      <c r="N99" s="1014"/>
      <c r="O99" s="352">
        <f>IF(I99="W34",0,1)</f>
        <v>0</v>
      </c>
      <c r="P99" s="68"/>
      <c r="Q99" s="985"/>
      <c r="R99" s="986"/>
      <c r="S99" s="986"/>
      <c r="T99" s="986"/>
      <c r="U99" s="986"/>
      <c r="V99" s="986"/>
      <c r="W99" s="986"/>
      <c r="X99" s="986"/>
      <c r="Y99" s="986"/>
      <c r="Z99" s="986"/>
      <c r="AA99" s="987"/>
      <c r="AB99" s="68"/>
      <c r="AC99" s="68"/>
      <c r="AD99" s="68"/>
      <c r="AE99" s="68"/>
      <c r="AF99" s="909"/>
      <c r="AG99" s="909"/>
      <c r="AH99" s="909"/>
      <c r="AI99" s="909"/>
      <c r="AJ99" s="909"/>
      <c r="AK99" s="909"/>
      <c r="AL99" s="909"/>
      <c r="AM99" s="909"/>
      <c r="AN99" s="909"/>
      <c r="AO99" s="909"/>
      <c r="AP99" s="909"/>
      <c r="AQ99" s="909"/>
      <c r="AR99" s="909"/>
      <c r="AS99" s="909"/>
      <c r="AT99" s="909"/>
      <c r="AU99" s="909"/>
      <c r="AV99" s="909"/>
      <c r="AW99" s="909"/>
      <c r="AX99" s="909"/>
      <c r="AY99" s="909"/>
      <c r="AZ99" s="909"/>
      <c r="BA99" s="909"/>
      <c r="BB99" s="909"/>
      <c r="BI99" s="929"/>
      <c r="BT99" s="909"/>
      <c r="BU99" s="909"/>
      <c r="BV99" s="909"/>
      <c r="BW99" s="909"/>
      <c r="BX99" s="909"/>
      <c r="BY99" s="909"/>
      <c r="CB99" s="909"/>
      <c r="CD99" s="918"/>
      <c r="CH99" s="909"/>
    </row>
    <row r="100" spans="1:87" ht="16" thickBot="1">
      <c r="A100" s="79"/>
      <c r="B100" s="79"/>
      <c r="C100" s="79"/>
      <c r="D100" s="68"/>
      <c r="E100" s="159"/>
      <c r="F100" s="159"/>
      <c r="G100" s="159"/>
      <c r="H100" s="159"/>
      <c r="I100" s="402"/>
      <c r="J100" s="330"/>
      <c r="K100" s="330"/>
      <c r="L100" s="330"/>
      <c r="M100" s="330"/>
      <c r="N100" s="330"/>
      <c r="O100" s="348"/>
      <c r="P100" s="68"/>
      <c r="Q100" s="988" t="str">
        <f>IF(SUM(COUNTIF(O4:O65,0),COUNTIF(O69:O109,0)&gt;0),"Aún falta algún partido","¿Quién habrá ganado la porra?")</f>
        <v>Aún falta algún partido</v>
      </c>
      <c r="R100" s="989"/>
      <c r="S100" s="989"/>
      <c r="T100" s="989"/>
      <c r="U100" s="989"/>
      <c r="V100" s="989"/>
      <c r="W100" s="989"/>
      <c r="X100" s="989"/>
      <c r="Y100" s="989"/>
      <c r="Z100" s="989"/>
      <c r="AA100" s="990"/>
      <c r="AB100" s="68"/>
      <c r="AC100" s="68"/>
      <c r="AD100" s="68"/>
      <c r="AE100" s="68"/>
      <c r="AF100" s="909"/>
      <c r="AG100" s="909"/>
      <c r="AH100" s="909"/>
      <c r="AI100" s="909"/>
      <c r="AJ100" s="909"/>
      <c r="AK100" s="909"/>
      <c r="AL100" s="909"/>
      <c r="AM100" s="909"/>
      <c r="AN100" s="909"/>
      <c r="AO100" s="909"/>
      <c r="AP100" s="909"/>
      <c r="AQ100" s="909"/>
      <c r="AR100" s="909"/>
      <c r="AS100" s="909"/>
      <c r="AT100" s="909"/>
      <c r="AU100" s="909"/>
      <c r="AV100" s="909"/>
      <c r="AW100" s="909"/>
      <c r="AX100" s="909"/>
      <c r="AY100" s="909"/>
      <c r="AZ100" s="909"/>
      <c r="BA100" s="909"/>
      <c r="BB100" s="909"/>
      <c r="BT100" s="909"/>
      <c r="BU100" s="909"/>
      <c r="BV100" s="909"/>
      <c r="BW100" s="909"/>
      <c r="BX100" s="909"/>
      <c r="BY100" s="909"/>
      <c r="CB100" s="909"/>
      <c r="CD100" s="918"/>
      <c r="CH100" s="909"/>
    </row>
    <row r="101" spans="1:87" ht="19">
      <c r="A101" s="79"/>
      <c r="B101" s="79"/>
      <c r="C101" s="79"/>
      <c r="D101" s="68"/>
      <c r="E101" s="323" t="s">
        <v>177</v>
      </c>
      <c r="F101" s="178"/>
      <c r="G101" s="332"/>
      <c r="H101" s="179"/>
      <c r="I101" s="1006" t="s">
        <v>445</v>
      </c>
      <c r="J101" s="1007"/>
      <c r="K101" s="1007"/>
      <c r="L101" s="1007"/>
      <c r="M101" s="1007"/>
      <c r="N101" s="1008"/>
      <c r="O101" s="352">
        <f>IF(I101="Nombre Jugador",0,IF(I101="",0,1))</f>
        <v>0</v>
      </c>
      <c r="P101" s="68"/>
      <c r="Q101" s="988"/>
      <c r="R101" s="989"/>
      <c r="S101" s="989"/>
      <c r="T101" s="989"/>
      <c r="U101" s="989"/>
      <c r="V101" s="989"/>
      <c r="W101" s="989"/>
      <c r="X101" s="989"/>
      <c r="Y101" s="989"/>
      <c r="Z101" s="989"/>
      <c r="AA101" s="990"/>
      <c r="AB101" s="68"/>
      <c r="AC101" s="68"/>
      <c r="AD101" s="68"/>
      <c r="AE101" s="68"/>
      <c r="AF101" s="909"/>
      <c r="AG101" s="909"/>
      <c r="AH101" s="909"/>
      <c r="AI101" s="909"/>
      <c r="AJ101" s="909"/>
      <c r="AK101" s="909"/>
      <c r="AL101" s="909"/>
      <c r="AM101" s="909"/>
      <c r="AN101" s="909"/>
      <c r="AO101" s="909"/>
      <c r="AP101" s="909"/>
      <c r="AQ101" s="909"/>
      <c r="AR101" s="909"/>
      <c r="AS101" s="909"/>
      <c r="AT101" s="909"/>
      <c r="AU101" s="909"/>
      <c r="AV101" s="909"/>
      <c r="AW101" s="909"/>
      <c r="AX101" s="909"/>
      <c r="AY101" s="909"/>
      <c r="AZ101" s="909"/>
      <c r="BA101" s="909"/>
      <c r="BB101" s="909"/>
      <c r="BT101" s="909"/>
      <c r="BU101" s="909"/>
      <c r="BV101" s="909"/>
      <c r="BW101" s="909"/>
      <c r="BX101" s="909"/>
      <c r="BY101" s="909"/>
      <c r="CB101" s="909"/>
      <c r="CD101" s="918"/>
      <c r="CH101" s="909"/>
    </row>
    <row r="102" spans="1:87" ht="17" thickBot="1">
      <c r="A102" s="79"/>
      <c r="B102" s="79"/>
      <c r="C102" s="79"/>
      <c r="D102" s="68"/>
      <c r="E102" s="325" t="s">
        <v>179</v>
      </c>
      <c r="F102" s="176"/>
      <c r="G102" s="176"/>
      <c r="H102" s="177"/>
      <c r="I102" s="1003" t="s">
        <v>445</v>
      </c>
      <c r="J102" s="1004"/>
      <c r="K102" s="1004"/>
      <c r="L102" s="1004"/>
      <c r="M102" s="1004"/>
      <c r="N102" s="1005"/>
      <c r="O102" s="352">
        <f>IF(I102="Nombre Jugador",0,IF(I102="",0,1))</f>
        <v>0</v>
      </c>
      <c r="P102" s="68"/>
      <c r="Q102" s="991"/>
      <c r="R102" s="992"/>
      <c r="S102" s="992"/>
      <c r="T102" s="992"/>
      <c r="U102" s="992"/>
      <c r="V102" s="992"/>
      <c r="W102" s="992"/>
      <c r="X102" s="992"/>
      <c r="Y102" s="992"/>
      <c r="Z102" s="992"/>
      <c r="AA102" s="993"/>
      <c r="AB102" s="68"/>
      <c r="AC102" s="68"/>
      <c r="AD102" s="68"/>
      <c r="AE102" s="68"/>
      <c r="AF102" s="909"/>
      <c r="AG102" s="909"/>
      <c r="AH102" s="909"/>
      <c r="AI102" s="909"/>
      <c r="AJ102" s="909"/>
      <c r="AK102" s="909"/>
      <c r="AL102" s="909"/>
      <c r="AM102" s="909"/>
      <c r="AN102" s="909"/>
      <c r="AO102" s="909"/>
      <c r="AP102" s="909"/>
      <c r="AQ102" s="909"/>
      <c r="AR102" s="909"/>
      <c r="AS102" s="909"/>
      <c r="AT102" s="909"/>
      <c r="AU102" s="909"/>
      <c r="AV102" s="909"/>
      <c r="AW102" s="909"/>
      <c r="AX102" s="909"/>
      <c r="AY102" s="909"/>
      <c r="AZ102" s="909"/>
      <c r="BA102" s="909"/>
      <c r="BB102" s="909"/>
      <c r="BT102" s="909"/>
      <c r="BU102" s="909"/>
      <c r="BV102" s="909"/>
      <c r="BW102" s="909"/>
      <c r="BX102" s="909"/>
      <c r="BY102" s="909"/>
      <c r="CB102" s="909"/>
      <c r="CD102" s="918"/>
      <c r="CH102" s="909"/>
    </row>
    <row r="103" spans="1:87" ht="17" thickBot="1">
      <c r="A103" s="79"/>
      <c r="B103" s="79"/>
      <c r="C103" s="79"/>
      <c r="D103" s="68"/>
      <c r="E103" s="324" t="s">
        <v>180</v>
      </c>
      <c r="F103" s="180"/>
      <c r="G103" s="180"/>
      <c r="H103" s="181"/>
      <c r="I103" s="1009" t="s">
        <v>445</v>
      </c>
      <c r="J103" s="1010"/>
      <c r="K103" s="1010"/>
      <c r="L103" s="1010"/>
      <c r="M103" s="1010"/>
      <c r="N103" s="1011"/>
      <c r="O103" s="352">
        <f>IF(I103="Nombre Jugador",0,IF(I103="",0,1))</f>
        <v>0</v>
      </c>
      <c r="P103" s="68"/>
      <c r="Q103" s="68"/>
      <c r="R103" s="68"/>
      <c r="S103" s="68"/>
      <c r="T103" s="68"/>
      <c r="U103" s="68"/>
      <c r="V103" s="68"/>
      <c r="W103" s="68"/>
      <c r="X103" s="68"/>
      <c r="Y103" s="68"/>
      <c r="Z103" s="68"/>
      <c r="AA103" s="68"/>
      <c r="AB103" s="68"/>
      <c r="AC103" s="68"/>
      <c r="AD103" s="68"/>
      <c r="AE103" s="68"/>
      <c r="AF103" s="909"/>
      <c r="AG103" s="909"/>
      <c r="AH103" s="909"/>
      <c r="AI103" s="909"/>
      <c r="AJ103" s="909"/>
      <c r="AK103" s="909"/>
      <c r="AL103" s="909"/>
      <c r="AM103" s="909"/>
      <c r="AN103" s="909"/>
      <c r="AO103" s="909"/>
      <c r="AP103" s="909"/>
      <c r="AQ103" s="909"/>
      <c r="AR103" s="909"/>
      <c r="AS103" s="909"/>
      <c r="AT103" s="909"/>
      <c r="AU103" s="909"/>
      <c r="AV103" s="909"/>
      <c r="AW103" s="909"/>
      <c r="AX103" s="909"/>
      <c r="AY103" s="909"/>
      <c r="AZ103" s="909"/>
      <c r="BA103" s="909"/>
      <c r="BB103" s="909"/>
      <c r="BT103" s="909"/>
      <c r="BU103" s="909"/>
      <c r="BV103" s="909"/>
      <c r="BW103" s="909"/>
      <c r="BX103" s="909"/>
      <c r="BY103" s="909"/>
      <c r="CB103" s="909"/>
      <c r="CC103" s="914"/>
      <c r="CD103" s="914"/>
      <c r="CE103" s="914"/>
      <c r="CF103" s="914"/>
      <c r="CG103" s="914"/>
    </row>
    <row r="104" spans="1:87" ht="17" thickBot="1">
      <c r="A104" s="79"/>
      <c r="B104" s="79"/>
      <c r="C104" s="79"/>
      <c r="D104" s="68"/>
      <c r="E104" s="160"/>
      <c r="F104" s="160"/>
      <c r="G104" s="160"/>
      <c r="H104" s="160"/>
      <c r="I104" s="403"/>
      <c r="J104" s="403"/>
      <c r="K104" s="403"/>
      <c r="L104" s="403"/>
      <c r="M104" s="403"/>
      <c r="N104" s="403"/>
      <c r="O104" s="348"/>
      <c r="P104" s="68"/>
      <c r="Q104" s="68"/>
      <c r="R104" s="68"/>
      <c r="S104" s="68"/>
      <c r="T104" s="68"/>
      <c r="U104" s="68"/>
      <c r="V104" s="68"/>
      <c r="W104" s="68"/>
      <c r="X104" s="68"/>
      <c r="Y104" s="68"/>
      <c r="Z104" s="68"/>
      <c r="AA104" s="68"/>
      <c r="AB104" s="68"/>
      <c r="AC104" s="68"/>
      <c r="AD104" s="68"/>
      <c r="AE104" s="68"/>
      <c r="AF104" s="909"/>
      <c r="AG104" s="909"/>
      <c r="AH104" s="909"/>
      <c r="AI104" s="909"/>
      <c r="AJ104" s="909"/>
      <c r="AK104" s="909"/>
      <c r="AL104" s="909"/>
      <c r="AM104" s="909"/>
      <c r="AN104" s="909"/>
      <c r="AO104" s="909"/>
      <c r="AP104" s="909"/>
      <c r="AQ104" s="909"/>
      <c r="AR104" s="909"/>
      <c r="AS104" s="909"/>
      <c r="AT104" s="909"/>
      <c r="AU104" s="909"/>
      <c r="AV104" s="909"/>
      <c r="AW104" s="909"/>
      <c r="AX104" s="909"/>
      <c r="AY104" s="909"/>
      <c r="AZ104" s="909"/>
      <c r="BA104" s="909"/>
      <c r="BB104" s="909"/>
      <c r="BT104" s="909"/>
      <c r="BU104" s="909"/>
      <c r="BV104" s="909"/>
      <c r="BW104" s="909"/>
      <c r="BX104" s="909"/>
      <c r="BY104" s="909"/>
      <c r="CB104" s="909"/>
      <c r="CD104" s="918"/>
    </row>
    <row r="105" spans="1:87" ht="19">
      <c r="A105" s="79"/>
      <c r="B105" s="79"/>
      <c r="C105" s="79"/>
      <c r="D105" s="68"/>
      <c r="E105" s="323" t="s">
        <v>178</v>
      </c>
      <c r="F105" s="178"/>
      <c r="G105" s="332"/>
      <c r="H105" s="179"/>
      <c r="I105" s="1006" t="s">
        <v>445</v>
      </c>
      <c r="J105" s="1007"/>
      <c r="K105" s="1007"/>
      <c r="L105" s="1007"/>
      <c r="M105" s="1007"/>
      <c r="N105" s="1008"/>
      <c r="O105" s="352">
        <f>IF(I105="Nombre Jugador",0,IF(I105="",0,1))</f>
        <v>0</v>
      </c>
      <c r="P105" s="68"/>
      <c r="Q105" s="68"/>
      <c r="R105" s="68"/>
      <c r="S105" s="68"/>
      <c r="T105" s="68"/>
      <c r="U105" s="68"/>
      <c r="V105" s="68"/>
      <c r="W105" s="68"/>
      <c r="X105" s="68"/>
      <c r="Y105" s="68"/>
      <c r="Z105" s="68"/>
      <c r="AA105" s="68"/>
      <c r="AB105" s="68"/>
      <c r="AC105" s="68"/>
      <c r="AD105" s="68"/>
      <c r="AE105" s="68"/>
      <c r="AF105" s="909"/>
      <c r="AG105" s="909"/>
      <c r="AH105" s="909"/>
      <c r="AI105" s="909"/>
      <c r="AJ105" s="909"/>
      <c r="AK105" s="909"/>
      <c r="AL105" s="909"/>
      <c r="AM105" s="909"/>
      <c r="AN105" s="909"/>
      <c r="AO105" s="909"/>
      <c r="AP105" s="909"/>
      <c r="AQ105" s="909"/>
      <c r="AR105" s="909"/>
      <c r="AS105" s="909"/>
      <c r="AT105" s="909"/>
      <c r="AU105" s="909"/>
      <c r="AV105" s="909"/>
      <c r="AW105" s="909"/>
      <c r="AX105" s="909"/>
      <c r="AY105" s="909"/>
      <c r="AZ105" s="909"/>
      <c r="BA105" s="909"/>
      <c r="BB105" s="909"/>
      <c r="CB105" s="909"/>
      <c r="CD105" s="918"/>
    </row>
    <row r="106" spans="1:87" ht="16">
      <c r="A106" s="79"/>
      <c r="B106" s="79"/>
      <c r="C106" s="79"/>
      <c r="D106" s="68"/>
      <c r="E106" s="325" t="s">
        <v>181</v>
      </c>
      <c r="F106" s="176"/>
      <c r="G106" s="176"/>
      <c r="H106" s="177"/>
      <c r="I106" s="1003" t="s">
        <v>445</v>
      </c>
      <c r="J106" s="1004"/>
      <c r="K106" s="1004"/>
      <c r="L106" s="1004"/>
      <c r="M106" s="1004"/>
      <c r="N106" s="1005"/>
      <c r="O106" s="352">
        <f>IF(I106="Nombre Jugador",0,IF(I106="",0,1))</f>
        <v>0</v>
      </c>
      <c r="P106" s="68"/>
      <c r="Q106" s="68"/>
      <c r="R106" s="68"/>
      <c r="S106" s="68"/>
      <c r="T106" s="68"/>
      <c r="U106" s="68"/>
      <c r="V106" s="68"/>
      <c r="W106" s="68"/>
      <c r="X106" s="68"/>
      <c r="Y106" s="68"/>
      <c r="Z106" s="68"/>
      <c r="AA106" s="68"/>
      <c r="AB106" s="68"/>
      <c r="AC106" s="68"/>
      <c r="AD106" s="68"/>
      <c r="AE106" s="68"/>
      <c r="AF106" s="909"/>
      <c r="AG106" s="909"/>
      <c r="AH106" s="909"/>
      <c r="AI106" s="909"/>
      <c r="AJ106" s="909"/>
      <c r="AK106" s="909"/>
      <c r="AL106" s="909"/>
      <c r="AM106" s="909"/>
      <c r="AN106" s="909"/>
      <c r="AO106" s="909"/>
      <c r="AP106" s="909"/>
      <c r="AQ106" s="909"/>
      <c r="AR106" s="909"/>
      <c r="AS106" s="909"/>
      <c r="AT106" s="909"/>
      <c r="AU106" s="909"/>
      <c r="AV106" s="909"/>
      <c r="AW106" s="909"/>
      <c r="AX106" s="909"/>
      <c r="AY106" s="909"/>
      <c r="AZ106" s="909"/>
      <c r="BA106" s="909"/>
      <c r="BB106" s="909"/>
      <c r="CB106" s="909"/>
      <c r="CD106" s="918"/>
    </row>
    <row r="107" spans="1:87" ht="17" thickBot="1">
      <c r="A107" s="79"/>
      <c r="B107" s="79"/>
      <c r="C107" s="79"/>
      <c r="D107" s="68"/>
      <c r="E107" s="324" t="s">
        <v>182</v>
      </c>
      <c r="F107" s="180"/>
      <c r="G107" s="180"/>
      <c r="H107" s="181"/>
      <c r="I107" s="1009" t="s">
        <v>445</v>
      </c>
      <c r="J107" s="1010"/>
      <c r="K107" s="1010"/>
      <c r="L107" s="1010"/>
      <c r="M107" s="1010"/>
      <c r="N107" s="1011"/>
      <c r="O107" s="352">
        <f>IF(I107="Nombre Jugador",0,IF(I107="",0,1))</f>
        <v>0</v>
      </c>
      <c r="P107" s="68"/>
      <c r="Q107" s="68"/>
      <c r="R107" s="68"/>
      <c r="S107" s="68"/>
      <c r="T107" s="68"/>
      <c r="U107" s="68"/>
      <c r="V107" s="68"/>
      <c r="W107" s="68"/>
      <c r="X107" s="68"/>
      <c r="Y107" s="68"/>
      <c r="Z107" s="68"/>
      <c r="AA107" s="68"/>
      <c r="AB107" s="68"/>
      <c r="AC107" s="68"/>
      <c r="AD107" s="68"/>
      <c r="AE107" s="68"/>
      <c r="AF107" s="909"/>
      <c r="AG107" s="909"/>
      <c r="AH107" s="909"/>
      <c r="AI107" s="909"/>
      <c r="AJ107" s="909"/>
      <c r="AK107" s="909"/>
      <c r="AL107" s="909"/>
      <c r="AM107" s="909"/>
      <c r="AN107" s="909"/>
      <c r="AO107" s="909"/>
      <c r="AP107" s="909"/>
      <c r="AQ107" s="909"/>
      <c r="AR107" s="909"/>
      <c r="AS107" s="909"/>
      <c r="AT107" s="909"/>
      <c r="AU107" s="909"/>
      <c r="AV107" s="909"/>
      <c r="AW107" s="909"/>
      <c r="AX107" s="909"/>
      <c r="AY107" s="909"/>
      <c r="AZ107" s="909"/>
      <c r="BA107" s="909"/>
      <c r="BB107" s="909"/>
      <c r="CB107" s="909"/>
      <c r="CD107" s="918"/>
    </row>
    <row r="108" spans="1:87" ht="16" thickBot="1">
      <c r="A108" s="79"/>
      <c r="B108" s="79"/>
      <c r="C108" s="79"/>
      <c r="D108" s="68"/>
      <c r="E108" s="159"/>
      <c r="F108" s="159"/>
      <c r="G108" s="159"/>
      <c r="H108" s="159"/>
      <c r="I108" s="159"/>
      <c r="J108" s="159"/>
      <c r="K108" s="159"/>
      <c r="L108" s="159"/>
      <c r="M108" s="159"/>
      <c r="N108" s="159"/>
      <c r="O108" s="356"/>
      <c r="P108" s="68"/>
      <c r="Q108" s="68"/>
      <c r="R108" s="68"/>
      <c r="S108" s="68"/>
      <c r="T108" s="68"/>
      <c r="U108" s="68"/>
      <c r="V108" s="68"/>
      <c r="W108" s="68"/>
      <c r="X108" s="68"/>
      <c r="Y108" s="68"/>
      <c r="Z108" s="68"/>
      <c r="AA108" s="68"/>
      <c r="AB108" s="68"/>
      <c r="AC108" s="68"/>
      <c r="AD108" s="68"/>
      <c r="AE108" s="68"/>
      <c r="AF108" s="909"/>
      <c r="AG108" s="909"/>
      <c r="AH108" s="909"/>
      <c r="AI108" s="909"/>
      <c r="AJ108" s="909"/>
      <c r="AK108" s="909"/>
      <c r="AL108" s="909"/>
      <c r="AM108" s="909"/>
      <c r="AN108" s="909"/>
      <c r="AO108" s="909"/>
      <c r="AP108" s="909"/>
      <c r="AQ108" s="909"/>
      <c r="AR108" s="909"/>
      <c r="AS108" s="909"/>
      <c r="AT108" s="909"/>
      <c r="AU108" s="909"/>
      <c r="AV108" s="909"/>
      <c r="AW108" s="909"/>
      <c r="AX108" s="909"/>
      <c r="AY108" s="909"/>
      <c r="AZ108" s="909"/>
      <c r="BA108" s="909"/>
      <c r="BB108" s="909"/>
      <c r="CB108" s="909"/>
      <c r="CD108" s="918"/>
    </row>
    <row r="109" spans="1:87" ht="18" thickBot="1">
      <c r="A109" s="79"/>
      <c r="B109" s="79"/>
      <c r="C109" s="79"/>
      <c r="D109" s="68"/>
      <c r="E109" s="205" t="s">
        <v>33</v>
      </c>
      <c r="F109" s="206"/>
      <c r="G109" s="206"/>
      <c r="H109" s="207"/>
      <c r="I109" s="994" t="s">
        <v>372</v>
      </c>
      <c r="J109" s="995"/>
      <c r="K109" s="995"/>
      <c r="L109" s="995"/>
      <c r="M109" s="995"/>
      <c r="N109" s="996"/>
      <c r="O109" s="352">
        <f>IF(I109="Escribe tu nombre",0,IF(I109="",0,1))</f>
        <v>1</v>
      </c>
      <c r="P109" s="68"/>
      <c r="Q109" s="68"/>
      <c r="R109" s="68"/>
      <c r="S109" s="68"/>
      <c r="T109" s="68"/>
      <c r="U109" s="68"/>
      <c r="V109" s="68"/>
      <c r="W109" s="68"/>
      <c r="X109" s="68"/>
      <c r="Y109" s="68"/>
      <c r="Z109" s="68"/>
      <c r="AA109" s="68"/>
      <c r="AB109" s="68"/>
      <c r="AC109" s="68"/>
      <c r="AD109" s="68"/>
      <c r="AE109" s="68"/>
      <c r="AF109" s="909"/>
      <c r="AG109" s="909"/>
      <c r="AH109" s="909"/>
      <c r="AI109" s="909"/>
      <c r="AJ109" s="909"/>
      <c r="AK109" s="909"/>
      <c r="AL109" s="909"/>
      <c r="AM109" s="909"/>
      <c r="AN109" s="909"/>
      <c r="AO109" s="909"/>
      <c r="AP109" s="909"/>
      <c r="AQ109" s="909"/>
      <c r="AR109" s="909"/>
      <c r="AS109" s="909"/>
      <c r="AT109" s="909"/>
      <c r="AU109" s="909"/>
      <c r="AV109" s="909"/>
      <c r="AW109" s="909"/>
      <c r="AX109" s="909"/>
      <c r="AY109" s="909"/>
      <c r="AZ109" s="909"/>
      <c r="BA109" s="909"/>
      <c r="BB109" s="909"/>
      <c r="CB109" s="909"/>
      <c r="CD109" s="918"/>
    </row>
    <row r="110" spans="1:87">
      <c r="A110" s="79"/>
      <c r="B110" s="79"/>
      <c r="C110" s="79"/>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909"/>
      <c r="AG110" s="909"/>
      <c r="AH110" s="909"/>
      <c r="AI110" s="909"/>
      <c r="AJ110" s="909"/>
      <c r="AK110" s="909"/>
      <c r="AL110" s="909"/>
      <c r="AM110" s="909"/>
      <c r="AN110" s="909"/>
      <c r="AO110" s="909"/>
      <c r="AP110" s="909"/>
      <c r="AQ110" s="909"/>
      <c r="AR110" s="909"/>
      <c r="AS110" s="909"/>
      <c r="AT110" s="909"/>
      <c r="AU110" s="909"/>
      <c r="AV110" s="909"/>
      <c r="AW110" s="909"/>
      <c r="AX110" s="909"/>
      <c r="AY110" s="909"/>
      <c r="AZ110" s="909"/>
      <c r="BA110" s="909"/>
      <c r="BB110" s="909"/>
      <c r="CB110" s="909"/>
      <c r="CC110" s="909"/>
      <c r="CD110" s="909"/>
      <c r="CE110" s="909"/>
      <c r="CF110" s="909"/>
      <c r="CG110" s="909"/>
      <c r="CH110" s="909"/>
    </row>
    <row r="111" spans="1:87">
      <c r="A111" s="79"/>
      <c r="B111" s="79"/>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909"/>
      <c r="AG111" s="909"/>
      <c r="AH111" s="909"/>
      <c r="AI111" s="909"/>
      <c r="AJ111" s="909"/>
      <c r="AK111" s="909"/>
      <c r="AL111" s="909"/>
      <c r="AM111" s="909"/>
      <c r="AN111" s="909"/>
      <c r="AO111" s="909"/>
      <c r="AP111" s="909"/>
      <c r="AQ111" s="909"/>
      <c r="AR111" s="909"/>
      <c r="AS111" s="909"/>
      <c r="AT111" s="909"/>
      <c r="AU111" s="909"/>
      <c r="AV111" s="909"/>
      <c r="AW111" s="909"/>
      <c r="AX111" s="909"/>
      <c r="AY111" s="909"/>
      <c r="AZ111" s="909"/>
      <c r="BA111" s="909"/>
      <c r="BB111" s="909"/>
      <c r="CB111" s="909"/>
      <c r="CC111" s="909"/>
      <c r="CD111" s="909"/>
      <c r="CE111" s="909"/>
      <c r="CF111" s="909"/>
      <c r="CG111" s="909"/>
      <c r="CH111" s="909"/>
    </row>
    <row r="112" spans="1:87">
      <c r="A112" s="79"/>
      <c r="B112" s="79"/>
      <c r="C112" s="79"/>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909"/>
      <c r="AG112" s="909"/>
      <c r="AH112" s="909"/>
      <c r="AI112" s="909"/>
      <c r="AJ112" s="909"/>
      <c r="AK112" s="909"/>
      <c r="AL112" s="909"/>
      <c r="AM112" s="909"/>
      <c r="AN112" s="909"/>
      <c r="AO112" s="909"/>
      <c r="AP112" s="909"/>
      <c r="AQ112" s="909"/>
      <c r="AR112" s="909"/>
      <c r="AS112" s="909"/>
      <c r="AT112" s="909"/>
      <c r="AU112" s="909"/>
      <c r="AV112" s="909"/>
      <c r="AW112" s="909"/>
      <c r="AX112" s="909"/>
      <c r="AY112" s="909"/>
      <c r="AZ112" s="909"/>
      <c r="BA112" s="909"/>
      <c r="BB112" s="909"/>
      <c r="CB112" s="909"/>
      <c r="CC112" s="909"/>
      <c r="CD112" s="909"/>
      <c r="CE112" s="909"/>
      <c r="CF112" s="909"/>
      <c r="CG112" s="909"/>
      <c r="CH112" s="909"/>
    </row>
    <row r="113" spans="1:86">
      <c r="A113" s="79"/>
      <c r="B113" s="79"/>
      <c r="C113" s="79"/>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909"/>
      <c r="AG113" s="909"/>
      <c r="AH113" s="909"/>
      <c r="AI113" s="909"/>
      <c r="AJ113" s="909"/>
      <c r="AK113" s="909"/>
      <c r="AL113" s="909"/>
      <c r="AM113" s="909"/>
      <c r="AN113" s="909"/>
      <c r="AO113" s="909"/>
      <c r="AP113" s="909"/>
      <c r="AQ113" s="909"/>
      <c r="AR113" s="909"/>
      <c r="AS113" s="909"/>
      <c r="AT113" s="909"/>
      <c r="AU113" s="909"/>
      <c r="AV113" s="909"/>
      <c r="AW113" s="909"/>
      <c r="AX113" s="909"/>
      <c r="AY113" s="909"/>
      <c r="AZ113" s="909"/>
      <c r="BA113" s="909"/>
      <c r="BB113" s="909"/>
      <c r="CB113" s="909"/>
      <c r="CC113" s="914"/>
      <c r="CD113" s="914"/>
      <c r="CE113" s="914"/>
      <c r="CF113" s="914"/>
      <c r="CG113" s="914"/>
    </row>
    <row r="114" spans="1:86">
      <c r="A114" s="9"/>
      <c r="B114" s="9"/>
      <c r="C114"/>
      <c r="D114" s="9"/>
      <c r="E114" s="9"/>
      <c r="F114" s="9"/>
      <c r="G114" s="9"/>
      <c r="H114" s="9"/>
      <c r="I114" s="9"/>
      <c r="J114" s="9"/>
      <c r="K114" s="9"/>
      <c r="L114" s="9"/>
      <c r="M114" s="9"/>
      <c r="N114" s="9"/>
      <c r="O114" s="9"/>
      <c r="P114" s="9"/>
      <c r="Q114" s="9"/>
      <c r="R114" s="9"/>
      <c r="S114" s="9"/>
      <c r="T114" s="9"/>
      <c r="U114" s="9"/>
      <c r="V114" s="9"/>
      <c r="W114" s="9"/>
      <c r="X114" s="9"/>
      <c r="Y114" s="9"/>
      <c r="Z114" s="9"/>
      <c r="AA114" s="10"/>
      <c r="AB114" s="11"/>
      <c r="AC114" s="10"/>
      <c r="AD114" s="10"/>
      <c r="AE114" s="10"/>
      <c r="AF114" s="909"/>
      <c r="AG114" s="909"/>
      <c r="AH114" s="909"/>
      <c r="AI114" s="909"/>
      <c r="AJ114" s="909"/>
      <c r="AK114" s="909"/>
      <c r="AL114" s="909"/>
      <c r="AM114" s="909"/>
      <c r="AN114" s="909"/>
      <c r="AO114" s="909"/>
      <c r="AP114" s="909"/>
      <c r="AQ114" s="909"/>
      <c r="AR114" s="909"/>
      <c r="AS114" s="909"/>
      <c r="AT114" s="909"/>
      <c r="AU114" s="909"/>
      <c r="AV114" s="909"/>
      <c r="AW114" s="909"/>
      <c r="AX114" s="909"/>
      <c r="AY114" s="909"/>
      <c r="AZ114" s="909"/>
      <c r="BA114" s="909"/>
      <c r="BB114" s="909"/>
      <c r="CB114" s="909"/>
      <c r="CC114" s="909"/>
      <c r="CD114" s="909"/>
      <c r="CE114" s="909"/>
      <c r="CF114" s="909"/>
      <c r="CG114" s="909"/>
      <c r="CH114" s="909"/>
    </row>
    <row r="115" spans="1:86">
      <c r="A115" s="9"/>
      <c r="B115" s="9"/>
      <c r="C115"/>
      <c r="D115" s="9"/>
      <c r="E115" s="9"/>
      <c r="F115" s="9"/>
      <c r="G115" s="9"/>
      <c r="H115" s="9"/>
      <c r="I115" s="9"/>
      <c r="J115" s="9"/>
      <c r="K115" s="9"/>
      <c r="L115" s="9"/>
      <c r="M115" s="9"/>
      <c r="N115" s="9"/>
      <c r="O115" s="9"/>
      <c r="P115" s="9"/>
      <c r="Q115" s="9"/>
      <c r="R115" s="9"/>
      <c r="S115" s="9"/>
      <c r="T115" s="9"/>
      <c r="U115" s="9"/>
      <c r="V115" s="9"/>
      <c r="W115" s="9"/>
      <c r="X115" s="9"/>
      <c r="Y115" s="9"/>
      <c r="Z115" s="9"/>
      <c r="AA115" s="10"/>
      <c r="AB115" s="11"/>
      <c r="AC115" s="10"/>
      <c r="AD115" s="10"/>
      <c r="AE115" s="10"/>
      <c r="AF115" s="909"/>
      <c r="AG115" s="909"/>
      <c r="AH115" s="909"/>
      <c r="AI115" s="909"/>
      <c r="AJ115" s="909"/>
      <c r="AK115" s="909"/>
      <c r="AL115" s="909"/>
      <c r="AM115" s="909"/>
      <c r="AN115" s="909"/>
      <c r="AO115" s="909"/>
      <c r="AP115" s="909"/>
      <c r="AQ115" s="909"/>
      <c r="AR115" s="909"/>
      <c r="AS115" s="909"/>
      <c r="AT115" s="909"/>
      <c r="AU115" s="909"/>
      <c r="AV115" s="909"/>
      <c r="AW115" s="909"/>
      <c r="AX115" s="909"/>
      <c r="AY115" s="909"/>
      <c r="AZ115" s="909"/>
      <c r="BA115" s="909"/>
      <c r="BB115" s="909"/>
      <c r="CB115" s="909"/>
      <c r="CC115" s="909"/>
      <c r="CD115" s="909"/>
      <c r="CE115" s="909"/>
      <c r="CF115" s="909"/>
      <c r="CG115" s="909"/>
      <c r="CH115" s="909"/>
    </row>
    <row r="116" spans="1:86">
      <c r="A116" s="9"/>
      <c r="B116" s="9"/>
      <c r="C116"/>
      <c r="D116" s="9"/>
      <c r="E116" s="9"/>
      <c r="F116" s="9"/>
      <c r="G116" s="9"/>
      <c r="H116" s="9"/>
      <c r="I116" s="9"/>
      <c r="J116" s="9"/>
      <c r="K116" s="9"/>
      <c r="L116" s="9"/>
      <c r="M116" s="9"/>
      <c r="N116" s="9"/>
      <c r="O116" s="9"/>
      <c r="P116" s="9"/>
      <c r="Q116" s="9"/>
      <c r="R116" s="9"/>
      <c r="S116" s="9"/>
      <c r="T116" s="9"/>
      <c r="U116" s="9"/>
      <c r="V116" s="9"/>
      <c r="W116" s="9"/>
      <c r="X116" s="9"/>
      <c r="Y116" s="9"/>
      <c r="Z116" s="9"/>
      <c r="AA116" s="10"/>
      <c r="AB116" s="11"/>
      <c r="AC116" s="10"/>
      <c r="AD116" s="10"/>
      <c r="AE116" s="10"/>
      <c r="AF116" s="909"/>
      <c r="AG116" s="909"/>
      <c r="AH116" s="909"/>
      <c r="AI116" s="909"/>
      <c r="AJ116" s="909"/>
      <c r="AK116" s="909"/>
      <c r="AL116" s="909"/>
      <c r="AM116" s="909"/>
      <c r="AN116" s="909"/>
      <c r="AO116" s="909"/>
      <c r="AP116" s="909"/>
      <c r="AQ116" s="909"/>
      <c r="AR116" s="909"/>
      <c r="AS116" s="909"/>
      <c r="AT116" s="909"/>
      <c r="AU116" s="909"/>
      <c r="AV116" s="909"/>
      <c r="AW116" s="909"/>
      <c r="AX116" s="909"/>
      <c r="AY116" s="909"/>
      <c r="AZ116" s="909"/>
      <c r="BA116" s="909"/>
      <c r="BB116" s="909"/>
      <c r="CB116" s="909"/>
      <c r="CC116" s="909"/>
      <c r="CD116" s="909"/>
      <c r="CE116" s="909"/>
      <c r="CF116" s="909"/>
      <c r="CG116" s="909"/>
      <c r="CH116" s="909"/>
    </row>
    <row r="117" spans="1:86">
      <c r="A117" s="9"/>
      <c r="B117" s="9"/>
      <c r="C117"/>
      <c r="D117" s="9"/>
      <c r="E117" s="9"/>
      <c r="F117" s="9"/>
      <c r="G117" s="9"/>
      <c r="H117" s="9"/>
      <c r="I117" s="9"/>
      <c r="J117" s="9"/>
      <c r="K117" s="9"/>
      <c r="L117" s="9"/>
      <c r="M117" s="9"/>
      <c r="N117" s="9"/>
      <c r="O117" s="9"/>
      <c r="P117" s="9"/>
      <c r="Q117" s="9"/>
      <c r="R117" s="9"/>
      <c r="S117" s="9"/>
      <c r="T117" s="9"/>
      <c r="U117" s="9"/>
      <c r="V117" s="9"/>
      <c r="W117" s="9"/>
      <c r="X117" s="9"/>
      <c r="Y117" s="9"/>
      <c r="Z117" s="9"/>
      <c r="AA117" s="10"/>
      <c r="AB117" s="11"/>
      <c r="AC117" s="10"/>
      <c r="AD117" s="10"/>
      <c r="AE117" s="10"/>
      <c r="AF117" s="909"/>
      <c r="AG117" s="909"/>
      <c r="AH117" s="909"/>
      <c r="AI117" s="909"/>
      <c r="AJ117" s="909"/>
      <c r="AK117" s="909"/>
      <c r="AL117" s="909"/>
      <c r="AM117" s="909"/>
      <c r="AN117" s="909"/>
      <c r="AO117" s="909"/>
      <c r="AP117" s="909"/>
      <c r="AQ117" s="909"/>
      <c r="AR117" s="909"/>
      <c r="AS117" s="909"/>
      <c r="AT117" s="909"/>
      <c r="AU117" s="909"/>
      <c r="AV117" s="909"/>
      <c r="AW117" s="909"/>
      <c r="AX117" s="909"/>
      <c r="AY117" s="909"/>
      <c r="AZ117" s="909"/>
      <c r="BA117" s="909"/>
      <c r="BB117" s="909"/>
      <c r="CB117" s="909"/>
      <c r="CC117" s="909"/>
      <c r="CD117" s="909"/>
      <c r="CE117" s="909"/>
      <c r="CF117" s="909"/>
      <c r="CG117" s="909"/>
      <c r="CH117" s="909"/>
    </row>
    <row r="118" spans="1:86">
      <c r="A118" s="9"/>
      <c r="B118" s="9"/>
      <c r="C118"/>
      <c r="D118" s="9"/>
      <c r="E118" s="9"/>
      <c r="F118" s="9"/>
      <c r="G118" s="9"/>
      <c r="H118" s="9"/>
      <c r="I118" s="9"/>
      <c r="J118" s="9"/>
      <c r="K118" s="9"/>
      <c r="L118" s="9"/>
      <c r="M118" s="9"/>
      <c r="N118" s="9"/>
      <c r="O118" s="9"/>
      <c r="P118" s="9"/>
      <c r="Q118" s="9"/>
      <c r="R118" s="9"/>
      <c r="S118" s="9"/>
      <c r="T118" s="9"/>
      <c r="U118" s="9"/>
      <c r="V118" s="9"/>
      <c r="W118" s="9"/>
      <c r="X118" s="9"/>
      <c r="Y118" s="9"/>
      <c r="Z118" s="9"/>
      <c r="AA118" s="10"/>
      <c r="AB118" s="11"/>
      <c r="AC118" s="10"/>
      <c r="AD118" s="10"/>
      <c r="AE118" s="10"/>
      <c r="AF118" s="909"/>
      <c r="AG118" s="909"/>
      <c r="AH118" s="909"/>
      <c r="AI118" s="909"/>
      <c r="AJ118" s="909"/>
      <c r="AK118" s="909"/>
      <c r="AL118" s="909"/>
      <c r="AM118" s="909"/>
      <c r="AN118" s="909"/>
      <c r="AO118" s="909"/>
      <c r="AP118" s="909"/>
      <c r="AQ118" s="909"/>
      <c r="AR118" s="909"/>
      <c r="AS118" s="909"/>
      <c r="AT118" s="909"/>
      <c r="AU118" s="909"/>
      <c r="AV118" s="909"/>
      <c r="AW118" s="909"/>
      <c r="AX118" s="909"/>
      <c r="AY118" s="909"/>
      <c r="AZ118" s="909"/>
      <c r="BA118" s="909"/>
      <c r="BB118" s="909"/>
      <c r="CB118" s="909"/>
      <c r="CC118" s="909"/>
      <c r="CD118" s="909"/>
      <c r="CE118" s="909"/>
      <c r="CF118" s="909"/>
      <c r="CG118" s="909"/>
      <c r="CH118" s="909"/>
    </row>
    <row r="119" spans="1:86">
      <c r="A119" s="9"/>
      <c r="B119" s="9"/>
      <c r="C119"/>
      <c r="D119" s="9"/>
      <c r="E119" s="9"/>
      <c r="F119" s="9"/>
      <c r="G119" s="9"/>
      <c r="H119" s="9"/>
      <c r="I119" s="9"/>
      <c r="J119" s="9"/>
      <c r="K119" s="9"/>
      <c r="L119" s="9"/>
      <c r="M119" s="9"/>
      <c r="N119" s="9"/>
      <c r="O119" s="9"/>
      <c r="P119" s="9"/>
      <c r="Q119" s="9"/>
      <c r="R119" s="9"/>
      <c r="S119" s="9"/>
      <c r="T119" s="9"/>
      <c r="U119" s="9"/>
      <c r="V119" s="9"/>
      <c r="W119" s="9"/>
      <c r="X119" s="9"/>
      <c r="Y119" s="9"/>
      <c r="Z119" s="9"/>
      <c r="AA119" s="10"/>
      <c r="AB119" s="11"/>
      <c r="AC119" s="10"/>
      <c r="AD119" s="10"/>
      <c r="AE119" s="10"/>
      <c r="AF119" s="909"/>
      <c r="AG119" s="909"/>
      <c r="AH119" s="909"/>
      <c r="AI119" s="909"/>
      <c r="AJ119" s="909"/>
      <c r="AK119" s="909"/>
      <c r="AL119" s="909"/>
      <c r="AM119" s="909"/>
      <c r="AN119" s="909"/>
      <c r="AO119" s="909"/>
      <c r="AP119" s="909"/>
      <c r="AQ119" s="909"/>
      <c r="AR119" s="909"/>
      <c r="AS119" s="909"/>
      <c r="AT119" s="909"/>
      <c r="AU119" s="909"/>
      <c r="AV119" s="909"/>
      <c r="AW119" s="909"/>
      <c r="AX119" s="909"/>
      <c r="AY119" s="909"/>
      <c r="AZ119" s="909"/>
      <c r="BA119" s="909"/>
      <c r="BB119" s="909"/>
      <c r="CB119" s="909"/>
      <c r="CC119" s="909"/>
      <c r="CD119" s="909"/>
      <c r="CE119" s="909"/>
      <c r="CF119" s="909"/>
      <c r="CG119" s="909"/>
      <c r="CH119" s="909"/>
    </row>
    <row r="120" spans="1:86">
      <c r="A120" s="9"/>
      <c r="B120" s="9"/>
      <c r="C120"/>
      <c r="D120" s="9"/>
      <c r="E120" s="9"/>
      <c r="F120" s="9"/>
      <c r="G120" s="9"/>
      <c r="H120" s="9"/>
      <c r="I120" s="9"/>
      <c r="J120" s="9"/>
      <c r="K120" s="9"/>
      <c r="L120" s="9"/>
      <c r="M120" s="9"/>
      <c r="N120" s="9"/>
      <c r="O120" s="9"/>
      <c r="P120" s="9"/>
      <c r="Q120" s="9"/>
      <c r="R120" s="9"/>
      <c r="S120" s="9"/>
      <c r="T120" s="9"/>
      <c r="U120" s="9"/>
      <c r="V120" s="9"/>
      <c r="W120" s="9"/>
      <c r="X120" s="9"/>
      <c r="Y120" s="9"/>
      <c r="Z120" s="9"/>
      <c r="AA120" s="10"/>
      <c r="AB120" s="11"/>
      <c r="AC120" s="10"/>
      <c r="AD120" s="10"/>
      <c r="AE120" s="10"/>
      <c r="AF120" s="909"/>
      <c r="AG120" s="909"/>
      <c r="AH120" s="909"/>
      <c r="AI120" s="909"/>
      <c r="AJ120" s="909"/>
      <c r="AK120" s="909"/>
      <c r="AL120" s="909"/>
      <c r="AM120" s="909"/>
      <c r="AN120" s="909"/>
      <c r="AO120" s="909"/>
      <c r="AP120" s="909"/>
      <c r="AQ120" s="909"/>
      <c r="AR120" s="909"/>
      <c r="AS120" s="909"/>
      <c r="AT120" s="909"/>
      <c r="AU120" s="909"/>
      <c r="AV120" s="909"/>
      <c r="AW120" s="909"/>
      <c r="AX120" s="909"/>
      <c r="AY120" s="909"/>
      <c r="AZ120" s="909"/>
      <c r="BA120" s="909"/>
      <c r="BB120" s="909"/>
      <c r="CB120" s="909"/>
      <c r="CC120" s="909"/>
      <c r="CD120" s="909"/>
      <c r="CE120" s="909"/>
      <c r="CF120" s="909"/>
      <c r="CG120" s="909"/>
      <c r="CH120" s="909"/>
    </row>
    <row r="121" spans="1:86">
      <c r="A121" s="9"/>
      <c r="B121" s="9"/>
      <c r="C121"/>
      <c r="D121" s="9"/>
      <c r="E121" s="9"/>
      <c r="F121" s="9"/>
      <c r="G121" s="9"/>
      <c r="H121" s="9"/>
      <c r="I121" s="9"/>
      <c r="J121" s="9"/>
      <c r="K121" s="9"/>
      <c r="L121" s="9"/>
      <c r="M121" s="9"/>
      <c r="N121" s="9"/>
      <c r="O121" s="9"/>
      <c r="P121" s="9"/>
      <c r="Q121" s="9"/>
      <c r="R121" s="9"/>
      <c r="S121" s="9"/>
      <c r="T121" s="9"/>
      <c r="U121" s="9"/>
      <c r="V121" s="9"/>
      <c r="W121" s="9"/>
      <c r="X121" s="9"/>
      <c r="Y121" s="9"/>
      <c r="Z121" s="9"/>
      <c r="AA121" s="10"/>
      <c r="AB121" s="11"/>
      <c r="AC121" s="10"/>
      <c r="AD121" s="10"/>
      <c r="AE121" s="10"/>
      <c r="AF121" s="909"/>
      <c r="AG121" s="909"/>
      <c r="AH121" s="909"/>
      <c r="AI121" s="909"/>
      <c r="AJ121" s="909"/>
      <c r="AK121" s="909"/>
      <c r="AL121" s="909"/>
      <c r="AM121" s="909"/>
      <c r="AN121" s="909"/>
      <c r="AO121" s="909"/>
      <c r="AP121" s="909"/>
      <c r="AQ121" s="909"/>
      <c r="AR121" s="909"/>
      <c r="AS121" s="909"/>
      <c r="AT121" s="909"/>
      <c r="AU121" s="909"/>
      <c r="AV121" s="909"/>
      <c r="AW121" s="909"/>
      <c r="AX121" s="909"/>
      <c r="AY121" s="909"/>
      <c r="AZ121" s="909"/>
      <c r="BA121" s="909"/>
      <c r="BB121" s="909"/>
      <c r="CB121" s="909"/>
      <c r="CD121" s="918"/>
    </row>
    <row r="122" spans="1:86">
      <c r="A122" s="9"/>
      <c r="B122" s="9"/>
      <c r="C122"/>
      <c r="D122"/>
      <c r="E122"/>
      <c r="F122"/>
      <c r="G122"/>
      <c r="H122"/>
      <c r="I122"/>
      <c r="J122"/>
      <c r="K122"/>
      <c r="L122"/>
      <c r="M122"/>
      <c r="N122"/>
      <c r="O122"/>
      <c r="P122"/>
      <c r="Q122"/>
      <c r="R122"/>
      <c r="S122"/>
      <c r="T122"/>
      <c r="U122"/>
      <c r="V122"/>
      <c r="W122"/>
      <c r="X122"/>
      <c r="Y122"/>
      <c r="Z122"/>
      <c r="AA122" s="10"/>
      <c r="AB122" s="11"/>
      <c r="AC122" s="10"/>
      <c r="AD122" s="10"/>
      <c r="AE122" s="10"/>
      <c r="CB122" s="909"/>
      <c r="CD122" s="918"/>
    </row>
    <row r="123" spans="1:86">
      <c r="A123" s="9"/>
      <c r="B123" s="9"/>
      <c r="C123"/>
      <c r="D123"/>
      <c r="E123"/>
      <c r="F123"/>
      <c r="G123"/>
      <c r="H123"/>
      <c r="I123"/>
      <c r="J123"/>
      <c r="K123"/>
      <c r="L123"/>
      <c r="M123"/>
      <c r="N123"/>
      <c r="O123"/>
      <c r="P123"/>
      <c r="Q123"/>
      <c r="R123"/>
      <c r="S123"/>
      <c r="T123"/>
      <c r="U123"/>
      <c r="V123"/>
      <c r="W123"/>
      <c r="X123"/>
      <c r="Y123"/>
      <c r="Z123"/>
      <c r="AA123" s="10"/>
      <c r="AB123" s="11"/>
      <c r="AC123" s="10"/>
      <c r="AD123" s="10"/>
      <c r="AE123" s="10"/>
      <c r="CB123" s="909"/>
    </row>
    <row r="124" spans="1:86">
      <c r="A124" s="9"/>
      <c r="B124" s="9"/>
      <c r="C124"/>
      <c r="D124"/>
      <c r="E124"/>
      <c r="F124"/>
      <c r="G124"/>
      <c r="H124"/>
      <c r="I124"/>
      <c r="J124"/>
      <c r="K124"/>
      <c r="L124"/>
      <c r="M124"/>
      <c r="N124"/>
      <c r="O124"/>
      <c r="P124"/>
      <c r="Q124"/>
      <c r="R124"/>
      <c r="S124"/>
      <c r="T124"/>
      <c r="U124"/>
      <c r="V124"/>
      <c r="W124"/>
      <c r="X124"/>
      <c r="Y124"/>
      <c r="Z124"/>
      <c r="AA124" s="10"/>
      <c r="AB124" s="11"/>
      <c r="AC124" s="10"/>
      <c r="AD124" s="10"/>
      <c r="AE124" s="10"/>
      <c r="CB124" s="909"/>
    </row>
    <row r="125" spans="1:86">
      <c r="A125" s="9"/>
      <c r="B125" s="9"/>
      <c r="C125"/>
      <c r="D125"/>
      <c r="E125"/>
      <c r="F125"/>
      <c r="G125"/>
      <c r="H125"/>
      <c r="I125"/>
      <c r="J125"/>
      <c r="K125"/>
      <c r="L125"/>
      <c r="M125"/>
      <c r="N125"/>
      <c r="O125"/>
      <c r="P125"/>
      <c r="Q125"/>
      <c r="R125"/>
      <c r="S125"/>
      <c r="T125"/>
      <c r="U125"/>
      <c r="V125"/>
      <c r="W125"/>
      <c r="X125"/>
      <c r="Y125"/>
      <c r="Z125"/>
      <c r="AA125" s="10"/>
      <c r="AB125" s="11"/>
      <c r="AC125" s="10"/>
      <c r="AD125" s="10"/>
      <c r="AE125" s="10"/>
      <c r="CB125" s="909"/>
      <c r="CC125" s="909"/>
      <c r="CD125" s="909"/>
      <c r="CE125" s="909"/>
      <c r="CF125" s="909"/>
      <c r="CG125" s="909"/>
      <c r="CH125" s="909"/>
    </row>
    <row r="126" spans="1:86">
      <c r="A126" s="9"/>
      <c r="B126" s="9"/>
      <c r="C126"/>
      <c r="D126"/>
      <c r="E126"/>
      <c r="F126"/>
      <c r="G126"/>
      <c r="H126"/>
      <c r="I126"/>
      <c r="J126"/>
      <c r="K126"/>
      <c r="L126"/>
      <c r="M126"/>
      <c r="N126"/>
      <c r="O126"/>
      <c r="P126"/>
      <c r="Q126"/>
      <c r="R126"/>
      <c r="S126"/>
      <c r="T126"/>
      <c r="U126"/>
      <c r="V126"/>
      <c r="W126"/>
      <c r="X126"/>
      <c r="Y126"/>
      <c r="Z126"/>
      <c r="AA126" s="10"/>
      <c r="AB126" s="11"/>
      <c r="AC126" s="10"/>
      <c r="AD126" s="10"/>
      <c r="AE126" s="10"/>
      <c r="CB126" s="909"/>
      <c r="CC126" s="909"/>
      <c r="CD126" s="909"/>
      <c r="CE126" s="909"/>
      <c r="CF126" s="909"/>
      <c r="CG126" s="909"/>
      <c r="CH126" s="909"/>
    </row>
    <row r="127" spans="1:86">
      <c r="A127" s="9"/>
      <c r="B127" s="9"/>
      <c r="C127"/>
      <c r="D127"/>
      <c r="E127"/>
      <c r="F127"/>
      <c r="G127"/>
      <c r="H127"/>
      <c r="I127"/>
      <c r="J127"/>
      <c r="K127"/>
      <c r="L127"/>
      <c r="M127"/>
      <c r="N127"/>
      <c r="O127"/>
      <c r="P127"/>
      <c r="Q127"/>
      <c r="R127"/>
      <c r="S127"/>
      <c r="T127"/>
      <c r="U127"/>
      <c r="V127"/>
      <c r="W127"/>
      <c r="X127"/>
      <c r="Y127"/>
      <c r="Z127"/>
      <c r="AA127" s="10"/>
      <c r="AB127" s="11"/>
      <c r="AC127" s="10"/>
      <c r="AD127" s="10"/>
      <c r="AE127" s="10"/>
      <c r="CB127" s="909"/>
      <c r="CC127" s="909"/>
      <c r="CD127" s="909"/>
      <c r="CE127" s="909"/>
      <c r="CF127" s="909"/>
      <c r="CG127" s="909"/>
      <c r="CH127" s="909"/>
    </row>
    <row r="128" spans="1:86">
      <c r="A128" s="9"/>
      <c r="B128" s="9"/>
      <c r="C128"/>
      <c r="D128"/>
      <c r="E128"/>
      <c r="F128"/>
      <c r="G128"/>
      <c r="H128"/>
      <c r="I128"/>
      <c r="J128"/>
      <c r="K128"/>
      <c r="L128"/>
      <c r="M128"/>
      <c r="N128"/>
      <c r="O128"/>
      <c r="P128"/>
      <c r="Q128"/>
      <c r="R128"/>
      <c r="S128"/>
      <c r="T128"/>
      <c r="U128"/>
      <c r="V128"/>
      <c r="W128"/>
      <c r="X128"/>
      <c r="Y128"/>
      <c r="Z128"/>
      <c r="AA128" s="10"/>
      <c r="AB128" s="11"/>
      <c r="AC128" s="10"/>
      <c r="AD128" s="10"/>
      <c r="AE128" s="10"/>
      <c r="CB128" s="909"/>
      <c r="CC128" s="909"/>
      <c r="CD128" s="909"/>
      <c r="CE128" s="909"/>
      <c r="CF128" s="909"/>
      <c r="CG128" s="909"/>
      <c r="CH128" s="909"/>
    </row>
    <row r="129" spans="1:86">
      <c r="A129" s="9"/>
      <c r="B129" s="9"/>
      <c r="C129"/>
      <c r="D129"/>
      <c r="E129"/>
      <c r="F129"/>
      <c r="G129"/>
      <c r="H129"/>
      <c r="I129"/>
      <c r="J129"/>
      <c r="K129"/>
      <c r="L129"/>
      <c r="M129"/>
      <c r="N129"/>
      <c r="O129"/>
      <c r="P129"/>
      <c r="Q129"/>
      <c r="R129"/>
      <c r="S129"/>
      <c r="T129"/>
      <c r="U129"/>
      <c r="V129"/>
      <c r="W129"/>
      <c r="X129"/>
      <c r="Y129"/>
      <c r="Z129"/>
      <c r="AA129" s="10"/>
      <c r="AB129" s="11"/>
      <c r="AC129" s="10"/>
      <c r="AD129" s="10"/>
      <c r="AE129" s="10"/>
      <c r="CB129" s="909"/>
      <c r="CC129" s="909"/>
      <c r="CD129" s="909"/>
      <c r="CE129" s="909"/>
      <c r="CF129" s="909"/>
      <c r="CG129" s="909"/>
      <c r="CH129" s="909"/>
    </row>
    <row r="130" spans="1:86">
      <c r="A130" s="9"/>
      <c r="B130" s="9"/>
      <c r="C130"/>
      <c r="D130"/>
      <c r="E130"/>
      <c r="F130"/>
      <c r="G130"/>
      <c r="H130"/>
      <c r="I130"/>
      <c r="J130"/>
      <c r="K130"/>
      <c r="L130"/>
      <c r="M130"/>
      <c r="N130"/>
      <c r="O130"/>
      <c r="P130"/>
      <c r="Q130"/>
      <c r="R130"/>
      <c r="S130"/>
      <c r="T130"/>
      <c r="U130"/>
      <c r="V130"/>
      <c r="W130"/>
      <c r="X130"/>
      <c r="Y130"/>
      <c r="Z130"/>
      <c r="AA130" s="10"/>
      <c r="AB130" s="11"/>
      <c r="AC130" s="10"/>
      <c r="AD130" s="10"/>
      <c r="AE130" s="10"/>
      <c r="CB130" s="909"/>
      <c r="CC130" s="909"/>
      <c r="CD130" s="909"/>
      <c r="CE130" s="909"/>
      <c r="CF130" s="909"/>
      <c r="CG130" s="909"/>
      <c r="CH130" s="909"/>
    </row>
    <row r="131" spans="1:86">
      <c r="A131" s="9"/>
      <c r="B131" s="9"/>
      <c r="C131"/>
      <c r="D131"/>
      <c r="E131"/>
      <c r="F131"/>
      <c r="G131"/>
      <c r="H131"/>
      <c r="I131"/>
      <c r="J131"/>
      <c r="K131"/>
      <c r="L131"/>
      <c r="M131"/>
      <c r="N131"/>
      <c r="O131"/>
      <c r="P131"/>
      <c r="Q131"/>
      <c r="R131"/>
      <c r="S131"/>
      <c r="T131"/>
      <c r="U131"/>
      <c r="V131"/>
      <c r="W131"/>
      <c r="X131"/>
      <c r="Y131"/>
      <c r="Z131"/>
      <c r="AA131" s="10"/>
      <c r="AB131" s="11"/>
      <c r="AC131" s="10"/>
      <c r="AD131" s="10"/>
      <c r="AE131" s="10"/>
      <c r="CB131" s="909"/>
      <c r="CC131" s="909"/>
      <c r="CD131" s="909"/>
      <c r="CE131" s="909"/>
      <c r="CF131" s="909"/>
      <c r="CG131" s="909"/>
      <c r="CH131" s="909"/>
    </row>
    <row r="132" spans="1:86">
      <c r="A132" s="9"/>
      <c r="B132" s="9"/>
      <c r="C132"/>
      <c r="D132"/>
      <c r="E132"/>
      <c r="F132"/>
      <c r="G132"/>
      <c r="H132"/>
      <c r="I132"/>
      <c r="J132"/>
      <c r="K132"/>
      <c r="L132"/>
      <c r="M132"/>
      <c r="N132"/>
      <c r="O132"/>
      <c r="P132"/>
      <c r="Q132"/>
      <c r="R132"/>
      <c r="S132"/>
      <c r="T132"/>
      <c r="U132"/>
      <c r="V132"/>
      <c r="W132"/>
      <c r="X132"/>
      <c r="Y132"/>
      <c r="Z132"/>
      <c r="AA132" s="10"/>
      <c r="AB132" s="11"/>
      <c r="AC132" s="10"/>
      <c r="AD132" s="10"/>
      <c r="AE132" s="10"/>
      <c r="CB132" s="909"/>
      <c r="CC132" s="909"/>
      <c r="CD132" s="909"/>
      <c r="CE132" s="909"/>
      <c r="CF132" s="909"/>
      <c r="CG132" s="909"/>
      <c r="CH132" s="909"/>
    </row>
    <row r="133" spans="1:86">
      <c r="A133" s="9"/>
      <c r="B133" s="9"/>
      <c r="C133"/>
      <c r="D133"/>
      <c r="E133"/>
      <c r="F133"/>
      <c r="G133"/>
      <c r="H133"/>
      <c r="I133"/>
      <c r="J133"/>
      <c r="K133"/>
      <c r="L133"/>
      <c r="M133"/>
      <c r="N133"/>
      <c r="O133"/>
      <c r="P133"/>
      <c r="Q133"/>
      <c r="R133"/>
      <c r="S133"/>
      <c r="T133"/>
      <c r="U133"/>
      <c r="V133"/>
      <c r="W133"/>
      <c r="X133"/>
      <c r="Y133"/>
      <c r="Z133"/>
      <c r="AA133" s="10"/>
      <c r="AB133" s="11"/>
      <c r="AC133" s="10"/>
      <c r="AD133" s="10"/>
      <c r="AE133" s="10"/>
      <c r="CB133" s="909"/>
    </row>
    <row r="134" spans="1:86">
      <c r="A134" s="9"/>
      <c r="B134" s="9"/>
      <c r="C134"/>
      <c r="D134"/>
      <c r="E134"/>
      <c r="F134"/>
      <c r="G134"/>
      <c r="H134"/>
      <c r="I134"/>
      <c r="J134"/>
      <c r="K134"/>
      <c r="L134"/>
      <c r="M134"/>
      <c r="N134"/>
      <c r="O134"/>
      <c r="P134"/>
      <c r="Q134"/>
      <c r="R134"/>
      <c r="S134"/>
      <c r="T134"/>
      <c r="U134"/>
      <c r="V134"/>
      <c r="W134"/>
      <c r="X134"/>
      <c r="Y134"/>
      <c r="Z134"/>
      <c r="AA134" s="10"/>
      <c r="AB134" s="11"/>
      <c r="AC134" s="10"/>
      <c r="AD134" s="10"/>
      <c r="AE134" s="10"/>
      <c r="CB134" s="909"/>
      <c r="CD134" s="909"/>
    </row>
    <row r="135" spans="1:86">
      <c r="A135" s="9"/>
      <c r="B135" s="9"/>
      <c r="C135"/>
      <c r="D135"/>
      <c r="E135"/>
      <c r="F135"/>
      <c r="G135"/>
      <c r="H135"/>
      <c r="I135"/>
      <c r="J135"/>
      <c r="K135"/>
      <c r="L135"/>
      <c r="M135"/>
      <c r="N135"/>
      <c r="O135"/>
      <c r="P135"/>
      <c r="Q135"/>
      <c r="R135"/>
      <c r="S135"/>
      <c r="T135"/>
      <c r="U135"/>
      <c r="V135"/>
      <c r="W135"/>
      <c r="X135"/>
      <c r="Y135"/>
      <c r="Z135"/>
      <c r="AA135" s="10"/>
      <c r="AB135" s="11"/>
      <c r="AC135" s="10"/>
      <c r="AD135" s="10"/>
      <c r="AE135" s="10"/>
      <c r="CB135" s="909"/>
      <c r="CD135" s="909"/>
    </row>
    <row r="136" spans="1:86">
      <c r="A136" s="9"/>
      <c r="B136" s="9"/>
      <c r="C136"/>
      <c r="D136"/>
      <c r="E136"/>
      <c r="F136"/>
      <c r="G136"/>
      <c r="H136"/>
      <c r="I136"/>
      <c r="J136"/>
      <c r="K136"/>
      <c r="L136"/>
      <c r="M136"/>
      <c r="N136"/>
      <c r="O136"/>
      <c r="P136"/>
      <c r="Q136"/>
      <c r="R136"/>
      <c r="S136"/>
      <c r="T136"/>
      <c r="U136"/>
      <c r="V136"/>
      <c r="W136"/>
      <c r="X136"/>
      <c r="Y136"/>
      <c r="Z136"/>
      <c r="AA136" s="10"/>
      <c r="AB136" s="11"/>
      <c r="AC136" s="10"/>
      <c r="AD136" s="10"/>
      <c r="AE136" s="10"/>
      <c r="CB136" s="909"/>
      <c r="CD136" s="909"/>
    </row>
    <row r="137" spans="1:86">
      <c r="A137" s="9"/>
      <c r="B137" s="9"/>
      <c r="C137"/>
      <c r="D137"/>
      <c r="E137"/>
      <c r="F137"/>
      <c r="G137"/>
      <c r="H137"/>
      <c r="I137"/>
      <c r="J137"/>
      <c r="K137"/>
      <c r="L137"/>
      <c r="M137"/>
      <c r="N137"/>
      <c r="O137"/>
      <c r="P137"/>
      <c r="Q137"/>
      <c r="R137"/>
      <c r="S137"/>
      <c r="T137"/>
      <c r="U137"/>
      <c r="V137"/>
      <c r="W137"/>
      <c r="X137"/>
      <c r="Y137"/>
      <c r="Z137"/>
      <c r="AA137" s="10"/>
      <c r="AB137" s="11"/>
      <c r="AC137" s="10"/>
      <c r="AD137" s="10"/>
      <c r="AE137" s="10"/>
      <c r="CB137" s="909"/>
      <c r="CD137" s="909"/>
    </row>
    <row r="138" spans="1:86">
      <c r="A138" s="9"/>
      <c r="B138" s="9"/>
      <c r="C138"/>
      <c r="D138"/>
      <c r="E138"/>
      <c r="F138"/>
      <c r="G138"/>
      <c r="H138"/>
      <c r="I138"/>
      <c r="J138"/>
      <c r="K138"/>
      <c r="L138"/>
      <c r="M138"/>
      <c r="N138"/>
      <c r="O138"/>
      <c r="P138"/>
      <c r="Q138"/>
      <c r="R138"/>
      <c r="S138"/>
      <c r="T138"/>
      <c r="U138"/>
      <c r="V138"/>
      <c r="W138"/>
      <c r="X138"/>
      <c r="Y138"/>
      <c r="Z138"/>
      <c r="AA138" s="10"/>
      <c r="AB138" s="11"/>
      <c r="AC138" s="10"/>
      <c r="AD138" s="10"/>
      <c r="AE138" s="10"/>
      <c r="CB138" s="909"/>
    </row>
    <row r="139" spans="1:86">
      <c r="A139" s="9"/>
      <c r="B139" s="9"/>
      <c r="C139"/>
      <c r="D139"/>
      <c r="E139"/>
      <c r="F139"/>
      <c r="G139"/>
      <c r="H139"/>
      <c r="I139"/>
      <c r="J139"/>
      <c r="K139"/>
      <c r="L139"/>
      <c r="M139"/>
      <c r="N139"/>
      <c r="O139"/>
      <c r="P139"/>
      <c r="Q139"/>
      <c r="R139"/>
      <c r="S139"/>
      <c r="T139"/>
      <c r="U139"/>
      <c r="V139"/>
      <c r="W139"/>
      <c r="X139"/>
      <c r="Y139"/>
      <c r="Z139"/>
      <c r="AA139" s="10"/>
      <c r="AB139" s="11"/>
      <c r="AC139" s="10"/>
      <c r="AD139" s="10"/>
      <c r="AE139" s="10"/>
      <c r="CB139" s="909"/>
    </row>
    <row r="140" spans="1:86">
      <c r="A140" s="9"/>
      <c r="B140" s="9"/>
      <c r="C140"/>
      <c r="D140"/>
      <c r="E140"/>
      <c r="F140"/>
      <c r="G140"/>
      <c r="H140"/>
      <c r="I140"/>
      <c r="J140"/>
      <c r="K140"/>
      <c r="L140"/>
      <c r="M140"/>
      <c r="N140"/>
      <c r="O140"/>
      <c r="P140"/>
      <c r="Q140"/>
      <c r="R140"/>
      <c r="S140"/>
      <c r="T140"/>
      <c r="U140"/>
      <c r="V140"/>
      <c r="W140"/>
      <c r="X140"/>
      <c r="Y140"/>
      <c r="Z140"/>
      <c r="AA140" s="10"/>
      <c r="AB140" s="11"/>
      <c r="AC140" s="10"/>
      <c r="AD140" s="10"/>
      <c r="AE140" s="10"/>
      <c r="CB140" s="909"/>
      <c r="CC140" s="914"/>
      <c r="CD140" s="914"/>
      <c r="CE140" s="914"/>
      <c r="CF140" s="914"/>
      <c r="CG140" s="914"/>
    </row>
    <row r="141" spans="1:86">
      <c r="A141" s="9"/>
      <c r="B141" s="9"/>
      <c r="C141"/>
      <c r="D141"/>
      <c r="E141"/>
      <c r="F141"/>
      <c r="G141"/>
      <c r="H141"/>
      <c r="I141"/>
      <c r="J141"/>
      <c r="K141"/>
      <c r="L141"/>
      <c r="M141"/>
      <c r="N141"/>
      <c r="O141"/>
      <c r="P141"/>
      <c r="Q141"/>
      <c r="R141"/>
      <c r="S141"/>
      <c r="T141"/>
      <c r="U141"/>
      <c r="V141"/>
      <c r="W141"/>
      <c r="X141"/>
      <c r="Y141"/>
      <c r="Z141"/>
      <c r="AA141" s="10"/>
      <c r="AB141" s="11"/>
      <c r="AC141" s="10"/>
      <c r="AD141" s="10"/>
      <c r="AE141" s="10"/>
      <c r="CB141" s="930"/>
      <c r="CD141" s="918"/>
    </row>
    <row r="142" spans="1:86">
      <c r="A142" s="9"/>
      <c r="B142" s="9"/>
      <c r="C142"/>
      <c r="D142"/>
      <c r="E142"/>
      <c r="F142"/>
      <c r="G142"/>
      <c r="H142"/>
      <c r="I142"/>
      <c r="J142"/>
      <c r="K142"/>
      <c r="L142"/>
      <c r="M142"/>
      <c r="N142"/>
      <c r="O142"/>
      <c r="P142"/>
      <c r="Q142"/>
      <c r="R142"/>
      <c r="S142"/>
      <c r="T142"/>
      <c r="U142"/>
      <c r="V142"/>
      <c r="W142"/>
      <c r="X142"/>
      <c r="Y142"/>
      <c r="Z142"/>
      <c r="AA142" s="10"/>
      <c r="AB142" s="11"/>
      <c r="AC142" s="10"/>
      <c r="AD142" s="10"/>
      <c r="AE142" s="10"/>
      <c r="CD142" s="918"/>
    </row>
    <row r="143" spans="1:86">
      <c r="A143" s="9"/>
      <c r="B143" s="9"/>
      <c r="C143"/>
      <c r="D143"/>
      <c r="E143"/>
      <c r="F143"/>
      <c r="G143"/>
      <c r="H143"/>
      <c r="I143"/>
      <c r="J143"/>
      <c r="K143"/>
      <c r="L143"/>
      <c r="M143"/>
      <c r="N143"/>
      <c r="O143"/>
      <c r="P143"/>
      <c r="Q143"/>
      <c r="R143"/>
      <c r="S143"/>
      <c r="T143"/>
      <c r="U143"/>
      <c r="V143"/>
      <c r="W143"/>
      <c r="X143"/>
      <c r="Y143"/>
      <c r="Z143"/>
      <c r="AA143" s="10"/>
      <c r="AB143" s="11"/>
      <c r="AC143" s="10"/>
      <c r="AD143" s="10"/>
      <c r="AE143" s="10"/>
      <c r="CB143" s="909"/>
      <c r="CD143" s="918"/>
    </row>
    <row r="144" spans="1:86">
      <c r="A144" s="9"/>
      <c r="B144" s="9"/>
      <c r="C144"/>
      <c r="D144"/>
      <c r="E144"/>
      <c r="F144"/>
      <c r="G144"/>
      <c r="H144"/>
      <c r="I144"/>
      <c r="J144"/>
      <c r="K144"/>
      <c r="L144"/>
      <c r="M144"/>
      <c r="N144"/>
      <c r="O144"/>
      <c r="P144"/>
      <c r="Q144"/>
      <c r="R144"/>
      <c r="S144"/>
      <c r="T144"/>
      <c r="U144"/>
      <c r="V144"/>
      <c r="W144"/>
      <c r="X144"/>
      <c r="Y144"/>
      <c r="Z144"/>
      <c r="AA144" s="10"/>
      <c r="AB144" s="11"/>
      <c r="AC144" s="10"/>
      <c r="AD144" s="10"/>
      <c r="AE144" s="10"/>
      <c r="CD144" s="918"/>
    </row>
    <row r="145" spans="1:85">
      <c r="A145" s="9"/>
      <c r="B145" s="9"/>
      <c r="C145"/>
      <c r="D145"/>
      <c r="E145"/>
      <c r="F145"/>
      <c r="G145"/>
      <c r="H145"/>
      <c r="I145"/>
      <c r="J145"/>
      <c r="K145"/>
      <c r="L145"/>
      <c r="M145"/>
      <c r="N145"/>
      <c r="O145"/>
      <c r="P145"/>
      <c r="Q145"/>
      <c r="R145"/>
      <c r="S145"/>
      <c r="T145"/>
      <c r="U145"/>
      <c r="V145"/>
      <c r="W145"/>
      <c r="X145"/>
      <c r="Y145"/>
      <c r="Z145"/>
      <c r="AA145" s="10"/>
      <c r="AB145" s="11"/>
      <c r="AC145" s="10"/>
      <c r="AD145" s="10"/>
      <c r="AE145" s="10"/>
      <c r="CD145" s="918"/>
    </row>
    <row r="146" spans="1:85">
      <c r="A146" s="9"/>
      <c r="B146" s="9"/>
      <c r="C146"/>
      <c r="D146"/>
      <c r="E146"/>
      <c r="F146"/>
      <c r="G146"/>
      <c r="H146"/>
      <c r="I146"/>
      <c r="J146"/>
      <c r="K146"/>
      <c r="L146"/>
      <c r="M146"/>
      <c r="N146"/>
      <c r="O146"/>
      <c r="P146"/>
      <c r="Q146"/>
      <c r="R146"/>
      <c r="S146"/>
      <c r="T146"/>
      <c r="U146"/>
      <c r="V146"/>
      <c r="W146"/>
      <c r="X146"/>
      <c r="Y146"/>
      <c r="Z146"/>
      <c r="AA146" s="10"/>
      <c r="AB146" s="11"/>
      <c r="AC146" s="10"/>
      <c r="AD146" s="10"/>
      <c r="AE146" s="10"/>
      <c r="CD146" s="918"/>
    </row>
    <row r="147" spans="1:85">
      <c r="A147" s="9"/>
      <c r="B147" s="9"/>
      <c r="C147"/>
      <c r="D147"/>
      <c r="E147"/>
      <c r="F147"/>
      <c r="G147"/>
      <c r="H147"/>
      <c r="I147"/>
      <c r="J147"/>
      <c r="K147"/>
      <c r="L147"/>
      <c r="M147"/>
      <c r="N147"/>
      <c r="O147"/>
      <c r="P147"/>
      <c r="Q147"/>
      <c r="R147"/>
      <c r="S147"/>
      <c r="T147"/>
      <c r="U147"/>
      <c r="V147"/>
      <c r="W147"/>
      <c r="X147"/>
      <c r="Y147"/>
      <c r="Z147"/>
      <c r="AA147" s="10"/>
      <c r="AB147" s="11"/>
      <c r="AC147" s="10"/>
      <c r="AD147" s="10"/>
      <c r="AE147" s="10"/>
    </row>
    <row r="148" spans="1:85">
      <c r="A148" s="9"/>
      <c r="B148" s="9"/>
      <c r="C148"/>
      <c r="D148"/>
      <c r="E148"/>
      <c r="F148"/>
      <c r="G148"/>
      <c r="H148"/>
      <c r="I148"/>
      <c r="J148"/>
      <c r="K148"/>
      <c r="L148"/>
      <c r="M148"/>
      <c r="N148"/>
      <c r="O148"/>
      <c r="P148"/>
      <c r="Q148"/>
      <c r="R148"/>
      <c r="S148"/>
      <c r="T148"/>
      <c r="U148"/>
      <c r="V148"/>
      <c r="W148"/>
      <c r="X148"/>
      <c r="Y148"/>
      <c r="Z148"/>
      <c r="AA148" s="10"/>
      <c r="AB148" s="11"/>
      <c r="AC148" s="10"/>
      <c r="AD148" s="10"/>
      <c r="AE148" s="10"/>
      <c r="CC148" s="914"/>
      <c r="CD148" s="914"/>
      <c r="CE148" s="914"/>
      <c r="CF148" s="914"/>
      <c r="CG148" s="914"/>
    </row>
    <row r="149" spans="1:85">
      <c r="A149" s="9"/>
      <c r="B149" s="9"/>
      <c r="C149"/>
      <c r="D149"/>
      <c r="E149"/>
      <c r="F149"/>
      <c r="G149"/>
      <c r="H149"/>
      <c r="I149"/>
      <c r="J149"/>
      <c r="K149"/>
      <c r="L149"/>
      <c r="M149"/>
      <c r="N149"/>
      <c r="O149"/>
      <c r="P149"/>
      <c r="Q149"/>
      <c r="R149"/>
      <c r="S149"/>
      <c r="T149"/>
      <c r="U149"/>
      <c r="V149"/>
      <c r="W149"/>
      <c r="X149"/>
      <c r="Y149"/>
      <c r="Z149"/>
      <c r="AA149" s="10"/>
      <c r="AB149" s="11"/>
      <c r="AC149" s="10"/>
      <c r="AD149" s="10"/>
      <c r="AE149" s="10"/>
      <c r="CD149" s="918"/>
    </row>
    <row r="150" spans="1:85">
      <c r="A150" s="9"/>
      <c r="B150" s="9"/>
      <c r="C150"/>
      <c r="D150"/>
      <c r="E150"/>
      <c r="F150"/>
      <c r="G150"/>
      <c r="H150"/>
      <c r="I150"/>
      <c r="J150"/>
      <c r="K150"/>
      <c r="L150"/>
      <c r="M150"/>
      <c r="N150"/>
      <c r="O150"/>
      <c r="P150"/>
      <c r="Q150"/>
      <c r="R150"/>
      <c r="S150"/>
      <c r="T150"/>
      <c r="U150"/>
      <c r="V150"/>
      <c r="W150"/>
      <c r="X150"/>
      <c r="Y150"/>
      <c r="Z150"/>
      <c r="AA150" s="10"/>
      <c r="AB150" s="11"/>
      <c r="AC150" s="10"/>
      <c r="AD150" s="10"/>
      <c r="AE150" s="10"/>
      <c r="CD150" s="918"/>
    </row>
    <row r="151" spans="1:85">
      <c r="A151" s="9"/>
      <c r="B151" s="9"/>
      <c r="C151"/>
      <c r="D151"/>
      <c r="E151"/>
      <c r="F151"/>
      <c r="G151"/>
      <c r="H151"/>
      <c r="I151"/>
      <c r="J151"/>
      <c r="K151"/>
      <c r="L151"/>
      <c r="M151"/>
      <c r="N151"/>
      <c r="O151"/>
      <c r="P151"/>
      <c r="Q151"/>
      <c r="R151"/>
      <c r="S151"/>
      <c r="T151"/>
      <c r="U151"/>
      <c r="V151"/>
      <c r="W151"/>
      <c r="X151"/>
      <c r="Y151"/>
      <c r="Z151"/>
      <c r="AA151" s="10"/>
      <c r="AB151" s="11"/>
      <c r="AC151" s="10"/>
      <c r="AD151" s="10"/>
      <c r="AE151" s="10"/>
      <c r="CD151" s="918"/>
    </row>
    <row r="152" spans="1:85">
      <c r="A152" s="9"/>
      <c r="B152" s="9"/>
      <c r="C152"/>
      <c r="D152"/>
      <c r="E152"/>
      <c r="F152"/>
      <c r="G152"/>
      <c r="H152"/>
      <c r="I152"/>
      <c r="J152"/>
      <c r="K152"/>
      <c r="L152"/>
      <c r="M152"/>
      <c r="N152"/>
      <c r="O152"/>
      <c r="P152"/>
      <c r="Q152"/>
      <c r="R152"/>
      <c r="S152"/>
      <c r="T152"/>
      <c r="U152"/>
      <c r="V152"/>
      <c r="W152"/>
      <c r="X152"/>
      <c r="Y152"/>
      <c r="Z152"/>
      <c r="AA152" s="10"/>
      <c r="AB152" s="11"/>
      <c r="AC152" s="10"/>
      <c r="AD152" s="10"/>
      <c r="AE152" s="10"/>
      <c r="CD152" s="918"/>
    </row>
    <row r="153" spans="1:85">
      <c r="A153" s="9"/>
      <c r="B153" s="9"/>
      <c r="C153"/>
      <c r="D153"/>
      <c r="E153"/>
      <c r="F153"/>
      <c r="G153"/>
      <c r="H153"/>
      <c r="I153"/>
      <c r="J153"/>
      <c r="K153"/>
      <c r="L153"/>
      <c r="M153"/>
      <c r="N153"/>
      <c r="O153"/>
      <c r="P153"/>
      <c r="Q153"/>
      <c r="R153"/>
      <c r="S153"/>
      <c r="T153"/>
      <c r="U153"/>
      <c r="V153"/>
      <c r="W153"/>
      <c r="X153"/>
      <c r="Y153"/>
      <c r="Z153"/>
      <c r="AA153" s="10"/>
      <c r="AB153" s="11"/>
      <c r="AC153" s="10"/>
      <c r="AD153" s="10"/>
      <c r="AE153" s="10"/>
      <c r="CD153" s="918"/>
    </row>
    <row r="154" spans="1:85">
      <c r="A154" s="9"/>
      <c r="B154" s="9"/>
      <c r="C154"/>
      <c r="D154"/>
      <c r="E154"/>
      <c r="F154"/>
      <c r="G154"/>
      <c r="H154"/>
      <c r="I154"/>
      <c r="J154"/>
      <c r="K154"/>
      <c r="L154"/>
      <c r="M154"/>
      <c r="N154"/>
      <c r="O154"/>
      <c r="P154"/>
      <c r="Q154"/>
      <c r="R154"/>
      <c r="S154"/>
      <c r="T154"/>
      <c r="U154"/>
      <c r="V154"/>
      <c r="W154"/>
      <c r="X154"/>
      <c r="Y154"/>
      <c r="Z154"/>
      <c r="AA154" s="10"/>
      <c r="AB154" s="11"/>
      <c r="AC154" s="10"/>
      <c r="AD154" s="10"/>
      <c r="AE154" s="10"/>
      <c r="CD154" s="918"/>
    </row>
    <row r="155" spans="1:85">
      <c r="A155" s="9"/>
      <c r="B155" s="9"/>
      <c r="C155"/>
      <c r="D155"/>
      <c r="E155"/>
      <c r="F155"/>
      <c r="G155"/>
      <c r="H155"/>
      <c r="I155"/>
      <c r="J155"/>
      <c r="K155"/>
      <c r="L155"/>
      <c r="M155"/>
      <c r="N155"/>
      <c r="O155"/>
      <c r="P155"/>
      <c r="Q155"/>
      <c r="R155"/>
      <c r="S155"/>
      <c r="T155"/>
      <c r="U155"/>
      <c r="V155"/>
      <c r="W155"/>
      <c r="X155"/>
      <c r="Y155"/>
      <c r="Z155"/>
      <c r="AA155" s="10"/>
      <c r="AB155" s="11"/>
      <c r="AC155" s="10"/>
      <c r="AD155" s="10"/>
      <c r="AE155" s="10"/>
    </row>
    <row r="156" spans="1:85">
      <c r="A156" s="9"/>
      <c r="B156" s="9"/>
      <c r="C156"/>
      <c r="D156"/>
      <c r="E156"/>
      <c r="F156"/>
      <c r="G156"/>
      <c r="H156"/>
      <c r="I156"/>
      <c r="J156"/>
      <c r="K156"/>
      <c r="L156"/>
      <c r="M156"/>
      <c r="N156"/>
      <c r="O156"/>
      <c r="P156"/>
      <c r="Q156"/>
      <c r="R156"/>
      <c r="S156"/>
      <c r="T156"/>
      <c r="U156"/>
      <c r="V156"/>
      <c r="W156"/>
      <c r="X156"/>
      <c r="Y156"/>
      <c r="Z156"/>
      <c r="AA156" s="10"/>
      <c r="AB156" s="11"/>
      <c r="AC156" s="10"/>
      <c r="AD156" s="10"/>
      <c r="AE156" s="10"/>
      <c r="CC156" s="914"/>
      <c r="CD156" s="914"/>
      <c r="CE156" s="914"/>
      <c r="CF156" s="914"/>
      <c r="CG156" s="914"/>
    </row>
    <row r="157" spans="1:85">
      <c r="A157" s="9"/>
      <c r="B157" s="9"/>
      <c r="C157"/>
      <c r="D157"/>
      <c r="E157"/>
      <c r="F157"/>
      <c r="G157"/>
      <c r="H157"/>
      <c r="I157"/>
      <c r="J157"/>
      <c r="K157"/>
      <c r="L157"/>
      <c r="M157"/>
      <c r="N157"/>
      <c r="O157"/>
      <c r="P157"/>
      <c r="Q157"/>
      <c r="R157"/>
      <c r="S157"/>
      <c r="T157"/>
      <c r="U157"/>
      <c r="V157"/>
      <c r="W157"/>
      <c r="X157"/>
      <c r="Y157"/>
      <c r="Z157"/>
      <c r="AA157" s="10"/>
      <c r="AB157" s="11"/>
      <c r="AC157" s="10"/>
      <c r="AD157" s="10"/>
      <c r="AE157" s="10"/>
      <c r="CD157" s="918"/>
    </row>
    <row r="158" spans="1:85">
      <c r="A158" s="9"/>
      <c r="B158" s="9"/>
      <c r="C158"/>
      <c r="D158"/>
      <c r="E158"/>
      <c r="F158"/>
      <c r="G158"/>
      <c r="H158"/>
      <c r="I158"/>
      <c r="J158"/>
      <c r="K158"/>
      <c r="L158"/>
      <c r="M158"/>
      <c r="N158"/>
      <c r="O158"/>
      <c r="P158"/>
      <c r="Q158"/>
      <c r="R158"/>
      <c r="S158"/>
      <c r="T158"/>
      <c r="U158"/>
      <c r="V158"/>
      <c r="W158"/>
      <c r="X158"/>
      <c r="Y158"/>
      <c r="Z158"/>
      <c r="AA158" s="10"/>
      <c r="AB158" s="11"/>
      <c r="AC158" s="10"/>
      <c r="AD158" s="10"/>
      <c r="AE158" s="10"/>
      <c r="CD158" s="918"/>
    </row>
    <row r="159" spans="1:85">
      <c r="A159" s="9"/>
      <c r="B159" s="9"/>
      <c r="C159"/>
      <c r="D159"/>
      <c r="E159"/>
      <c r="F159"/>
      <c r="G159"/>
      <c r="H159"/>
      <c r="I159"/>
      <c r="J159"/>
      <c r="K159"/>
      <c r="L159"/>
      <c r="M159"/>
      <c r="N159"/>
      <c r="O159"/>
      <c r="P159"/>
      <c r="Q159"/>
      <c r="R159"/>
      <c r="S159"/>
      <c r="T159"/>
      <c r="U159"/>
      <c r="V159"/>
      <c r="W159"/>
      <c r="X159"/>
      <c r="Y159"/>
      <c r="Z159"/>
      <c r="AA159" s="10"/>
      <c r="AB159" s="11"/>
      <c r="AC159" s="10"/>
      <c r="AD159" s="10"/>
      <c r="AE159" s="10"/>
      <c r="CD159" s="918"/>
    </row>
    <row r="160" spans="1:85">
      <c r="A160" s="9"/>
      <c r="B160" s="9"/>
      <c r="C160"/>
      <c r="D160"/>
      <c r="E160"/>
      <c r="F160"/>
      <c r="G160"/>
      <c r="H160"/>
      <c r="I160"/>
      <c r="J160"/>
      <c r="K160"/>
      <c r="L160"/>
      <c r="M160"/>
      <c r="N160"/>
      <c r="O160"/>
      <c r="P160"/>
      <c r="Q160"/>
      <c r="R160"/>
      <c r="S160"/>
      <c r="T160"/>
      <c r="U160"/>
      <c r="V160"/>
      <c r="W160"/>
      <c r="X160"/>
      <c r="Y160"/>
      <c r="Z160"/>
      <c r="AA160" s="10"/>
      <c r="AB160" s="11"/>
      <c r="AC160" s="10"/>
      <c r="AD160" s="10"/>
      <c r="AE160" s="10"/>
      <c r="CD160" s="918"/>
    </row>
    <row r="161" spans="1:85">
      <c r="A161" s="9"/>
      <c r="B161" s="9"/>
      <c r="C161"/>
      <c r="D161"/>
      <c r="E161"/>
      <c r="F161"/>
      <c r="G161"/>
      <c r="H161"/>
      <c r="I161"/>
      <c r="J161"/>
      <c r="K161"/>
      <c r="L161"/>
      <c r="M161"/>
      <c r="N161"/>
      <c r="O161"/>
      <c r="P161"/>
      <c r="Q161"/>
      <c r="R161"/>
      <c r="S161"/>
      <c r="T161"/>
      <c r="U161"/>
      <c r="V161"/>
      <c r="W161"/>
      <c r="X161"/>
      <c r="Y161"/>
      <c r="Z161"/>
      <c r="AA161" s="10"/>
      <c r="AB161" s="11"/>
      <c r="AC161" s="10"/>
      <c r="AD161" s="10"/>
      <c r="AE161" s="10"/>
      <c r="CD161" s="918"/>
    </row>
    <row r="162" spans="1:85">
      <c r="A162" s="9"/>
      <c r="B162" s="9"/>
      <c r="C162"/>
      <c r="D162"/>
      <c r="E162"/>
      <c r="F162"/>
      <c r="G162"/>
      <c r="H162"/>
      <c r="I162"/>
      <c r="J162"/>
      <c r="K162"/>
      <c r="L162"/>
      <c r="M162"/>
      <c r="N162"/>
      <c r="O162"/>
      <c r="P162"/>
      <c r="Q162"/>
      <c r="R162"/>
      <c r="S162"/>
      <c r="T162"/>
      <c r="U162"/>
      <c r="V162"/>
      <c r="W162"/>
      <c r="X162"/>
      <c r="Y162"/>
      <c r="Z162"/>
      <c r="AA162" s="10"/>
      <c r="AB162" s="11"/>
      <c r="AC162" s="10"/>
      <c r="AD162" s="10"/>
      <c r="AE162" s="10"/>
      <c r="CD162" s="918"/>
    </row>
    <row r="163" spans="1:85">
      <c r="A163" s="9"/>
      <c r="B163" s="9"/>
      <c r="C163"/>
      <c r="D163"/>
      <c r="E163"/>
      <c r="F163"/>
      <c r="G163"/>
      <c r="H163"/>
      <c r="I163"/>
      <c r="J163"/>
      <c r="K163"/>
      <c r="L163"/>
      <c r="M163"/>
      <c r="N163"/>
      <c r="O163"/>
      <c r="P163"/>
      <c r="Q163"/>
      <c r="R163"/>
      <c r="S163"/>
      <c r="T163"/>
      <c r="U163"/>
      <c r="V163"/>
      <c r="W163"/>
      <c r="X163"/>
      <c r="Y163"/>
      <c r="Z163"/>
      <c r="AA163" s="10"/>
      <c r="AB163" s="11"/>
      <c r="AC163" s="10"/>
      <c r="AD163" s="10"/>
      <c r="AE163" s="10"/>
    </row>
    <row r="164" spans="1:85">
      <c r="A164" s="9"/>
      <c r="B164" s="9"/>
      <c r="C164"/>
      <c r="D164"/>
      <c r="E164"/>
      <c r="F164"/>
      <c r="G164"/>
      <c r="H164"/>
      <c r="I164"/>
      <c r="J164"/>
      <c r="K164"/>
      <c r="L164"/>
      <c r="M164"/>
      <c r="N164"/>
      <c r="O164"/>
      <c r="P164"/>
      <c r="Q164"/>
      <c r="R164"/>
      <c r="S164"/>
      <c r="T164"/>
      <c r="U164"/>
      <c r="V164"/>
      <c r="W164"/>
      <c r="X164"/>
      <c r="Y164"/>
      <c r="Z164"/>
      <c r="AA164" s="10"/>
      <c r="AB164" s="11"/>
      <c r="AC164" s="10"/>
      <c r="AD164" s="10"/>
      <c r="AE164" s="10"/>
      <c r="BW164" s="914"/>
      <c r="BX164" s="914"/>
      <c r="BY164" s="914"/>
      <c r="BZ164" s="914"/>
      <c r="CA164" s="914"/>
      <c r="CC164" s="914"/>
      <c r="CD164" s="914"/>
      <c r="CE164" s="914"/>
      <c r="CF164" s="914"/>
      <c r="CG164" s="914"/>
    </row>
    <row r="165" spans="1:85">
      <c r="A165" s="9"/>
      <c r="B165" s="9"/>
      <c r="C165"/>
      <c r="D165"/>
      <c r="E165"/>
      <c r="F165"/>
      <c r="G165"/>
      <c r="H165"/>
      <c r="I165"/>
      <c r="J165"/>
      <c r="K165"/>
      <c r="L165"/>
      <c r="M165"/>
      <c r="N165"/>
      <c r="O165"/>
      <c r="P165"/>
      <c r="Q165"/>
      <c r="R165"/>
      <c r="S165"/>
      <c r="T165"/>
      <c r="U165"/>
      <c r="V165"/>
      <c r="W165"/>
      <c r="X165"/>
      <c r="Y165"/>
      <c r="Z165"/>
      <c r="AA165" s="10"/>
      <c r="AB165" s="11"/>
      <c r="AC165" s="10"/>
      <c r="AD165" s="10"/>
      <c r="AE165" s="10"/>
      <c r="BX165" s="918"/>
      <c r="CD165" s="918"/>
    </row>
    <row r="166" spans="1:85">
      <c r="A166" s="9"/>
      <c r="B166" s="9"/>
      <c r="C166"/>
      <c r="D166"/>
      <c r="E166"/>
      <c r="F166"/>
      <c r="G166"/>
      <c r="H166"/>
      <c r="I166"/>
      <c r="J166"/>
      <c r="K166"/>
      <c r="L166"/>
      <c r="M166"/>
      <c r="N166"/>
      <c r="O166"/>
      <c r="P166"/>
      <c r="Q166"/>
      <c r="R166"/>
      <c r="S166"/>
      <c r="T166"/>
      <c r="U166"/>
      <c r="V166"/>
      <c r="W166"/>
      <c r="X166"/>
      <c r="Y166"/>
      <c r="Z166"/>
      <c r="AA166" s="10"/>
      <c r="AB166" s="11"/>
      <c r="AC166" s="10"/>
      <c r="AD166" s="10"/>
      <c r="AE166" s="10"/>
      <c r="BX166" s="918"/>
      <c r="CD166" s="918"/>
    </row>
    <row r="167" spans="1:85">
      <c r="A167" s="9"/>
      <c r="B167" s="9"/>
      <c r="C167"/>
      <c r="D167"/>
      <c r="E167"/>
      <c r="F167"/>
      <c r="G167"/>
      <c r="H167"/>
      <c r="I167"/>
      <c r="J167"/>
      <c r="K167"/>
      <c r="L167"/>
      <c r="M167"/>
      <c r="N167"/>
      <c r="O167"/>
      <c r="P167"/>
      <c r="Q167"/>
      <c r="R167"/>
      <c r="S167"/>
      <c r="T167"/>
      <c r="U167"/>
      <c r="V167"/>
      <c r="W167"/>
      <c r="X167"/>
      <c r="Y167"/>
      <c r="Z167"/>
      <c r="AA167" s="10"/>
      <c r="AB167" s="11"/>
      <c r="AC167" s="10"/>
      <c r="AD167" s="10"/>
      <c r="AE167" s="10"/>
      <c r="BX167" s="918"/>
      <c r="CD167" s="918"/>
    </row>
    <row r="168" spans="1:85">
      <c r="A168" s="9"/>
      <c r="B168" s="9"/>
      <c r="C168"/>
      <c r="D168"/>
      <c r="E168"/>
      <c r="F168"/>
      <c r="G168"/>
      <c r="H168"/>
      <c r="I168"/>
      <c r="J168"/>
      <c r="K168"/>
      <c r="L168"/>
      <c r="M168"/>
      <c r="N168"/>
      <c r="O168"/>
      <c r="P168"/>
      <c r="Q168"/>
      <c r="R168"/>
      <c r="S168"/>
      <c r="T168"/>
      <c r="U168"/>
      <c r="V168"/>
      <c r="W168"/>
      <c r="X168"/>
      <c r="Y168"/>
      <c r="Z168"/>
      <c r="AA168" s="10"/>
      <c r="AB168" s="11"/>
      <c r="AC168" s="10"/>
      <c r="AD168" s="10"/>
      <c r="AE168" s="10"/>
      <c r="BX168" s="918"/>
      <c r="CD168" s="918"/>
    </row>
    <row r="169" spans="1:85">
      <c r="A169" s="9"/>
      <c r="B169" s="9"/>
      <c r="C169"/>
      <c r="D169"/>
      <c r="E169"/>
      <c r="F169"/>
      <c r="G169"/>
      <c r="H169"/>
      <c r="I169"/>
      <c r="J169"/>
      <c r="K169"/>
      <c r="L169"/>
      <c r="M169"/>
      <c r="N169"/>
      <c r="O169"/>
      <c r="P169"/>
      <c r="Q169"/>
      <c r="R169"/>
      <c r="S169"/>
      <c r="T169"/>
      <c r="U169"/>
      <c r="V169"/>
      <c r="W169"/>
      <c r="X169"/>
      <c r="Y169"/>
      <c r="Z169"/>
      <c r="AA169" s="10"/>
      <c r="AB169" s="11"/>
      <c r="AC169" s="10"/>
      <c r="AD169" s="10"/>
      <c r="AE169" s="10"/>
      <c r="BX169" s="918"/>
      <c r="CD169" s="918"/>
    </row>
    <row r="170" spans="1:85">
      <c r="A170" s="9"/>
      <c r="B170" s="9"/>
      <c r="C170"/>
      <c r="D170"/>
      <c r="E170"/>
      <c r="F170"/>
      <c r="G170"/>
      <c r="H170"/>
      <c r="I170"/>
      <c r="J170"/>
      <c r="K170"/>
      <c r="L170"/>
      <c r="M170"/>
      <c r="N170"/>
      <c r="O170"/>
      <c r="P170"/>
      <c r="Q170"/>
      <c r="R170"/>
      <c r="S170"/>
      <c r="T170"/>
      <c r="U170"/>
      <c r="V170"/>
      <c r="W170"/>
      <c r="X170"/>
      <c r="Y170"/>
      <c r="Z170"/>
      <c r="AA170" s="10"/>
      <c r="AB170" s="11"/>
      <c r="AC170" s="10"/>
      <c r="AD170" s="10"/>
      <c r="AE170" s="10"/>
      <c r="BX170" s="918"/>
      <c r="CD170" s="918"/>
    </row>
    <row r="171" spans="1:85">
      <c r="A171" s="9"/>
      <c r="B171" s="9"/>
      <c r="C171"/>
      <c r="D171"/>
      <c r="E171"/>
      <c r="F171"/>
      <c r="G171"/>
      <c r="H171"/>
      <c r="I171"/>
      <c r="J171"/>
      <c r="K171"/>
      <c r="L171"/>
      <c r="M171"/>
      <c r="N171"/>
      <c r="O171"/>
      <c r="P171"/>
      <c r="Q171"/>
      <c r="R171"/>
      <c r="S171"/>
      <c r="T171"/>
      <c r="U171"/>
      <c r="V171"/>
      <c r="W171"/>
      <c r="X171"/>
      <c r="Y171"/>
      <c r="Z171"/>
      <c r="AA171" s="10"/>
      <c r="AB171" s="11"/>
      <c r="AC171" s="10"/>
      <c r="AD171" s="10"/>
      <c r="AE171" s="10"/>
    </row>
    <row r="172" spans="1:85">
      <c r="A172" s="9"/>
      <c r="B172" s="9"/>
      <c r="C172"/>
      <c r="D172"/>
      <c r="E172"/>
      <c r="F172"/>
      <c r="G172"/>
      <c r="H172"/>
      <c r="I172"/>
      <c r="J172"/>
      <c r="K172"/>
      <c r="L172"/>
      <c r="M172"/>
      <c r="N172"/>
      <c r="O172"/>
      <c r="P172"/>
      <c r="Q172"/>
      <c r="R172"/>
      <c r="S172"/>
      <c r="T172"/>
      <c r="U172"/>
      <c r="V172"/>
      <c r="W172"/>
      <c r="X172"/>
      <c r="Y172"/>
      <c r="Z172"/>
      <c r="AA172" s="10"/>
      <c r="AB172" s="11"/>
      <c r="AC172" s="10"/>
      <c r="AD172" s="10"/>
      <c r="AE172" s="10"/>
      <c r="BW172" s="914"/>
      <c r="BX172" s="914"/>
      <c r="BY172" s="914"/>
      <c r="BZ172" s="914"/>
      <c r="CA172" s="914"/>
      <c r="CC172" s="914"/>
      <c r="CD172" s="914"/>
      <c r="CE172" s="914"/>
      <c r="CF172" s="914"/>
      <c r="CG172" s="914"/>
    </row>
    <row r="173" spans="1:85">
      <c r="A173" s="9"/>
      <c r="B173" s="9"/>
      <c r="C173"/>
      <c r="D173"/>
      <c r="E173"/>
      <c r="F173"/>
      <c r="G173"/>
      <c r="H173"/>
      <c r="I173"/>
      <c r="J173"/>
      <c r="K173"/>
      <c r="L173"/>
      <c r="M173"/>
      <c r="N173"/>
      <c r="O173"/>
      <c r="P173"/>
      <c r="Q173"/>
      <c r="R173"/>
      <c r="S173"/>
      <c r="T173"/>
      <c r="U173"/>
      <c r="V173"/>
      <c r="W173"/>
      <c r="X173"/>
      <c r="Y173"/>
      <c r="Z173"/>
      <c r="AA173" s="10"/>
      <c r="AB173" s="11"/>
      <c r="AC173" s="10"/>
      <c r="AD173" s="10"/>
      <c r="AE173" s="10"/>
      <c r="BX173" s="918"/>
      <c r="CD173" s="918"/>
    </row>
    <row r="174" spans="1:85">
      <c r="A174" s="9"/>
      <c r="B174" s="9"/>
      <c r="C174"/>
      <c r="D174"/>
      <c r="E174"/>
      <c r="F174"/>
      <c r="G174"/>
      <c r="H174"/>
      <c r="I174"/>
      <c r="J174"/>
      <c r="K174"/>
      <c r="L174"/>
      <c r="M174"/>
      <c r="N174"/>
      <c r="O174"/>
      <c r="P174"/>
      <c r="Q174"/>
      <c r="R174"/>
      <c r="S174"/>
      <c r="T174"/>
      <c r="U174"/>
      <c r="V174"/>
      <c r="W174"/>
      <c r="X174"/>
      <c r="Y174"/>
      <c r="Z174"/>
      <c r="AA174" s="10"/>
      <c r="AB174" s="11"/>
      <c r="AC174" s="10"/>
      <c r="AD174" s="10"/>
      <c r="AE174" s="10"/>
      <c r="BX174" s="918"/>
      <c r="CD174" s="918"/>
    </row>
    <row r="175" spans="1:85">
      <c r="A175" s="9"/>
      <c r="B175" s="9"/>
      <c r="C175"/>
      <c r="D175"/>
      <c r="E175"/>
      <c r="F175"/>
      <c r="G175"/>
      <c r="H175"/>
      <c r="I175"/>
      <c r="J175"/>
      <c r="K175"/>
      <c r="L175"/>
      <c r="M175"/>
      <c r="N175"/>
      <c r="O175"/>
      <c r="P175"/>
      <c r="Q175"/>
      <c r="R175"/>
      <c r="S175"/>
      <c r="T175"/>
      <c r="U175"/>
      <c r="V175"/>
      <c r="W175"/>
      <c r="X175"/>
      <c r="Y175"/>
      <c r="Z175"/>
      <c r="AA175" s="10"/>
      <c r="AB175" s="11"/>
      <c r="AC175" s="10"/>
      <c r="AD175" s="10"/>
      <c r="AE175" s="10"/>
      <c r="BX175" s="918"/>
      <c r="CD175" s="918"/>
    </row>
    <row r="176" spans="1:85">
      <c r="A176" s="9"/>
      <c r="B176" s="9"/>
      <c r="C176"/>
      <c r="D176"/>
      <c r="E176"/>
      <c r="F176"/>
      <c r="G176"/>
      <c r="H176"/>
      <c r="I176"/>
      <c r="J176"/>
      <c r="K176"/>
      <c r="L176"/>
      <c r="M176"/>
      <c r="N176"/>
      <c r="O176"/>
      <c r="P176"/>
      <c r="Q176"/>
      <c r="R176"/>
      <c r="S176"/>
      <c r="T176"/>
      <c r="U176"/>
      <c r="V176"/>
      <c r="W176"/>
      <c r="X176"/>
      <c r="Y176"/>
      <c r="Z176"/>
      <c r="AA176" s="10"/>
      <c r="AB176" s="11"/>
      <c r="AC176" s="10"/>
      <c r="AD176" s="10"/>
      <c r="AE176" s="10"/>
      <c r="BX176" s="918"/>
      <c r="CD176" s="918"/>
    </row>
    <row r="177" spans="1:85">
      <c r="A177" s="9"/>
      <c r="B177" s="9"/>
      <c r="C177"/>
      <c r="D177"/>
      <c r="E177"/>
      <c r="F177"/>
      <c r="G177"/>
      <c r="H177"/>
      <c r="I177"/>
      <c r="J177"/>
      <c r="K177"/>
      <c r="L177"/>
      <c r="M177"/>
      <c r="N177"/>
      <c r="O177"/>
      <c r="P177"/>
      <c r="Q177"/>
      <c r="R177"/>
      <c r="S177"/>
      <c r="T177"/>
      <c r="U177"/>
      <c r="V177"/>
      <c r="W177"/>
      <c r="X177"/>
      <c r="Y177"/>
      <c r="Z177"/>
      <c r="AA177" s="10"/>
      <c r="AB177" s="11"/>
      <c r="AC177" s="10"/>
      <c r="AD177" s="10"/>
      <c r="AE177" s="10"/>
      <c r="BX177" s="918"/>
      <c r="CD177" s="918"/>
    </row>
    <row r="178" spans="1:85">
      <c r="A178" s="9"/>
      <c r="B178" s="9"/>
      <c r="C178"/>
      <c r="D178"/>
      <c r="E178"/>
      <c r="F178"/>
      <c r="G178"/>
      <c r="H178"/>
      <c r="I178"/>
      <c r="J178"/>
      <c r="K178"/>
      <c r="L178"/>
      <c r="M178"/>
      <c r="N178"/>
      <c r="O178"/>
      <c r="P178"/>
      <c r="Q178"/>
      <c r="R178"/>
      <c r="S178"/>
      <c r="T178"/>
      <c r="U178"/>
      <c r="V178"/>
      <c r="W178"/>
      <c r="X178"/>
      <c r="Y178"/>
      <c r="Z178"/>
      <c r="AA178" s="10"/>
      <c r="AB178" s="11"/>
      <c r="AC178" s="10"/>
      <c r="AD178" s="10"/>
      <c r="AE178" s="10"/>
      <c r="BX178" s="918"/>
      <c r="CD178" s="918"/>
    </row>
    <row r="179" spans="1:85">
      <c r="A179" s="9"/>
      <c r="B179" s="9"/>
      <c r="C179"/>
      <c r="D179"/>
      <c r="E179"/>
      <c r="F179"/>
      <c r="G179"/>
      <c r="H179"/>
      <c r="I179"/>
      <c r="J179"/>
      <c r="K179"/>
      <c r="L179"/>
      <c r="M179"/>
      <c r="N179"/>
      <c r="O179"/>
      <c r="P179"/>
      <c r="Q179"/>
      <c r="R179"/>
      <c r="S179"/>
      <c r="T179"/>
      <c r="U179"/>
      <c r="V179"/>
      <c r="W179"/>
      <c r="X179"/>
      <c r="Y179"/>
      <c r="Z179"/>
      <c r="AA179" s="10"/>
      <c r="AB179" s="11"/>
      <c r="AC179" s="10"/>
      <c r="AD179" s="10"/>
      <c r="AE179" s="10"/>
    </row>
    <row r="180" spans="1:85">
      <c r="A180" s="9"/>
      <c r="B180" s="9"/>
      <c r="C180"/>
      <c r="D180"/>
      <c r="E180"/>
      <c r="F180"/>
      <c r="G180"/>
      <c r="H180"/>
      <c r="I180"/>
      <c r="J180"/>
      <c r="K180"/>
      <c r="L180"/>
      <c r="M180"/>
      <c r="N180"/>
      <c r="O180"/>
      <c r="P180"/>
      <c r="Q180"/>
      <c r="R180"/>
      <c r="S180"/>
      <c r="T180"/>
      <c r="U180"/>
      <c r="V180"/>
      <c r="W180"/>
      <c r="X180"/>
      <c r="Y180"/>
      <c r="Z180"/>
      <c r="AA180" s="10"/>
      <c r="AB180" s="11"/>
      <c r="AC180" s="10"/>
      <c r="AD180" s="10"/>
      <c r="AE180" s="10"/>
      <c r="BW180" s="914"/>
      <c r="BX180" s="914"/>
      <c r="BY180" s="914"/>
      <c r="BZ180" s="914"/>
      <c r="CA180" s="914"/>
      <c r="CC180" s="914"/>
      <c r="CD180" s="914"/>
      <c r="CE180" s="914"/>
      <c r="CF180" s="914"/>
      <c r="CG180" s="914"/>
    </row>
    <row r="181" spans="1:85">
      <c r="A181" s="9"/>
      <c r="B181" s="9"/>
      <c r="C181"/>
      <c r="D181"/>
      <c r="E181"/>
      <c r="F181"/>
      <c r="G181"/>
      <c r="H181"/>
      <c r="I181"/>
      <c r="J181"/>
      <c r="K181"/>
      <c r="L181"/>
      <c r="M181"/>
      <c r="N181"/>
      <c r="O181"/>
      <c r="P181"/>
      <c r="Q181"/>
      <c r="R181"/>
      <c r="S181"/>
      <c r="T181"/>
      <c r="U181"/>
      <c r="V181"/>
      <c r="W181"/>
      <c r="X181"/>
      <c r="Y181"/>
      <c r="Z181"/>
      <c r="AA181" s="10"/>
      <c r="AB181" s="11"/>
      <c r="AC181" s="10"/>
      <c r="AD181" s="10"/>
      <c r="AE181" s="10"/>
      <c r="BX181" s="918"/>
      <c r="CD181" s="918"/>
    </row>
    <row r="182" spans="1:85">
      <c r="A182" s="9"/>
      <c r="B182" s="9"/>
      <c r="C182"/>
      <c r="D182"/>
      <c r="E182"/>
      <c r="F182"/>
      <c r="G182"/>
      <c r="H182"/>
      <c r="I182"/>
      <c r="J182"/>
      <c r="K182"/>
      <c r="L182"/>
      <c r="M182"/>
      <c r="N182"/>
      <c r="O182"/>
      <c r="P182"/>
      <c r="Q182"/>
      <c r="R182"/>
      <c r="S182"/>
      <c r="T182"/>
      <c r="U182"/>
      <c r="V182"/>
      <c r="W182"/>
      <c r="X182"/>
      <c r="Y182"/>
      <c r="Z182"/>
      <c r="AA182" s="10"/>
      <c r="AB182" s="11"/>
      <c r="AC182" s="10"/>
      <c r="AD182" s="10"/>
      <c r="AE182" s="10"/>
      <c r="BX182" s="918"/>
      <c r="CD182" s="918"/>
    </row>
    <row r="183" spans="1:85">
      <c r="BX183" s="918"/>
      <c r="CD183" s="918"/>
    </row>
    <row r="184" spans="1:85">
      <c r="BX184" s="918"/>
      <c r="CD184" s="918"/>
    </row>
    <row r="185" spans="1:85">
      <c r="BX185" s="918"/>
      <c r="CD185" s="918"/>
    </row>
    <row r="186" spans="1:85">
      <c r="BX186" s="918"/>
      <c r="CD186" s="918"/>
    </row>
    <row r="187" spans="1:85"/>
    <row r="188" spans="1:85">
      <c r="BW188" s="914"/>
      <c r="BX188" s="914"/>
      <c r="BY188" s="914"/>
      <c r="BZ188" s="914"/>
      <c r="CA188" s="914"/>
      <c r="CC188" s="914"/>
      <c r="CD188" s="914"/>
      <c r="CE188" s="914"/>
      <c r="CF188" s="914"/>
      <c r="CG188" s="914"/>
    </row>
    <row r="189" spans="1:85">
      <c r="BX189" s="918"/>
      <c r="CD189" s="918"/>
    </row>
    <row r="190" spans="1:85">
      <c r="BX190" s="918"/>
      <c r="CD190" s="918"/>
    </row>
    <row r="191" spans="1:85">
      <c r="BX191" s="918"/>
      <c r="CD191" s="918"/>
    </row>
    <row r="192" spans="1:85">
      <c r="BX192" s="918"/>
      <c r="CD192" s="918"/>
    </row>
    <row r="193" spans="75:85">
      <c r="BX193" s="918"/>
      <c r="CD193" s="918"/>
    </row>
    <row r="194" spans="75:85">
      <c r="BX194" s="918"/>
      <c r="CD194" s="918"/>
    </row>
    <row r="195" spans="75:85"/>
    <row r="196" spans="75:85">
      <c r="BW196" s="914"/>
      <c r="BX196" s="914"/>
      <c r="BY196" s="914"/>
      <c r="BZ196" s="914"/>
      <c r="CA196" s="914"/>
      <c r="CC196" s="914"/>
      <c r="CD196" s="914"/>
      <c r="CE196" s="914"/>
      <c r="CF196" s="914"/>
      <c r="CG196" s="914"/>
    </row>
    <row r="197" spans="75:85">
      <c r="BX197" s="918"/>
      <c r="CD197" s="918"/>
    </row>
    <row r="198" spans="75:85">
      <c r="BX198" s="918"/>
      <c r="CD198" s="918"/>
    </row>
    <row r="199" spans="75:85">
      <c r="BX199" s="918"/>
      <c r="CD199" s="918"/>
    </row>
    <row r="200" spans="75:85">
      <c r="BX200" s="918"/>
      <c r="CD200" s="918"/>
    </row>
    <row r="201" spans="75:85">
      <c r="BX201" s="918"/>
      <c r="CD201" s="918"/>
    </row>
    <row r="202" spans="75:85">
      <c r="BX202" s="918"/>
      <c r="CD202" s="918"/>
    </row>
    <row r="203" spans="75:85"/>
    <row r="204" spans="75:85">
      <c r="BW204" s="914"/>
      <c r="BX204" s="914"/>
      <c r="BY204" s="914"/>
      <c r="BZ204" s="914"/>
      <c r="CA204" s="914"/>
      <c r="CC204" s="914"/>
      <c r="CD204" s="914"/>
      <c r="CE204" s="914"/>
      <c r="CF204" s="914"/>
      <c r="CG204" s="914"/>
    </row>
    <row r="205" spans="75:85">
      <c r="BX205" s="918"/>
      <c r="CD205" s="918"/>
    </row>
    <row r="206" spans="75:85">
      <c r="BX206" s="918"/>
      <c r="CD206" s="918"/>
    </row>
    <row r="207" spans="75:85">
      <c r="BX207" s="918"/>
      <c r="CD207" s="918"/>
    </row>
    <row r="208" spans="75:85">
      <c r="BX208" s="918"/>
      <c r="CD208" s="918"/>
    </row>
    <row r="209" spans="76:82">
      <c r="BX209" s="918"/>
      <c r="CD209" s="918"/>
    </row>
    <row r="210" spans="76:82">
      <c r="BX210" s="918"/>
      <c r="CD210" s="918"/>
    </row>
    <row r="211" spans="76:82"/>
    <row r="212" spans="76:82"/>
    <row r="213" spans="76:82"/>
    <row r="214" spans="76:82"/>
    <row r="215" spans="76:82"/>
    <row r="216" spans="76:82"/>
    <row r="217" spans="76:82"/>
  </sheetData>
  <sheetProtection algorithmName="SHA-512" hashValue="DunjCDJGM2ceHwVzvxXWbrk1zq7XjTmFyMVL88Mhpmy+yshPX9BzKjp5YxScYX37fFAl7fBHRD3bMSyoSKQrtA==" saltValue="m5FotslHrV9G5hIJzo4iJA==" spinCount="100000" sheet="1" objects="1" scenarios="1" selectLockedCells="1"/>
  <mergeCells count="32">
    <mergeCell ref="AB52:AD53"/>
    <mergeCell ref="E60:E65"/>
    <mergeCell ref="AB60:AD61"/>
    <mergeCell ref="AB44:AD45"/>
    <mergeCell ref="AB4:AD5"/>
    <mergeCell ref="E4:E9"/>
    <mergeCell ref="E12:E17"/>
    <mergeCell ref="AB12:AD13"/>
    <mergeCell ref="AB20:AD21"/>
    <mergeCell ref="AB28:AD29"/>
    <mergeCell ref="AB36:AD37"/>
    <mergeCell ref="Q97:AA99"/>
    <mergeCell ref="Q100:AA102"/>
    <mergeCell ref="I109:N109"/>
    <mergeCell ref="I97:N97"/>
    <mergeCell ref="I98:N98"/>
    <mergeCell ref="I102:N102"/>
    <mergeCell ref="I101:N101"/>
    <mergeCell ref="I103:N103"/>
    <mergeCell ref="I99:N99"/>
    <mergeCell ref="I105:N105"/>
    <mergeCell ref="I106:N106"/>
    <mergeCell ref="I107:N107"/>
    <mergeCell ref="E86:E87"/>
    <mergeCell ref="E80:E83"/>
    <mergeCell ref="E69:E76"/>
    <mergeCell ref="G1:H1"/>
    <mergeCell ref="E20:E25"/>
    <mergeCell ref="E28:E33"/>
    <mergeCell ref="E36:E41"/>
    <mergeCell ref="E52:E57"/>
    <mergeCell ref="E44:E49"/>
  </mergeCells>
  <phoneticPr fontId="23" type="noConversion"/>
  <conditionalFormatting sqref="K86:L87">
    <cfRule type="expression" dxfId="139" priority="431">
      <formula>K86=""</formula>
    </cfRule>
  </conditionalFormatting>
  <conditionalFormatting sqref="K80:L80">
    <cfRule type="expression" dxfId="138" priority="388">
      <formula>K80=""</formula>
    </cfRule>
  </conditionalFormatting>
  <conditionalFormatting sqref="K81:L81">
    <cfRule type="expression" dxfId="137" priority="355">
      <formula>K81=""</formula>
    </cfRule>
  </conditionalFormatting>
  <conditionalFormatting sqref="K82:L82">
    <cfRule type="expression" dxfId="136" priority="352">
      <formula>K82=""</formula>
    </cfRule>
  </conditionalFormatting>
  <conditionalFormatting sqref="K83:L83">
    <cfRule type="expression" dxfId="135" priority="349">
      <formula>K83=""</formula>
    </cfRule>
  </conditionalFormatting>
  <conditionalFormatting sqref="J80 M80">
    <cfRule type="expression" dxfId="134" priority="328">
      <formula>IF(COUNT($K80:$L80)=2,IF(AND($J80&lt;&gt;$M80,$K80=$L80,$J80&lt;&gt;"",$M80&lt;&gt;""),1=2,IF(AND($J80&lt;&gt;"",$K80=$L80),1=1,IF(AND($J80="",$K80=$L80),1=1,1=2))),1=2)</formula>
    </cfRule>
  </conditionalFormatting>
  <conditionalFormatting sqref="AC6:AC9">
    <cfRule type="expression" dxfId="133" priority="232">
      <formula>IF(AND(VLOOKUP(AB6,$R$6:$AA$9,10,0)&gt;=0,VLOOKUP(AB6,$R$6:$AA$9,10,0)&lt;90),1,0)</formula>
    </cfRule>
  </conditionalFormatting>
  <conditionalFormatting sqref="AB4:AD5">
    <cfRule type="expression" dxfId="132" priority="224">
      <formula>$AA$5&gt;0</formula>
    </cfRule>
  </conditionalFormatting>
  <conditionalFormatting sqref="Q8:Q9">
    <cfRule type="expression" dxfId="131" priority="211">
      <formula>SUM($T$6:$T$9)=12</formula>
    </cfRule>
  </conditionalFormatting>
  <conditionalFormatting sqref="Z8:Z9">
    <cfRule type="expression" dxfId="130" priority="210">
      <formula>SUM($T$6:$T$9)=12</formula>
    </cfRule>
  </conditionalFormatting>
  <conditionalFormatting sqref="R8:Y9">
    <cfRule type="expression" dxfId="129" priority="209">
      <formula>SUM($T$6:$T$9)=12</formula>
    </cfRule>
  </conditionalFormatting>
  <conditionalFormatting sqref="J86:J87 M86:M87">
    <cfRule type="expression" dxfId="128" priority="199">
      <formula>IF(COUNT($K86:$L86)=2,IF(AND($J86&lt;&gt;$M86,$K86=$L86,$J86&lt;&gt;"",$M86&lt;&gt;""),1=2,IF(AND($J86&lt;&gt;"",$K86=$L86),1=1,IF(AND($J86="",$K86=$L86),1=1,1=2))),1=2)</formula>
    </cfRule>
  </conditionalFormatting>
  <conditionalFormatting sqref="AA6:AA9">
    <cfRule type="iconSet" priority="543">
      <iconSet iconSet="3Symbols2" showValue="0">
        <cfvo type="percent" val="0"/>
        <cfvo type="num" val="0"/>
        <cfvo type="num" val="90"/>
      </iconSet>
    </cfRule>
  </conditionalFormatting>
  <conditionalFormatting sqref="O4:O9">
    <cfRule type="iconSet" priority="544">
      <iconSet iconSet="3Symbols2" showValue="0">
        <cfvo type="percent" val="0"/>
        <cfvo type="num" val="0.5"/>
        <cfvo type="num" val="1"/>
      </iconSet>
    </cfRule>
  </conditionalFormatting>
  <conditionalFormatting sqref="K12:L12">
    <cfRule type="expression" dxfId="127" priority="193">
      <formula>K12=""</formula>
    </cfRule>
  </conditionalFormatting>
  <conditionalFormatting sqref="K13:L17">
    <cfRule type="expression" dxfId="126" priority="192">
      <formula>K13=""</formula>
    </cfRule>
  </conditionalFormatting>
  <conditionalFormatting sqref="AC14:AC17">
    <cfRule type="expression" dxfId="125" priority="188">
      <formula>IF(AND(VLOOKUP(AB14,$R$14:$AA$17,10,0)&gt;=0,VLOOKUP(AB14,$R$14:$AA$17,10,0)&lt;90),1,0)</formula>
    </cfRule>
  </conditionalFormatting>
  <conditionalFormatting sqref="AB12:AD13">
    <cfRule type="expression" dxfId="124" priority="187">
      <formula>$AA$13&gt;0</formula>
    </cfRule>
  </conditionalFormatting>
  <conditionalFormatting sqref="R16:Y17">
    <cfRule type="expression" dxfId="123" priority="179">
      <formula>SUM($T$14:$T$17)=12</formula>
    </cfRule>
  </conditionalFormatting>
  <conditionalFormatting sqref="AA14:AA17">
    <cfRule type="iconSet" priority="195">
      <iconSet iconSet="3Symbols2" showValue="0">
        <cfvo type="percent" val="0"/>
        <cfvo type="num" val="0"/>
        <cfvo type="num" val="90"/>
      </iconSet>
    </cfRule>
  </conditionalFormatting>
  <conditionalFormatting sqref="O12:O17">
    <cfRule type="iconSet" priority="196">
      <iconSet iconSet="3Symbols2" showValue="0">
        <cfvo type="percent" val="0"/>
        <cfvo type="num" val="0.5"/>
        <cfvo type="num" val="1"/>
      </iconSet>
    </cfRule>
  </conditionalFormatting>
  <conditionalFormatting sqref="K20:L20">
    <cfRule type="expression" dxfId="122" priority="175">
      <formula>K20=""</formula>
    </cfRule>
  </conditionalFormatting>
  <conditionalFormatting sqref="K21:L25">
    <cfRule type="expression" dxfId="121" priority="174">
      <formula>K21=""</formula>
    </cfRule>
  </conditionalFormatting>
  <conditionalFormatting sqref="AC22:AC25">
    <cfRule type="expression" dxfId="120" priority="170">
      <formula>IF(AND(VLOOKUP(AB22,$R$22:$AA$25,10,0)&gt;=0,VLOOKUP(AB22,$R$22:$AA$25,10,0)&lt;90),1,0)</formula>
    </cfRule>
  </conditionalFormatting>
  <conditionalFormatting sqref="AB20:AD21">
    <cfRule type="expression" dxfId="119" priority="169">
      <formula>$AA$21&gt;0</formula>
    </cfRule>
  </conditionalFormatting>
  <conditionalFormatting sqref="Q24:Q25">
    <cfRule type="expression" dxfId="118" priority="163">
      <formula>SUM($T$22:$T$25)=12</formula>
    </cfRule>
  </conditionalFormatting>
  <conditionalFormatting sqref="Z24:Z25">
    <cfRule type="expression" dxfId="117" priority="162">
      <formula>SUM($T$22:$T$25)=12</formula>
    </cfRule>
  </conditionalFormatting>
  <conditionalFormatting sqref="R24:Y25">
    <cfRule type="expression" dxfId="116" priority="161">
      <formula>SUM($T$22:$T$25)=12</formula>
    </cfRule>
  </conditionalFormatting>
  <conditionalFormatting sqref="O20:O25">
    <cfRule type="iconSet" priority="178">
      <iconSet iconSet="3Symbols2" showValue="0">
        <cfvo type="percent" val="0"/>
        <cfvo type="num" val="0.5"/>
        <cfvo type="num" val="1"/>
      </iconSet>
    </cfRule>
  </conditionalFormatting>
  <conditionalFormatting sqref="J90 M90">
    <cfRule type="expression" dxfId="115" priority="146">
      <formula>IF(COUNT($K90:$L90)=2,IF(AND($J90&lt;&gt;$M90,$K90=$L90,$J90&lt;&gt;"",$M90&lt;&gt;""),1=2,IF(AND($J90&lt;&gt;"",$K90=$L90),1=1,IF(AND($J90="",$K90=$L90),1=1,1=2))),1=2)</formula>
    </cfRule>
  </conditionalFormatting>
  <conditionalFormatting sqref="K90:L90">
    <cfRule type="expression" dxfId="114" priority="144">
      <formula>K90=""</formula>
    </cfRule>
  </conditionalFormatting>
  <conditionalFormatting sqref="O90">
    <cfRule type="iconSet" priority="145">
      <iconSet iconSet="3Symbols2" showValue="0">
        <cfvo type="percent" val="0"/>
        <cfvo type="num" val="0.5"/>
        <cfvo type="num" val="1"/>
      </iconSet>
    </cfRule>
  </conditionalFormatting>
  <conditionalFormatting sqref="O97:O98">
    <cfRule type="iconSet" priority="141">
      <iconSet iconSet="3Symbols2" showValue="0">
        <cfvo type="percent" val="0"/>
        <cfvo type="num" val="0.5"/>
        <cfvo type="num" val="1"/>
      </iconSet>
    </cfRule>
  </conditionalFormatting>
  <conditionalFormatting sqref="O101:O103">
    <cfRule type="iconSet" priority="140">
      <iconSet iconSet="3Symbols2" showValue="0">
        <cfvo type="percent" val="0"/>
        <cfvo type="num" val="0.5"/>
        <cfvo type="num" val="1"/>
      </iconSet>
    </cfRule>
  </conditionalFormatting>
  <conditionalFormatting sqref="O109">
    <cfRule type="iconSet" priority="138">
      <iconSet iconSet="3Symbols2" showValue="0">
        <cfvo type="percent" val="0"/>
        <cfvo type="num" val="0.5"/>
        <cfvo type="num" val="1"/>
      </iconSet>
    </cfRule>
  </conditionalFormatting>
  <conditionalFormatting sqref="Q97:AA102">
    <cfRule type="expression" dxfId="113" priority="136">
      <formula>IF($Q$97="PORRA COMPLETA:",1,0)</formula>
    </cfRule>
  </conditionalFormatting>
  <conditionalFormatting sqref="J83">
    <cfRule type="expression" dxfId="112" priority="122">
      <formula>IF(COUNT($K83:$L83)=2,IF(AND($J83&lt;&gt;$M83,$K83=$L83,$J83&lt;&gt;"",$M83&lt;&gt;""),1=2,IF(AND($J83&lt;&gt;"",$K83=$L83),1=1,IF(AND($J83="",$K83=$L83),1=1,1=2))),1=2)</formula>
    </cfRule>
  </conditionalFormatting>
  <conditionalFormatting sqref="M83">
    <cfRule type="expression" dxfId="111" priority="121">
      <formula>IF(COUNT($K83:$L83)=2,IF(AND($J83&lt;&gt;$M83,$K83=$L83,$J83&lt;&gt;"",$M83&lt;&gt;""),1=2,IF(AND($J83&lt;&gt;"",$K83=$L83),1=1,IF(AND($J83="",$K83=$L83),1=1,1=2))),1=2)</formula>
    </cfRule>
  </conditionalFormatting>
  <conditionalFormatting sqref="J81">
    <cfRule type="expression" dxfId="110" priority="120">
      <formula>IF(COUNT($K81:$L81)=2,IF(AND($J81&lt;&gt;$M81,$K81=$L81,$J81&lt;&gt;"",$M81&lt;&gt;""),1=2,IF(AND($J81&lt;&gt;"",$K81=$L81),1=1,IF(AND($J81="",$K81=$L81),1=1,1=2))),1=2)</formula>
    </cfRule>
  </conditionalFormatting>
  <conditionalFormatting sqref="M81">
    <cfRule type="expression" dxfId="109" priority="119">
      <formula>IF(COUNT($K81:$L81)=2,IF(AND($J81&lt;&gt;$M81,$K81=$L81,$J81&lt;&gt;"",$M81&lt;&gt;""),1=2,IF(AND($J81&lt;&gt;"",$K81=$L81),1=1,IF(AND($J81="",$K81=$L81),1=1,1=2))),1=2)</formula>
    </cfRule>
  </conditionalFormatting>
  <conditionalFormatting sqref="J82">
    <cfRule type="expression" dxfId="108" priority="118">
      <formula>IF(COUNT($K82:$L82)=2,IF(AND($J82&lt;&gt;$M82,$K82=$L82,$J82&lt;&gt;"",$M82&lt;&gt;""),1=2,IF(AND($J82&lt;&gt;"",$K82=$L82),1=1,IF(AND($J82="",$K82=$L82),1=1,1=2))),1=2)</formula>
    </cfRule>
  </conditionalFormatting>
  <conditionalFormatting sqref="M82">
    <cfRule type="expression" dxfId="107" priority="117">
      <formula>IF(COUNT($K82:$L82)=2,IF(AND($J82&lt;&gt;$M82,$K82=$L82,$J82&lt;&gt;"",$M82&lt;&gt;""),1=2,IF(AND($J82&lt;&gt;"",$K82=$L82),1=1,IF(AND($J82="",$K82=$L82),1=1,1=2))),1=2)</formula>
    </cfRule>
  </conditionalFormatting>
  <conditionalFormatting sqref="AC30:AC33">
    <cfRule type="expression" dxfId="106" priority="112">
      <formula>IF(AND(VLOOKUP(AB30,$R$30:$AA$33,10,0)&gt;=0,VLOOKUP(AB30,$R$30:$AA$33,10,0)&lt;90),1,0)</formula>
    </cfRule>
  </conditionalFormatting>
  <conditionalFormatting sqref="AB28:AD29">
    <cfRule type="expression" dxfId="105" priority="111">
      <formula>$AA$29&gt;0</formula>
    </cfRule>
  </conditionalFormatting>
  <conditionalFormatting sqref="Q32:Q33">
    <cfRule type="expression" dxfId="104" priority="107">
      <formula>SUM($T$30:$T$33)=12</formula>
    </cfRule>
  </conditionalFormatting>
  <conditionalFormatting sqref="Z32:Z33">
    <cfRule type="expression" dxfId="103" priority="106">
      <formula>SUM($T$30:$T$33)=12</formula>
    </cfRule>
  </conditionalFormatting>
  <conditionalFormatting sqref="R32:Y33">
    <cfRule type="expression" dxfId="102" priority="105">
      <formula>SUM($T$30:$T$33)=12</formula>
    </cfRule>
  </conditionalFormatting>
  <conditionalFormatting sqref="AA30:AA33">
    <cfRule type="iconSet" priority="115">
      <iconSet iconSet="3Symbols2" showValue="0">
        <cfvo type="percent" val="0"/>
        <cfvo type="num" val="0"/>
        <cfvo type="num" val="90"/>
      </iconSet>
    </cfRule>
  </conditionalFormatting>
  <conditionalFormatting sqref="O28:O33">
    <cfRule type="iconSet" priority="116">
      <iconSet iconSet="3Symbols2" showValue="0">
        <cfvo type="percent" val="0"/>
        <cfvo type="num" val="0.5"/>
        <cfvo type="num" val="1"/>
      </iconSet>
    </cfRule>
  </conditionalFormatting>
  <conditionalFormatting sqref="AC38:AC41">
    <cfRule type="expression" dxfId="101" priority="100">
      <formula>IF(AND(VLOOKUP(AB38,$R$38:$AA$41,10,0)&gt;=0,VLOOKUP(AB38,$R$38:$AA$41,10,0)&lt;90),1,0)</formula>
    </cfRule>
  </conditionalFormatting>
  <conditionalFormatting sqref="AB36:AD37">
    <cfRule type="expression" dxfId="100" priority="99">
      <formula>$AA$37&gt;0</formula>
    </cfRule>
  </conditionalFormatting>
  <conditionalFormatting sqref="Q40:Q41">
    <cfRule type="expression" dxfId="99" priority="95">
      <formula>SUM($T$38:$T$41)=12</formula>
    </cfRule>
  </conditionalFormatting>
  <conditionalFormatting sqref="Z40:Z41">
    <cfRule type="expression" dxfId="98" priority="94">
      <formula>SUM($T$38:$T$41)=12</formula>
    </cfRule>
  </conditionalFormatting>
  <conditionalFormatting sqref="R40:Y41">
    <cfRule type="expression" dxfId="97" priority="93">
      <formula>SUM($T$38:$T$41)=12</formula>
    </cfRule>
  </conditionalFormatting>
  <conditionalFormatting sqref="AA38:AA41">
    <cfRule type="iconSet" priority="103">
      <iconSet iconSet="3Symbols2" showValue="0">
        <cfvo type="percent" val="0"/>
        <cfvo type="num" val="0"/>
        <cfvo type="num" val="90"/>
      </iconSet>
    </cfRule>
  </conditionalFormatting>
  <conditionalFormatting sqref="O36:O41">
    <cfRule type="iconSet" priority="104">
      <iconSet iconSet="3Symbols2" showValue="0">
        <cfvo type="percent" val="0"/>
        <cfvo type="num" val="0.5"/>
        <cfvo type="num" val="1"/>
      </iconSet>
    </cfRule>
  </conditionalFormatting>
  <conditionalFormatting sqref="AC46:AC49">
    <cfRule type="expression" dxfId="96" priority="88">
      <formula>IF(AND(VLOOKUP(AB46,$R$46:$AA$49,10,0)&gt;=0,VLOOKUP(AB46,$R$46:$AA$49,10,0)&lt;90),1,0)</formula>
    </cfRule>
  </conditionalFormatting>
  <conditionalFormatting sqref="AB44:AD45">
    <cfRule type="expression" dxfId="95" priority="87">
      <formula>$AA$45&gt;0</formula>
    </cfRule>
  </conditionalFormatting>
  <conditionalFormatting sqref="Q48:Q49">
    <cfRule type="expression" dxfId="94" priority="83">
      <formula>SUM($T$46:$T$49)=12</formula>
    </cfRule>
  </conditionalFormatting>
  <conditionalFormatting sqref="Z48:Z49">
    <cfRule type="expression" dxfId="93" priority="82">
      <formula>SUM($T$46:$T$49)=12</formula>
    </cfRule>
  </conditionalFormatting>
  <conditionalFormatting sqref="R48:Y49">
    <cfRule type="expression" dxfId="92" priority="81">
      <formula>SUM($T$46:$T$49)=12</formula>
    </cfRule>
  </conditionalFormatting>
  <conditionalFormatting sqref="AA46:AA49">
    <cfRule type="iconSet" priority="91">
      <iconSet iconSet="3Symbols2" showValue="0">
        <cfvo type="percent" val="0"/>
        <cfvo type="num" val="0"/>
        <cfvo type="num" val="90"/>
      </iconSet>
    </cfRule>
  </conditionalFormatting>
  <conditionalFormatting sqref="O44:O49">
    <cfRule type="iconSet" priority="92">
      <iconSet iconSet="3Symbols2" showValue="0">
        <cfvo type="percent" val="0"/>
        <cfvo type="num" val="0.5"/>
        <cfvo type="num" val="1"/>
      </iconSet>
    </cfRule>
  </conditionalFormatting>
  <conditionalFormatting sqref="J69">
    <cfRule type="expression" dxfId="91" priority="80">
      <formula>IF(COUNT($K69:$L69)=2,IF(AND($J69&lt;&gt;$M69,$K69=$L69,$J69&lt;&gt;"",$M69&lt;&gt;""),1=2,IF(AND($J69&lt;&gt;"",$K69=$L69),1=1,IF(AND($J69="",$K69=$L69),1=1,1=2))),1=2)</formula>
    </cfRule>
  </conditionalFormatting>
  <conditionalFormatting sqref="J72">
    <cfRule type="expression" dxfId="90" priority="79">
      <formula>IF(COUNT($K72:$L72)=2,IF(AND($J72&lt;&gt;$M72,$K72=$L72,$J72&lt;&gt;"",$M72&lt;&gt;""),1=2,IF(AND($J72&lt;&gt;"",$K72=$L72),1=1,IF(AND($J72="",$K72=$L72),1=1,1=2))),1=2)</formula>
    </cfRule>
  </conditionalFormatting>
  <conditionalFormatting sqref="J70">
    <cfRule type="expression" dxfId="89" priority="78">
      <formula>IF(COUNT($K70:$L70)=2,IF(AND($J70&lt;&gt;$M70,$K70=$L70,$J70&lt;&gt;"",$M70&lt;&gt;""),1=2,IF(AND($J70&lt;&gt;"",$K70=$L70),1=1,IF(AND($J70="",$K70=$L70),1=1,1=2))),1=2)</formula>
    </cfRule>
  </conditionalFormatting>
  <conditionalFormatting sqref="J71">
    <cfRule type="expression" dxfId="88" priority="77">
      <formula>IF(COUNT($K71:$L71)=2,IF(AND($J71&lt;&gt;$M71,$K71=$L71,$J71&lt;&gt;"",$M71&lt;&gt;""),1=2,IF(AND($J71&lt;&gt;"",$K71=$L71),1=1,IF(AND($J71="",$K71=$L71),1=1,1=2))),1=2)</formula>
    </cfRule>
  </conditionalFormatting>
  <conditionalFormatting sqref="J73">
    <cfRule type="expression" dxfId="87" priority="76">
      <formula>IF(COUNT($K73:$L73)=2,IF(AND($J73&lt;&gt;$M73,$K73=$L73,$J73&lt;&gt;"",$M73&lt;&gt;""),1=2,IF(AND($J73&lt;&gt;"",$K73=$L73),1=1,IF(AND($J73="",$K73=$L73),1=1,1=2))),1=2)</formula>
    </cfRule>
  </conditionalFormatting>
  <conditionalFormatting sqref="J76">
    <cfRule type="expression" dxfId="86" priority="75">
      <formula>IF(COUNT($K76:$L76)=2,IF(AND($J76&lt;&gt;$M76,$K76=$L76,$J76&lt;&gt;"",$M76&lt;&gt;""),1=2,IF(AND($J76&lt;&gt;"",$K76=$L76),1=1,IF(AND($J76="",$K76=$L76),1=1,1=2))),1=2)</formula>
    </cfRule>
  </conditionalFormatting>
  <conditionalFormatting sqref="J74">
    <cfRule type="expression" dxfId="85" priority="74">
      <formula>IF(COUNT($K74:$L74)=2,IF(AND($J74&lt;&gt;$M74,$K74=$L74,$J74&lt;&gt;"",$M74&lt;&gt;""),1=2,IF(AND($J74&lt;&gt;"",$K74=$L74),1=1,IF(AND($J74="",$K74=$L74),1=1,1=2))),1=2)</formula>
    </cfRule>
  </conditionalFormatting>
  <conditionalFormatting sqref="J75">
    <cfRule type="expression" dxfId="84" priority="73">
      <formula>IF(COUNT($K75:$L75)=2,IF(AND($J75&lt;&gt;$M75,$K75=$L75,$J75&lt;&gt;"",$M75&lt;&gt;""),1=2,IF(AND($J75&lt;&gt;"",$K75=$L75),1=1,IF(AND($J75="",$K75=$L75),1=1,1=2))),1=2)</formula>
    </cfRule>
  </conditionalFormatting>
  <conditionalFormatting sqref="M69">
    <cfRule type="expression" dxfId="83" priority="72">
      <formula>IF(COUNT($K69:$L69)=2,IF(AND($J69&lt;&gt;$M69,$K69=$L69,$J69&lt;&gt;"",$M69&lt;&gt;""),1=2,IF(AND($J69&lt;&gt;"",$K69=$L69),1=1,IF(AND($J69="",$K69=$L69),1=1,1=2))),1=2)</formula>
    </cfRule>
  </conditionalFormatting>
  <conditionalFormatting sqref="M72">
    <cfRule type="expression" dxfId="82" priority="71">
      <formula>IF(COUNT($K72:$L72)=2,IF(AND($J72&lt;&gt;$M72,$K72=$L72,$J72&lt;&gt;"",$M72&lt;&gt;""),1=2,IF(AND($J72&lt;&gt;"",$K72=$L72),1=1,IF(AND($J72="",$K72=$L72),1=1,1=2))),1=2)</formula>
    </cfRule>
  </conditionalFormatting>
  <conditionalFormatting sqref="M70">
    <cfRule type="expression" dxfId="81" priority="70">
      <formula>IF(COUNT($K70:$L70)=2,IF(AND($J70&lt;&gt;$M70,$K70=$L70,$J70&lt;&gt;"",$M70&lt;&gt;""),1=2,IF(AND($J70&lt;&gt;"",$K70=$L70),1=1,IF(AND($J70="",$K70=$L70),1=1,1=2))),1=2)</formula>
    </cfRule>
  </conditionalFormatting>
  <conditionalFormatting sqref="M71">
    <cfRule type="expression" dxfId="80" priority="69">
      <formula>IF(COUNT($K71:$L71)=2,IF(AND($J71&lt;&gt;$M71,$K71=$L71,$J71&lt;&gt;"",$M71&lt;&gt;""),1=2,IF(AND($J71&lt;&gt;"",$K71=$L71),1=1,IF(AND($J71="",$K71=$L71),1=1,1=2))),1=2)</formula>
    </cfRule>
  </conditionalFormatting>
  <conditionalFormatting sqref="M73">
    <cfRule type="expression" dxfId="79" priority="68">
      <formula>IF(COUNT($K73:$L73)=2,IF(AND($J73&lt;&gt;$M73,$K73=$L73,$J73&lt;&gt;"",$M73&lt;&gt;""),1=2,IF(AND($J73&lt;&gt;"",$K73=$L73),1=1,IF(AND($J73="",$K73=$L73),1=1,1=2))),1=2)</formula>
    </cfRule>
  </conditionalFormatting>
  <conditionalFormatting sqref="M76">
    <cfRule type="expression" dxfId="78" priority="67">
      <formula>IF(COUNT($K76:$L76)=2,IF(AND($J76&lt;&gt;$M76,$K76=$L76,$J76&lt;&gt;"",$M76&lt;&gt;""),1=2,IF(AND($J76&lt;&gt;"",$K76=$L76),1=1,IF(AND($J76="",$K76=$L76),1=1,1=2))),1=2)</formula>
    </cfRule>
  </conditionalFormatting>
  <conditionalFormatting sqref="M74">
    <cfRule type="expression" dxfId="77" priority="66">
      <formula>IF(COUNT($K74:$L74)=2,IF(AND($J74&lt;&gt;$M74,$K74=$L74,$J74&lt;&gt;"",$M74&lt;&gt;""),1=2,IF(AND($J74&lt;&gt;"",$K74=$L74),1=1,IF(AND($J74="",$K74=$L74),1=1,1=2))),1=2)</formula>
    </cfRule>
  </conditionalFormatting>
  <conditionalFormatting sqref="M75">
    <cfRule type="expression" dxfId="76" priority="65">
      <formula>IF(COUNT($K75:$L75)=2,IF(AND($J75&lt;&gt;$M75,$K75=$L75,$J75&lt;&gt;"",$M75&lt;&gt;""),1=2,IF(AND($J75&lt;&gt;"",$K75=$L75),1=1,IF(AND($J75="",$K75=$L75),1=1,1=2))),1=2)</formula>
    </cfRule>
  </conditionalFormatting>
  <conditionalFormatting sqref="K69:L69">
    <cfRule type="expression" dxfId="75" priority="62">
      <formula>K69=""</formula>
    </cfRule>
  </conditionalFormatting>
  <conditionalFormatting sqref="K70:L70">
    <cfRule type="expression" dxfId="74" priority="61">
      <formula>K70=""</formula>
    </cfRule>
  </conditionalFormatting>
  <conditionalFormatting sqref="K74:L74">
    <cfRule type="expression" dxfId="73" priority="57">
      <formula>K74=""</formula>
    </cfRule>
  </conditionalFormatting>
  <conditionalFormatting sqref="K75:L75">
    <cfRule type="expression" dxfId="72" priority="56">
      <formula>K75=""</formula>
    </cfRule>
  </conditionalFormatting>
  <conditionalFormatting sqref="K76:L76">
    <cfRule type="expression" dxfId="71" priority="55">
      <formula>K76=""</formula>
    </cfRule>
  </conditionalFormatting>
  <conditionalFormatting sqref="K71">
    <cfRule type="expression" dxfId="70" priority="54">
      <formula>K71=""</formula>
    </cfRule>
  </conditionalFormatting>
  <conditionalFormatting sqref="K72">
    <cfRule type="expression" dxfId="69" priority="53">
      <formula>K72=""</formula>
    </cfRule>
  </conditionalFormatting>
  <conditionalFormatting sqref="K73">
    <cfRule type="expression" dxfId="68" priority="52">
      <formula>K73=""</formula>
    </cfRule>
  </conditionalFormatting>
  <conditionalFormatting sqref="L71">
    <cfRule type="expression" dxfId="67" priority="51">
      <formula>L71=""</formula>
    </cfRule>
  </conditionalFormatting>
  <conditionalFormatting sqref="L72">
    <cfRule type="expression" dxfId="66" priority="50">
      <formula>L72=""</formula>
    </cfRule>
  </conditionalFormatting>
  <conditionalFormatting sqref="L73">
    <cfRule type="expression" dxfId="65" priority="49">
      <formula>L73=""</formula>
    </cfRule>
  </conditionalFormatting>
  <conditionalFormatting sqref="K28:L28">
    <cfRule type="expression" dxfId="64" priority="45">
      <formula>K28=""</formula>
    </cfRule>
  </conditionalFormatting>
  <conditionalFormatting sqref="K29:L33">
    <cfRule type="expression" dxfId="63" priority="44">
      <formula>K29=""</formula>
    </cfRule>
  </conditionalFormatting>
  <conditionalFormatting sqref="K36:L36">
    <cfRule type="expression" dxfId="62" priority="43">
      <formula>K36=""</formula>
    </cfRule>
  </conditionalFormatting>
  <conditionalFormatting sqref="K37:L41">
    <cfRule type="expression" dxfId="61" priority="42">
      <formula>K37=""</formula>
    </cfRule>
  </conditionalFormatting>
  <conditionalFormatting sqref="K44:L44">
    <cfRule type="expression" dxfId="60" priority="41">
      <formula>K44=""</formula>
    </cfRule>
  </conditionalFormatting>
  <conditionalFormatting sqref="K45:L49">
    <cfRule type="expression" dxfId="59" priority="40">
      <formula>K45=""</formula>
    </cfRule>
  </conditionalFormatting>
  <conditionalFormatting sqref="EM55:FG55 FO55:CMH55">
    <cfRule type="expression" dxfId="58" priority="36">
      <formula>IF(EM$55=6,1,0)</formula>
    </cfRule>
  </conditionalFormatting>
  <conditionalFormatting sqref="O80:O83 O86:O87">
    <cfRule type="iconSet" priority="31">
      <iconSet iconSet="3Symbols2" showValue="0">
        <cfvo type="percent" val="0"/>
        <cfvo type="num" val="0.5"/>
        <cfvo type="num" val="1"/>
      </iconSet>
    </cfRule>
  </conditionalFormatting>
  <conditionalFormatting sqref="O69:O76">
    <cfRule type="iconSet" priority="29">
      <iconSet iconSet="3Symbols2" showValue="0">
        <cfvo type="percent" val="0"/>
        <cfvo type="num" val="0.5"/>
        <cfvo type="num" val="1"/>
      </iconSet>
    </cfRule>
  </conditionalFormatting>
  <conditionalFormatting sqref="O77">
    <cfRule type="iconSet" priority="32">
      <iconSet iconSet="3Symbols2" showValue="0">
        <cfvo type="percent" val="0"/>
        <cfvo type="num" val="0"/>
        <cfvo type="num" val="90"/>
      </iconSet>
    </cfRule>
  </conditionalFormatting>
  <conditionalFormatting sqref="AA22:AA25">
    <cfRule type="iconSet" priority="28">
      <iconSet iconSet="3Symbols2" showValue="0">
        <cfvo type="percent" val="0"/>
        <cfvo type="num" val="0"/>
        <cfvo type="num" val="90"/>
      </iconSet>
    </cfRule>
  </conditionalFormatting>
  <conditionalFormatting sqref="K4:L4">
    <cfRule type="expression" dxfId="57" priority="27">
      <formula>K4=""</formula>
    </cfRule>
  </conditionalFormatting>
  <conditionalFormatting sqref="K5:L9">
    <cfRule type="expression" dxfId="56" priority="26">
      <formula>K5=""</formula>
    </cfRule>
  </conditionalFormatting>
  <conditionalFormatting sqref="AC54:AC57">
    <cfRule type="expression" dxfId="55" priority="22">
      <formula>IF(AND(VLOOKUP(AB54,$R$54:$AA$57,10,0)&gt;=0,VLOOKUP(AB54,$R$54:$AA$57,10,0)&lt;90),1,0)</formula>
    </cfRule>
  </conditionalFormatting>
  <conditionalFormatting sqref="AB52:AD53">
    <cfRule type="expression" dxfId="54" priority="21">
      <formula>$AA$53&gt;0</formula>
    </cfRule>
  </conditionalFormatting>
  <conditionalFormatting sqref="Q56:Q57">
    <cfRule type="expression" dxfId="53" priority="20">
      <formula>SUM($T$54:$T$57)=12</formula>
    </cfRule>
  </conditionalFormatting>
  <conditionalFormatting sqref="Z56:Z57">
    <cfRule type="expression" dxfId="52" priority="19">
      <formula>SUM($T$54:$T$57)=12</formula>
    </cfRule>
  </conditionalFormatting>
  <conditionalFormatting sqref="R56:Y57">
    <cfRule type="expression" dxfId="51" priority="18">
      <formula>SUM($T$54:$T$57)=12</formula>
    </cfRule>
  </conditionalFormatting>
  <conditionalFormatting sqref="AA54:AA57">
    <cfRule type="iconSet" priority="23">
      <iconSet iconSet="3Symbols2" showValue="0">
        <cfvo type="percent" val="0"/>
        <cfvo type="num" val="0"/>
        <cfvo type="num" val="90"/>
      </iconSet>
    </cfRule>
  </conditionalFormatting>
  <conditionalFormatting sqref="O52:O57">
    <cfRule type="iconSet" priority="24">
      <iconSet iconSet="3Symbols2" showValue="0">
        <cfvo type="percent" val="0"/>
        <cfvo type="num" val="0.5"/>
        <cfvo type="num" val="1"/>
      </iconSet>
    </cfRule>
  </conditionalFormatting>
  <conditionalFormatting sqref="K52:L52">
    <cfRule type="expression" dxfId="50" priority="17">
      <formula>K52=""</formula>
    </cfRule>
  </conditionalFormatting>
  <conditionalFormatting sqref="K53:L57">
    <cfRule type="expression" dxfId="49" priority="16">
      <formula>K53=""</formula>
    </cfRule>
  </conditionalFormatting>
  <conditionalFormatting sqref="AC62:AC65">
    <cfRule type="expression" dxfId="48" priority="12">
      <formula>IF(AND(VLOOKUP(AB62,$R$62:$AA$65,10,0)&gt;=0,VLOOKUP(AB62,$R$62:$AA$65,10,0)&lt;90),1,0)</formula>
    </cfRule>
  </conditionalFormatting>
  <conditionalFormatting sqref="AB60:AD61">
    <cfRule type="expression" dxfId="47" priority="11">
      <formula>$AA$61&gt;0</formula>
    </cfRule>
  </conditionalFormatting>
  <conditionalFormatting sqref="Q64:Q65">
    <cfRule type="expression" dxfId="46" priority="10">
      <formula>SUM($T$62:$T$65)=12</formula>
    </cfRule>
  </conditionalFormatting>
  <conditionalFormatting sqref="Z64:Z65">
    <cfRule type="expression" dxfId="45" priority="9">
      <formula>SUM($T$62:$T$65)=12</formula>
    </cfRule>
  </conditionalFormatting>
  <conditionalFormatting sqref="R64:Y65">
    <cfRule type="expression" dxfId="44" priority="8">
      <formula>SUM($T$62:$T$65)=12</formula>
    </cfRule>
  </conditionalFormatting>
  <conditionalFormatting sqref="AA62:AA65">
    <cfRule type="iconSet" priority="13">
      <iconSet iconSet="3Symbols2" showValue="0">
        <cfvo type="percent" val="0"/>
        <cfvo type="num" val="0"/>
        <cfvo type="num" val="90"/>
      </iconSet>
    </cfRule>
  </conditionalFormatting>
  <conditionalFormatting sqref="O60:O65">
    <cfRule type="iconSet" priority="14">
      <iconSet iconSet="3Symbols2" showValue="0">
        <cfvo type="percent" val="0"/>
        <cfvo type="num" val="0.5"/>
        <cfvo type="num" val="1"/>
      </iconSet>
    </cfRule>
  </conditionalFormatting>
  <conditionalFormatting sqref="K60:L60">
    <cfRule type="expression" dxfId="43" priority="7">
      <formula>K60=""</formula>
    </cfRule>
  </conditionalFormatting>
  <conditionalFormatting sqref="K61:L65">
    <cfRule type="expression" dxfId="42" priority="6">
      <formula>K61=""</formula>
    </cfRule>
  </conditionalFormatting>
  <conditionalFormatting sqref="J93 M93">
    <cfRule type="expression" dxfId="41" priority="5">
      <formula>IF(COUNT($K93:$L93)=2,IF(AND($J93&lt;&gt;$M93,$K93=$L93,$J93&lt;&gt;"",$M93&lt;&gt;""),1=2,IF(AND($J93&lt;&gt;"",$K93=$L93),1=1,IF(AND($J93="",$K93=$L93),1=1,1=2))),1=2)</formula>
    </cfRule>
  </conditionalFormatting>
  <conditionalFormatting sqref="K93:L93">
    <cfRule type="expression" dxfId="40" priority="3">
      <formula>K93=""</formula>
    </cfRule>
  </conditionalFormatting>
  <conditionalFormatting sqref="O93">
    <cfRule type="iconSet" priority="4">
      <iconSet iconSet="3Symbols2" showValue="0">
        <cfvo type="percent" val="0"/>
        <cfvo type="num" val="0.5"/>
        <cfvo type="num" val="1"/>
      </iconSet>
    </cfRule>
  </conditionalFormatting>
  <conditionalFormatting sqref="O99">
    <cfRule type="iconSet" priority="2">
      <iconSet iconSet="3Symbols2" showValue="0">
        <cfvo type="percent" val="0"/>
        <cfvo type="num" val="0.5"/>
        <cfvo type="num" val="1"/>
      </iconSet>
    </cfRule>
  </conditionalFormatting>
  <conditionalFormatting sqref="O105:O107">
    <cfRule type="iconSet" priority="1">
      <iconSet iconSet="3Symbols2" showValue="0">
        <cfvo type="percent" val="0"/>
        <cfvo type="num" val="0.5"/>
        <cfvo type="num" val="1"/>
      </iconSet>
    </cfRule>
  </conditionalFormatting>
  <conditionalFormatting sqref="Z16:Z17">
    <cfRule type="expression" dxfId="39" priority="181">
      <formula>SUM($T$14:$T$17)=12</formula>
    </cfRule>
  </conditionalFormatting>
  <conditionalFormatting sqref="Q16:Q17">
    <cfRule type="expression" dxfId="38" priority="180">
      <formula>SUM($T$14:$T$17)=12</formula>
    </cfRule>
  </conditionalFormatting>
  <dataValidations count="34">
    <dataValidation type="whole" allowBlank="1" showInputMessage="1" showErrorMessage="1" error="Introduzca un número." sqref="J80:M83 J86:M87 J69:M76 J90:M90 J93:M93" xr:uid="{00000000-0002-0000-0100-000000000000}">
      <formula1>0</formula1>
      <formula2>100</formula2>
    </dataValidation>
    <dataValidation type="list" allowBlank="1" showInputMessage="1" showErrorMessage="1" error="Introduce un puesto que corresponda_x000a_" sqref="AC6" xr:uid="{00000000-0002-0000-0100-000001000000}">
      <formula1>IF($CI$6=$CL$5,$EC$5:$EC$8,IF($CI$6=$CM$5,$ED$5:$ED$7,IF(OR($CI$6=$CN$5,$CI$6=$CO$5),$EE$5:$EE$6,$EI$5)))</formula1>
    </dataValidation>
    <dataValidation type="list" allowBlank="1" showInputMessage="1" showErrorMessage="1" sqref="AC7" xr:uid="{00000000-0002-0000-0100-000002000000}">
      <formula1>IF($CI$6=$CL$5,$EC$5:$EC$8,IF($CI$6=$CM$5,$ED$5:$ED$7,IF(OR($CI$6=$CN$5,$CI$6=$CO$5),$EE$5:$EE$6,IF($CI$6=$CP$5,$EF$5:$EF$7,(IF($CI$6=$CQ$5,$EH$5:$EH$6,$EJ$5))))))</formula1>
    </dataValidation>
    <dataValidation type="list" allowBlank="1" showInputMessage="1" showErrorMessage="1" sqref="AC8" xr:uid="{00000000-0002-0000-0100-000003000000}">
      <formula1>IF($CI$6=$CL$5,$EC$5:$EC$8,IF($CI$6=$CM$5,$ED$5:$ED$7,IF(OR($CI$6=$CN$5,$CI$6=$CR$5),$EG$5:$EG$6,IF($CI$6=$CP$5,$EF$5:$EF$7,(IF($CI$6=$CQ$5,$EH$5:$EH$6,$EK$5))))))</formula1>
    </dataValidation>
    <dataValidation type="list" allowBlank="1" showInputMessage="1" showErrorMessage="1" sqref="AC9" xr:uid="{00000000-0002-0000-0100-000004000000}">
      <formula1>IF($CI$6=$CL$5,$EC$5:$EC$8,IF(OR($CI$6=$CN$5,$CI$6=$CR$5),$EG$5:$EG$6,IF($CI$6=$CP$5,$EF$5:$EF$7,$EL$5)))</formula1>
    </dataValidation>
    <dataValidation type="whole" allowBlank="1" showInputMessage="1" showErrorMessage="1" error="Introduzca un número" sqref="K12:L17 K20:L25 K28:L33 K44:L49 K36:L41 K4:L9 K52:L57 K60:L65" xr:uid="{00000000-0002-0000-0100-000005000000}">
      <formula1>0</formula1>
      <formula2>100</formula2>
    </dataValidation>
    <dataValidation type="list" allowBlank="1" showInputMessage="1" showErrorMessage="1" error="Introduce un puesto que corresponda_x000a_" sqref="AC14" xr:uid="{28B23099-564D-49AC-845D-3E75BC0CC1C5}">
      <formula1>IF($CI$14=$CL$13,$EC$13:$EC$16,IF($CI$14=$CM$13,$ED$13:$ED$15,IF(OR($CI$14=$CN$13,$CI$14=$CO$13),$EE$13:$EE$14,$EI$13)))</formula1>
    </dataValidation>
    <dataValidation type="list" allowBlank="1" showInputMessage="1" showErrorMessage="1" sqref="AC15" xr:uid="{65E30451-E170-4B05-8D21-CC8E96E84532}">
      <formula1>IF($CI$14=$CL$13,$EC$13:$EC$16,IF($CI$14=$CM$13,$ED$13:$ED$15,IF(OR($CI$14=$CN$13,$CI$14=$CO$13),$EE$13:$EE$14,IF($CI$14=$CP$13,$EF$13:$EF$15,(IF($CI$14=$CQ$13,$EH$13:$EH$14,$EJ$13))))))</formula1>
    </dataValidation>
    <dataValidation type="list" allowBlank="1" showInputMessage="1" showErrorMessage="1" sqref="AC16" xr:uid="{326F6951-2D67-4B8F-A26E-2262BE7267BC}">
      <formula1>IF($CI$14=$CL$13,$EC$13:$EC$16,IF($CI$14=$CM$13,$ED$13:$ED$15,IF(OR($CI$14=$CN$13,$CI$14=$CR$13),$EG$13:$EG$14,IF($CI$14=$CP$13,$EF$13:$EF$15,(IF($CI$14=$CQ$13,$EH$13:$EH$14,$EK$13))))))</formula1>
    </dataValidation>
    <dataValidation type="list" allowBlank="1" showInputMessage="1" showErrorMessage="1" sqref="AC17" xr:uid="{7D54C984-C012-464C-BC24-E2408BDB6ED6}">
      <formula1>IF($CI$14=$CL$13,$EC$13:$EC$16,IF(OR($CI$14=$CN$13,$CI$14=$CR$13),$EG$13:$EG$14,IF($CI$14=$CP$13,$EF$13:$EF$15,$EL$13)))</formula1>
    </dataValidation>
    <dataValidation type="list" allowBlank="1" showInputMessage="1" showErrorMessage="1" error="Introduce un puesto que corresponda_x000a_" sqref="AC22" xr:uid="{E9F3E46B-A682-524E-A784-FE53DF43B2D3}">
      <formula1>IF($CI$22=$CL$21,$EC$21:$EC$24,IF($CI$22=$CM$21,$ED$21:$ED$23,IF(OR($CI$22=$CN$21,$CI$22=$CO$21),$EE$21:$EE$22,$EI$21)))</formula1>
    </dataValidation>
    <dataValidation type="list" allowBlank="1" showInputMessage="1" showErrorMessage="1" sqref="AC23" xr:uid="{25A79145-3529-864E-810F-5CF69876379E}">
      <formula1>IF($CI$22=$CL$21,$EC$21:$EC$24,IF($CI$22=$CM$21,$ED$21:$ED$23,IF(OR($CI$22=$CN$21,$CI$22=$CO$21),$EE$21:$EE$22,IF($CI$22=$CP$21,$EF$21:$EF$23,(IF($CI$22=$CQ$21,$EH$21:$EH$22,$EJ$21))))))</formula1>
    </dataValidation>
    <dataValidation type="list" allowBlank="1" showInputMessage="1" showErrorMessage="1" sqref="AC24" xr:uid="{C688F586-2371-B446-AC3A-474197C6BE66}">
      <formula1>IF($CI$22=$CL$21,$EC$21:$EC$24,IF($CI$22=$CM$21,$ED$21:$ED$23,IF(OR($CI$22=$CN$21,$CI$22=$CR$21),$EG$21:$EG$22,IF($CI$22=$CP$21,$EF$21:$EF$23,(IF($CI$22=$CQ$21,$EH$21:$EH$22,$EK$21))))))</formula1>
    </dataValidation>
    <dataValidation type="list" allowBlank="1" showInputMessage="1" showErrorMessage="1" sqref="AC25" xr:uid="{9CB12D0B-8C22-3747-B86A-FF4B0943B350}">
      <formula1>IF($CI$22=$CL$21,$EC$21:$EC$24,IF(OR($CI$22=$CN$21,$CI$22=$CR$21),$EG$21:$EG$22,IF($CI$22=$CP$21,$EF$21:$EF$23,$EL$21)))</formula1>
    </dataValidation>
    <dataValidation type="list" allowBlank="1" showInputMessage="1" showErrorMessage="1" error="Introduce un puesto que corresponda_x000a_" sqref="AC30" xr:uid="{D6B663D7-806C-A944-A8AB-A757C7B3CC41}">
      <formula1>IF($CI$30=$CL$29,$EC$29:$EC$32,IF($CI$30=$CM$29,$ED$29:$ED$31,IF(OR($CI$30=$CN$29,$CI$30=$CO$29),$EE$29:$EE$30,$EI$29)))</formula1>
    </dataValidation>
    <dataValidation type="list" allowBlank="1" showInputMessage="1" showErrorMessage="1" sqref="AC31" xr:uid="{CCDBC516-E302-5141-A74F-FC4D2175539A}">
      <formula1>IF($CI$30=$CL$29,$EC$29:$EC$32,IF($CI$30=$CM$29,$ED$29:$ED$31,IF(OR($CI$30=$CN$29,$CI$30=$CO$29),$EE$29:$EE$30,IF($CI$30=$CP$29,$EF$29:$EF$31,(IF($CI$30=$CQ$29,$EH$29:$EH$30,$EJ$29))))))</formula1>
    </dataValidation>
    <dataValidation type="list" allowBlank="1" showInputMessage="1" showErrorMessage="1" sqref="AC32" xr:uid="{C419EEA7-83ED-0840-B1AA-FDAA03452479}">
      <formula1>IF($CI$30=$CL$29,$EC$29:$EC$32,IF($CI$30=$CM$29,$ED$29:$ED$31,IF(OR($CI$30=$CN$29,$CI$30=$CR$29),$EG$29:$EG$30,IF($CI$30=$CP$29,$EF$29:$EF$31,(IF($CI$30=$CQ$29,$EH$29:$EH$30,$EK$29))))))</formula1>
    </dataValidation>
    <dataValidation type="list" allowBlank="1" showInputMessage="1" showErrorMessage="1" sqref="AC33" xr:uid="{FD37C746-FEF7-DE42-B3DD-8232539FC827}">
      <formula1>IF($CI$30=$CL$29,$EC$29:$EC$32,IF(OR($CI$30=$CN$29,$CI$30=$CR$29),$EG$29:$EG$30,IF($CI$30=$CP$29,$EF$29:$EF$31,$EL$29)))</formula1>
    </dataValidation>
    <dataValidation type="list" allowBlank="1" showInputMessage="1" showErrorMessage="1" error="Introduce un puesto que corresponda_x000a_" sqref="AC38" xr:uid="{556DFD13-7398-FD42-876B-5340717B31A1}">
      <formula1>IF($CI$38=$CL$37,$EC$37:$EC$40,IF($CI$38=$CM$37,$ED$37:$ED$39,IF(OR($CI$38=$CN$37,$CI$38=$CO$37),$EE$37:$EE$38,$EI$37)))</formula1>
    </dataValidation>
    <dataValidation type="list" allowBlank="1" showInputMessage="1" showErrorMessage="1" sqref="AC39" xr:uid="{5D3EB5B3-5E9D-474E-94ED-67683BAADFBB}">
      <formula1>IF($CI$38=$CL$37,$EC$37:$EC$40,IF($CI$38=$CM$37,$ED$37:$ED$39,IF(OR($CI$38=$CN$37,$CI$38=$CO$37),$EE$37:$EE$38,IF($CI$38=$CP$37,$EF$37:$EF$39,(IF($CI$38=$CQ$37,$EH$37:$EH$38,$EJ$37))))))</formula1>
    </dataValidation>
    <dataValidation type="list" allowBlank="1" showInputMessage="1" showErrorMessage="1" sqref="AC40" xr:uid="{F814ED5E-4FBC-904A-AE3A-0651E1389FB7}">
      <formula1>IF($CI$38=$CL$37,$EC$37:$EC$40,IF($CI$38=$CM$37,$ED$37:$ED$39,IF(OR($CI$38=$CN$37,$CI$38=$CR$37),$EG$37:$EG$38,IF($CI$38=$CP$37,$EF$37:$EF$39,(IF($CI$38=$CQ$37,$EH$37:$EH$38,$EK$37))))))</formula1>
    </dataValidation>
    <dataValidation type="list" allowBlank="1" showInputMessage="1" showErrorMessage="1" sqref="AC41" xr:uid="{EE432B97-D798-7C4B-AF9B-95E75B909CC9}">
      <formula1>IF($CI$38=$CL$37,$EC$37:$EC$40,IF(OR($CI$38=$CN$37,$CI$38=$CR$37),$EG$37:$EG$38,IF($CI$38=$CP$37,$EF$37:$EF$39,$EL$37)))</formula1>
    </dataValidation>
    <dataValidation type="list" allowBlank="1" showInputMessage="1" showErrorMessage="1" error="Introduce un puesto que corresponda_x000a_" sqref="AC46" xr:uid="{CB3E8F91-3851-EA47-8844-98D675C19DB5}">
      <formula1>IF($CI$46=$CL$45,$EC$45:$EC$48,IF($CI$46=$CM$45,$ED$45:$ED$47,IF(OR($CI$46=$CN$45,$CI$46=$CO$45),$EE$45:$EE$46,$EI$45)))</formula1>
    </dataValidation>
    <dataValidation type="list" allowBlank="1" showInputMessage="1" showErrorMessage="1" sqref="AC47" xr:uid="{43182B64-F597-A045-8E19-8A16D3822E81}">
      <formula1>IF($CI$46=$CL$45,$EC$45:$EC$48,IF($CI$46=$CM$45,$ED$45:$ED$47,IF(OR($CI$46=$CN$45,$CI$46=$CO$45),$EE$45:$EE$46,IF($CI$46=$CP$45,$EF$45:$EF$47,(IF($CI$46=$CQ$45,$EH$45:$EH$46,$EJ$45))))))</formula1>
    </dataValidation>
    <dataValidation type="list" allowBlank="1" showInputMessage="1" showErrorMessage="1" sqref="AC48" xr:uid="{66B73129-D040-2148-8078-AADEF6E98974}">
      <formula1>IF($CI$46=$CL$45,$EC$45:$EC$48,IF($CI$46=$CM$45,$ED$45:$ED$47,IF(OR($CI$46=$CN$45,$CI$46=$CR$45),$EG$45:$EG$46,IF($CI$46=$CP$45,$EF$45:$EF$47,(IF($CI$46=$CQ$45,$EH$45:$EH$46,$EK$45))))))</formula1>
    </dataValidation>
    <dataValidation type="list" allowBlank="1" showInputMessage="1" showErrorMessage="1" sqref="AC49" xr:uid="{4EBE068A-5DB9-ED4B-80E0-6D2F5AF24F25}">
      <formula1>IF($CI$46=$CL$45,$EC$45:$EC$48,IF(OR($CI$46=$CN$45,$CI$46=$CR$45),$EG$45:$EG$46,IF($CI$46=$CP$45,$EF$45:$EF$47,$EL$45)))</formula1>
    </dataValidation>
    <dataValidation type="list" allowBlank="1" showInputMessage="1" showErrorMessage="1" error="Introduce un puesto que corresponda_x000a_" sqref="AC54" xr:uid="{93C50E38-9762-5F43-BD64-1945C4C07ECA}">
      <formula1>IF($CI$54=$CL$53,$EC$53:$EC$56,IF($CI$54=$CM$53,$ED$53:$ED$55,IF(OR($CI$54=$CN$53,$CI$54=$CO$53),$EE$53:$EE$54,$EI$53)))</formula1>
    </dataValidation>
    <dataValidation type="list" allowBlank="1" showInputMessage="1" showErrorMessage="1" sqref="AC55" xr:uid="{BE036FD7-5C36-FE45-A418-977885DFDD89}">
      <formula1>IF($CI$54=$CL$53,$EC$53:$EC$56,IF($CI$54=$CM$53,$ED$53:$ED$55,IF(OR($CI$54=$CN$53,$CI$54=$CO$53),$EE$53:$EE$54,IF($CI$54=$CP$53,$EF$53:$EF$55,(IF($CI$54=$CQ$53,$EH$53:$EH$54,$EJ$53))))))</formula1>
    </dataValidation>
    <dataValidation type="list" allowBlank="1" showInputMessage="1" showErrorMessage="1" sqref="AC56" xr:uid="{1D2C52D5-3D44-434B-801C-F37452E0401D}">
      <formula1>IF($CI$54=$CL$53,$EC$53:$EC$56,IF($CI$54=$CM$53,$ED$53:$ED$55,IF(OR($CI$54=$CN$53,$CI$54=$CR$53),$EG$53:$EG$54,IF($CI$54=$CP$53,$EF$53:$EF$55,(IF($CI$54=$CQ$53,$EH$53:$EH$54,$EK$53))))))</formula1>
    </dataValidation>
    <dataValidation type="list" allowBlank="1" showInputMessage="1" showErrorMessage="1" sqref="AC57" xr:uid="{F0EFAF6B-81BD-E64C-9D00-BF8D4866BAF5}">
      <formula1>IF($CI$54=$CL$53,$EC$53:$EC$56,IF(OR($CI$54=$CN$53,$CI$54=$CR$53),$EG$53:$EG$54,IF($CI$54=$CP$53,$EF$53:$EF$55,$EL$53)))</formula1>
    </dataValidation>
    <dataValidation type="list" allowBlank="1" showInputMessage="1" showErrorMessage="1" error="Introduce un puesto que corresponda_x000a_" sqref="AC62" xr:uid="{F3214777-8535-F341-87F6-74AE9A598EA0}">
      <formula1>IF($CI$62=$CL$61,$EC$61:$EC$64,IF($CI$62=$CM$61,$ED$61:$ED$63,IF(OR($CI$62=$CN$61,$CI$62=$CO$61),$EE$61:$EE$62,$EI$61)))</formula1>
    </dataValidation>
    <dataValidation type="list" allowBlank="1" showInputMessage="1" showErrorMessage="1" sqref="AC63" xr:uid="{C37AA1BF-8923-C348-A563-91185A5007F5}">
      <formula1>IF($CI$62=$CL$61,$EC$61:$EC$64,IF($CI$62=$CM$61,$ED$61:$ED$63,IF(OR($CI$62=$CN$61,$CI$62=$CO$61),$EE$61:$EE$62,IF($CI$62=$CP$61,$EF$61:$EF$63,(IF($CI$62=$CQ$61,$EH$61:$EH$62,$EJ$61))))))</formula1>
    </dataValidation>
    <dataValidation type="list" allowBlank="1" showInputMessage="1" showErrorMessage="1" sqref="AC64" xr:uid="{2B1E1EA3-CDA7-5947-9B22-2AB6F6C01D4F}">
      <formula1>IF($CI$62=$CL$61,$EC$61:$EC$64,IF($CI$62=$CM$61,$ED$61:$ED$63,IF(OR($CI$62=$CN$61,$CI$62=$CR$61),$EG$61:$EG$62,IF($CI$62=$CP$61,$EF$61:$EF$63,(IF($CI$62=$CQ$61,$EH$61:$EH$62,$EK$61))))))</formula1>
    </dataValidation>
    <dataValidation type="list" allowBlank="1" showInputMessage="1" showErrorMessage="1" sqref="AC65" xr:uid="{8D2782E2-47C0-D04E-8C1E-6CD6B0D0A278}">
      <formula1>IF($CI$62=$CL$61,$EC$61:$EC$64,IF(OR($CI$62=$CN$61,$CI$62=$CR$61),$EG$61:$EG$62,IF($CI$62=$CP$61,$EF$61:$EF$63,$EL$61)))</formula1>
    </dataValidation>
  </dataValidations>
  <pageMargins left="0.7" right="0.7" top="0.75" bottom="0.75" header="0.3" footer="0.3"/>
  <pageSetup paperSize="9" orientation="portrait" r:id="rId1"/>
  <ignoredErrors>
    <ignoredError sqref="J85 M85" unlockedFormula="1"/>
    <ignoredError sqref="O4:O10 AA10" emptyCellReference="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A30762CB-875A-0544-BA22-4AB42BB4FB4D}">
          <x14:formula1>
            <xm:f>Equipos!$F$2:$F$7</xm:f>
          </x14:formula1>
          <xm:sqref>B4 B12 B20 B28 B36 B44</xm:sqref>
        </x14:dataValidation>
        <x14:dataValidation type="list" allowBlank="1" showInputMessage="1" showErrorMessage="1" xr:uid="{B4E4BD38-9DAB-48D6-821D-E7A473F4B1A8}">
          <x14:formula1>
            <xm:f>Horarios!$L$4:$L$60</xm:f>
          </x14:formula1>
          <xm:sqref>G1:H1</xm:sqref>
        </x14:dataValidation>
        <x14:dataValidation type="list" allowBlank="1" showInputMessage="1" showErrorMessage="1" xr:uid="{D78241E2-4FC0-BA44-A56A-343A44730817}">
          <x14:formula1>
            <xm:f>Equipos!$F$2:$F$9</xm:f>
          </x14:formula1>
          <xm:sqref>B52 B60</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2:O1048576"/>
  <sheetViews>
    <sheetView workbookViewId="0">
      <selection activeCell="C9" sqref="C9"/>
    </sheetView>
  </sheetViews>
  <sheetFormatPr baseColWidth="10" defaultRowHeight="15"/>
  <cols>
    <col min="1" max="1" width="13.1640625" style="911" bestFit="1" customWidth="1"/>
    <col min="2" max="2" width="10.83203125" style="911"/>
    <col min="3" max="3" width="13.33203125" style="911" bestFit="1" customWidth="1"/>
    <col min="4" max="16384" width="10.83203125" style="911"/>
  </cols>
  <sheetData>
    <row r="2" spans="1:15">
      <c r="F2" s="911" t="s">
        <v>208</v>
      </c>
    </row>
    <row r="3" spans="1:15">
      <c r="A3" s="909" t="s">
        <v>84</v>
      </c>
      <c r="C3" s="911">
        <f>IFERROR(VLOOKUP(MUNDIAL!G1,L4:M60,2,0),10)</f>
        <v>9</v>
      </c>
      <c r="F3" s="911" t="s">
        <v>139</v>
      </c>
      <c r="G3" s="911" t="s">
        <v>191</v>
      </c>
      <c r="H3" s="911" t="s">
        <v>194</v>
      </c>
      <c r="J3" s="909"/>
      <c r="K3" s="909"/>
      <c r="L3" s="909">
        <v>1</v>
      </c>
      <c r="M3" s="919"/>
      <c r="N3" s="909"/>
      <c r="O3" s="909"/>
    </row>
    <row r="4" spans="1:15">
      <c r="A4" s="931">
        <v>44886.791666666664</v>
      </c>
      <c r="C4" s="932">
        <f t="shared" ref="C4:C9" si="0">A4+VLOOKUP($C$3,$K$4:$O$60,4,0)*VLOOKUP($C$3,$K$4:$O$60,5,0)</f>
        <v>44886.791666666664</v>
      </c>
      <c r="E4" s="911">
        <v>1</v>
      </c>
      <c r="F4" s="911" t="s">
        <v>176</v>
      </c>
      <c r="G4" s="911">
        <v>3</v>
      </c>
      <c r="H4" s="911">
        <v>0</v>
      </c>
      <c r="J4" s="909" t="s">
        <v>83</v>
      </c>
      <c r="K4" s="909">
        <v>1</v>
      </c>
      <c r="L4" s="911" t="s">
        <v>111</v>
      </c>
      <c r="M4" s="909">
        <v>1</v>
      </c>
      <c r="N4" s="933">
        <v>8.3333333333333329E-2</v>
      </c>
      <c r="O4" s="911">
        <v>-1</v>
      </c>
    </row>
    <row r="5" spans="1:15">
      <c r="A5" s="931">
        <v>44885.791666666664</v>
      </c>
      <c r="C5" s="932">
        <f t="shared" si="0"/>
        <v>44885.791666666664</v>
      </c>
      <c r="E5" s="911">
        <v>1</v>
      </c>
      <c r="F5" s="911" t="s">
        <v>82</v>
      </c>
      <c r="G5" s="911">
        <v>1</v>
      </c>
      <c r="H5" s="911">
        <f>G5-$G$4</f>
        <v>-2</v>
      </c>
      <c r="J5" s="909"/>
      <c r="K5" s="909">
        <v>2</v>
      </c>
      <c r="L5" s="911" t="s">
        <v>349</v>
      </c>
      <c r="M5" s="909">
        <v>2</v>
      </c>
      <c r="N5" s="933">
        <v>0</v>
      </c>
      <c r="O5" s="911">
        <v>0</v>
      </c>
    </row>
    <row r="6" spans="1:15">
      <c r="A6" s="931">
        <v>44890.666666666664</v>
      </c>
      <c r="C6" s="932">
        <f t="shared" si="0"/>
        <v>44890.666666666664</v>
      </c>
      <c r="E6" s="911">
        <v>1</v>
      </c>
      <c r="F6" s="911" t="s">
        <v>192</v>
      </c>
      <c r="G6" s="911">
        <v>-3</v>
      </c>
      <c r="H6" s="911">
        <f>G6-$G$4</f>
        <v>-6</v>
      </c>
      <c r="J6" s="909"/>
      <c r="K6" s="909">
        <v>3</v>
      </c>
      <c r="L6" s="911" t="s">
        <v>192</v>
      </c>
      <c r="M6" s="909">
        <v>3</v>
      </c>
      <c r="N6" s="933">
        <v>0.25</v>
      </c>
      <c r="O6" s="911">
        <v>-1</v>
      </c>
    </row>
    <row r="7" spans="1:15">
      <c r="A7" s="931">
        <v>44890.791666666664</v>
      </c>
      <c r="C7" s="932">
        <f t="shared" si="0"/>
        <v>44890.791666666664</v>
      </c>
      <c r="E7" s="911">
        <v>1</v>
      </c>
      <c r="F7" s="911" t="s">
        <v>193</v>
      </c>
      <c r="G7" s="911">
        <v>-3</v>
      </c>
      <c r="H7" s="911">
        <f t="shared" ref="H7:H32" si="1">G7-$G$4</f>
        <v>-6</v>
      </c>
      <c r="J7" s="909"/>
      <c r="K7" s="909">
        <v>4</v>
      </c>
      <c r="L7" s="911" t="s">
        <v>202</v>
      </c>
      <c r="M7" s="909">
        <v>4</v>
      </c>
      <c r="N7" s="933">
        <v>0.29166666666666669</v>
      </c>
      <c r="O7" s="911">
        <v>1</v>
      </c>
    </row>
    <row r="8" spans="1:15">
      <c r="A8" s="931">
        <v>44894.75</v>
      </c>
      <c r="C8" s="932">
        <f t="shared" si="0"/>
        <v>44894.75</v>
      </c>
      <c r="E8" s="911">
        <v>2</v>
      </c>
      <c r="F8" s="911" t="s">
        <v>111</v>
      </c>
      <c r="G8" s="911">
        <v>1</v>
      </c>
      <c r="H8" s="911">
        <f t="shared" si="1"/>
        <v>-2</v>
      </c>
      <c r="J8" s="909"/>
      <c r="K8" s="909">
        <v>5</v>
      </c>
      <c r="L8" s="911" t="s">
        <v>140</v>
      </c>
      <c r="M8" s="909">
        <v>5</v>
      </c>
      <c r="N8" s="933">
        <v>8.3333333333333329E-2</v>
      </c>
      <c r="O8" s="911">
        <v>-1</v>
      </c>
    </row>
    <row r="9" spans="1:15">
      <c r="A9" s="931">
        <v>44894.75</v>
      </c>
      <c r="C9" s="932">
        <f t="shared" si="0"/>
        <v>44894.75</v>
      </c>
      <c r="E9" s="911">
        <v>1</v>
      </c>
      <c r="F9" s="911" t="s">
        <v>106</v>
      </c>
      <c r="G9" s="911">
        <v>1</v>
      </c>
      <c r="H9" s="911">
        <f t="shared" si="1"/>
        <v>-2</v>
      </c>
      <c r="J9" s="909"/>
      <c r="K9" s="909">
        <v>6</v>
      </c>
      <c r="L9" s="911" t="s">
        <v>193</v>
      </c>
      <c r="M9" s="909">
        <v>6</v>
      </c>
      <c r="N9" s="933">
        <v>0.25</v>
      </c>
      <c r="O9" s="911">
        <v>-1</v>
      </c>
    </row>
    <row r="10" spans="1:15">
      <c r="E10" s="911">
        <v>1</v>
      </c>
      <c r="F10" s="911" t="s">
        <v>109</v>
      </c>
      <c r="G10" s="911">
        <v>0</v>
      </c>
      <c r="H10" s="911">
        <f t="shared" si="1"/>
        <v>-3</v>
      </c>
      <c r="J10" s="909"/>
      <c r="K10" s="909">
        <v>7</v>
      </c>
      <c r="L10" s="911" t="s">
        <v>350</v>
      </c>
      <c r="M10" s="909">
        <v>7</v>
      </c>
      <c r="N10" s="933">
        <v>8.3333333333333329E-2</v>
      </c>
      <c r="O10" s="911">
        <v>-1</v>
      </c>
    </row>
    <row r="11" spans="1:15">
      <c r="A11" s="934" t="s">
        <v>85</v>
      </c>
      <c r="E11" s="911">
        <v>2</v>
      </c>
      <c r="F11" s="911" t="s">
        <v>354</v>
      </c>
      <c r="G11" s="911">
        <v>1</v>
      </c>
      <c r="H11" s="911">
        <f t="shared" si="1"/>
        <v>-2</v>
      </c>
      <c r="J11" s="909"/>
      <c r="K11" s="909">
        <v>8</v>
      </c>
      <c r="L11" s="911" t="s">
        <v>215</v>
      </c>
      <c r="M11" s="909">
        <v>8</v>
      </c>
      <c r="N11" s="933">
        <v>0.33333333333333331</v>
      </c>
      <c r="O11" s="911">
        <v>-1</v>
      </c>
    </row>
    <row r="12" spans="1:15">
      <c r="A12" s="931">
        <v>44886.666666666664</v>
      </c>
      <c r="C12" s="932">
        <f t="shared" ref="C12:C17" si="2">A12+VLOOKUP($C$3,$K$4:$O$60,4,0)*VLOOKUP($C$3,$K$4:$O$60,5,0)</f>
        <v>44886.666666666664</v>
      </c>
      <c r="E12" s="911">
        <v>3</v>
      </c>
      <c r="F12" s="911" t="s">
        <v>195</v>
      </c>
      <c r="G12" s="911">
        <v>3.5</v>
      </c>
      <c r="H12" s="911">
        <f t="shared" si="1"/>
        <v>0.5</v>
      </c>
      <c r="I12" s="911" t="s">
        <v>207</v>
      </c>
      <c r="J12" s="909"/>
      <c r="K12" s="909">
        <v>9</v>
      </c>
      <c r="L12" s="911" t="s">
        <v>176</v>
      </c>
      <c r="M12" s="909">
        <v>9</v>
      </c>
      <c r="N12" s="933">
        <v>0</v>
      </c>
      <c r="O12" s="911">
        <v>0</v>
      </c>
    </row>
    <row r="13" spans="1:15">
      <c r="A13" s="931">
        <v>44886.916666666664</v>
      </c>
      <c r="C13" s="932">
        <f t="shared" si="2"/>
        <v>44886.916666666664</v>
      </c>
      <c r="E13" s="911">
        <v>3</v>
      </c>
      <c r="F13" s="911" t="s">
        <v>196</v>
      </c>
      <c r="G13" s="911">
        <v>9</v>
      </c>
      <c r="H13" s="911">
        <f t="shared" si="1"/>
        <v>6</v>
      </c>
      <c r="J13" s="935"/>
      <c r="K13" s="909">
        <v>10</v>
      </c>
      <c r="L13" s="911" t="s">
        <v>196</v>
      </c>
      <c r="M13" s="909">
        <v>10</v>
      </c>
      <c r="N13" s="933">
        <v>0.25</v>
      </c>
      <c r="O13" s="911">
        <v>1</v>
      </c>
    </row>
    <row r="14" spans="1:15">
      <c r="A14" s="931">
        <v>44890.541666666664</v>
      </c>
      <c r="C14" s="932">
        <f t="shared" si="2"/>
        <v>44890.541666666664</v>
      </c>
      <c r="E14" s="911">
        <v>3</v>
      </c>
      <c r="F14" s="911" t="s">
        <v>201</v>
      </c>
      <c r="G14" s="911">
        <v>9</v>
      </c>
      <c r="H14" s="911">
        <f t="shared" si="1"/>
        <v>6</v>
      </c>
      <c r="J14" s="909"/>
      <c r="K14" s="909">
        <v>11</v>
      </c>
      <c r="L14" s="911" t="s">
        <v>216</v>
      </c>
      <c r="M14" s="909">
        <v>11</v>
      </c>
      <c r="N14" s="933">
        <v>0.375</v>
      </c>
      <c r="O14" s="911">
        <v>-1</v>
      </c>
    </row>
    <row r="15" spans="1:15">
      <c r="A15" s="931">
        <v>44890.916666666664</v>
      </c>
      <c r="C15" s="932">
        <f t="shared" si="2"/>
        <v>44890.916666666664</v>
      </c>
      <c r="E15" s="911">
        <v>4</v>
      </c>
      <c r="F15" s="911" t="s">
        <v>349</v>
      </c>
      <c r="G15" s="911">
        <v>3</v>
      </c>
      <c r="H15" s="911">
        <f t="shared" si="1"/>
        <v>0</v>
      </c>
      <c r="J15" s="909"/>
      <c r="K15" s="909">
        <v>12</v>
      </c>
      <c r="L15" s="911" t="s">
        <v>114</v>
      </c>
      <c r="M15" s="909">
        <v>12</v>
      </c>
      <c r="N15" s="933">
        <v>8.3333333333333329E-2</v>
      </c>
      <c r="O15" s="911">
        <v>-1</v>
      </c>
    </row>
    <row r="16" spans="1:15">
      <c r="A16" s="931">
        <v>44894.916666666664</v>
      </c>
      <c r="C16" s="932">
        <f t="shared" si="2"/>
        <v>44894.916666666664</v>
      </c>
      <c r="E16" s="911">
        <v>1</v>
      </c>
      <c r="F16" s="911" t="s">
        <v>140</v>
      </c>
      <c r="G16" s="911">
        <v>1</v>
      </c>
      <c r="H16" s="911">
        <f t="shared" si="1"/>
        <v>-2</v>
      </c>
      <c r="K16" s="909">
        <v>13</v>
      </c>
      <c r="L16" s="911" t="s">
        <v>142</v>
      </c>
      <c r="M16" s="909">
        <v>13</v>
      </c>
      <c r="N16" s="933">
        <v>8.3333333333333329E-2</v>
      </c>
      <c r="O16" s="911">
        <v>-1</v>
      </c>
    </row>
    <row r="17" spans="1:15">
      <c r="A17" s="931">
        <v>44894.916666666664</v>
      </c>
      <c r="C17" s="932">
        <f t="shared" si="2"/>
        <v>44894.916666666664</v>
      </c>
      <c r="E17" s="911">
        <v>1</v>
      </c>
      <c r="F17" s="911" t="s">
        <v>117</v>
      </c>
      <c r="G17" s="911">
        <v>0</v>
      </c>
      <c r="H17" s="911">
        <f t="shared" si="1"/>
        <v>-3</v>
      </c>
      <c r="K17" s="909">
        <v>14</v>
      </c>
      <c r="L17" s="911" t="s">
        <v>209</v>
      </c>
      <c r="M17" s="909">
        <v>14</v>
      </c>
      <c r="N17" s="933">
        <v>0.33333333333333331</v>
      </c>
      <c r="O17" s="911">
        <v>-1</v>
      </c>
    </row>
    <row r="18" spans="1:15">
      <c r="E18" s="911">
        <v>4</v>
      </c>
      <c r="F18" s="911" t="s">
        <v>209</v>
      </c>
      <c r="G18" s="911">
        <v>-5</v>
      </c>
      <c r="H18" s="911">
        <f t="shared" si="1"/>
        <v>-8</v>
      </c>
      <c r="K18" s="909">
        <v>15</v>
      </c>
      <c r="L18" s="911" t="s">
        <v>82</v>
      </c>
      <c r="M18" s="909">
        <v>15</v>
      </c>
      <c r="N18" s="933">
        <v>8.3333333333333329E-2</v>
      </c>
      <c r="O18" s="911">
        <v>-1</v>
      </c>
    </row>
    <row r="19" spans="1:15">
      <c r="A19" s="936" t="s">
        <v>10</v>
      </c>
      <c r="E19" s="911">
        <v>2</v>
      </c>
      <c r="F19" s="911" t="s">
        <v>210</v>
      </c>
      <c r="G19" s="911">
        <v>-3</v>
      </c>
      <c r="H19" s="911">
        <f t="shared" si="1"/>
        <v>-6</v>
      </c>
      <c r="K19" s="909">
        <v>16</v>
      </c>
      <c r="L19" s="911" t="s">
        <v>214</v>
      </c>
      <c r="M19" s="909">
        <v>16</v>
      </c>
      <c r="N19" s="933">
        <v>0.33333333333333331</v>
      </c>
      <c r="O19" s="911">
        <v>-1</v>
      </c>
    </row>
    <row r="20" spans="1:15">
      <c r="A20" s="931">
        <v>44887.541666666664</v>
      </c>
      <c r="C20" s="932">
        <f t="shared" ref="C20:C25" si="3">A20+VLOOKUP($C$3,$K$4:$O$60,4,0)*VLOOKUP($C$3,$K$4:$O$60,5,0)</f>
        <v>44887.541666666664</v>
      </c>
      <c r="E20" s="911">
        <v>2</v>
      </c>
      <c r="F20" s="911" t="s">
        <v>353</v>
      </c>
      <c r="G20" s="911">
        <v>-6</v>
      </c>
      <c r="H20" s="911">
        <f t="shared" si="1"/>
        <v>-9</v>
      </c>
      <c r="K20" s="909">
        <v>17</v>
      </c>
      <c r="L20" s="911" t="s">
        <v>106</v>
      </c>
      <c r="M20" s="909">
        <v>17</v>
      </c>
      <c r="N20" s="933">
        <v>8.3333333333333329E-2</v>
      </c>
      <c r="O20" s="911">
        <v>-1</v>
      </c>
    </row>
    <row r="21" spans="1:15">
      <c r="A21" s="931">
        <v>44887.791666666664</v>
      </c>
      <c r="C21" s="932">
        <f t="shared" si="3"/>
        <v>44887.791666666664</v>
      </c>
      <c r="E21" s="911">
        <v>2</v>
      </c>
      <c r="F21" s="911" t="s">
        <v>214</v>
      </c>
      <c r="G21" s="911">
        <v>-5</v>
      </c>
      <c r="H21" s="911">
        <f t="shared" si="1"/>
        <v>-8</v>
      </c>
      <c r="I21" s="911" t="s">
        <v>221</v>
      </c>
      <c r="K21" s="909">
        <v>18</v>
      </c>
      <c r="L21" s="911" t="s">
        <v>108</v>
      </c>
      <c r="M21" s="909">
        <v>18</v>
      </c>
      <c r="N21" s="933">
        <v>0.125</v>
      </c>
      <c r="O21" s="911">
        <v>-1</v>
      </c>
    </row>
    <row r="22" spans="1:15">
      <c r="A22" s="931">
        <v>44891.666666666664</v>
      </c>
      <c r="C22" s="932">
        <f t="shared" si="3"/>
        <v>44891.666666666664</v>
      </c>
      <c r="E22" s="911">
        <v>3</v>
      </c>
      <c r="F22" s="911" t="s">
        <v>215</v>
      </c>
      <c r="G22" s="911">
        <v>-5</v>
      </c>
      <c r="H22" s="911">
        <f t="shared" si="1"/>
        <v>-8</v>
      </c>
      <c r="I22" s="911" t="s">
        <v>222</v>
      </c>
      <c r="K22" s="909">
        <v>19</v>
      </c>
      <c r="L22" s="911" t="s">
        <v>351</v>
      </c>
      <c r="M22" s="909">
        <v>19</v>
      </c>
      <c r="N22" s="933">
        <v>0.125</v>
      </c>
      <c r="O22" s="911">
        <v>-1</v>
      </c>
    </row>
    <row r="23" spans="1:15">
      <c r="A23" s="931">
        <v>44891.916666666664</v>
      </c>
      <c r="C23" s="932">
        <f t="shared" si="3"/>
        <v>44891.916666666664</v>
      </c>
      <c r="E23" s="911">
        <v>2</v>
      </c>
      <c r="F23" s="911" t="s">
        <v>107</v>
      </c>
      <c r="G23" s="911">
        <v>1</v>
      </c>
      <c r="H23" s="911">
        <f t="shared" si="1"/>
        <v>-2</v>
      </c>
      <c r="K23" s="909">
        <v>20</v>
      </c>
      <c r="L23" s="911" t="s">
        <v>109</v>
      </c>
      <c r="M23" s="909">
        <v>20</v>
      </c>
      <c r="N23" s="933">
        <v>0.125</v>
      </c>
      <c r="O23" s="911">
        <v>-1</v>
      </c>
    </row>
    <row r="24" spans="1:15">
      <c r="A24" s="931">
        <v>44895.916666666664</v>
      </c>
      <c r="C24" s="932">
        <f t="shared" si="3"/>
        <v>44895.916666666664</v>
      </c>
      <c r="E24" s="911">
        <v>2</v>
      </c>
      <c r="F24" s="911" t="s">
        <v>142</v>
      </c>
      <c r="G24" s="911">
        <v>1</v>
      </c>
      <c r="H24" s="911">
        <f t="shared" si="1"/>
        <v>-2</v>
      </c>
      <c r="K24" s="909">
        <v>21</v>
      </c>
      <c r="L24" s="911" t="s">
        <v>195</v>
      </c>
      <c r="M24" s="909">
        <v>21</v>
      </c>
      <c r="N24" s="933">
        <v>2.0833333333333332E-2</v>
      </c>
      <c r="O24" s="911">
        <v>1</v>
      </c>
    </row>
    <row r="25" spans="1:15">
      <c r="A25" s="931">
        <v>44895.916666666664</v>
      </c>
      <c r="C25" s="932">
        <f t="shared" si="3"/>
        <v>44895.916666666664</v>
      </c>
      <c r="E25" s="911">
        <v>3</v>
      </c>
      <c r="F25" s="911" t="s">
        <v>190</v>
      </c>
      <c r="G25" s="911">
        <v>1</v>
      </c>
      <c r="H25" s="911">
        <f t="shared" si="1"/>
        <v>-2</v>
      </c>
      <c r="K25" s="909">
        <v>22</v>
      </c>
      <c r="L25" s="911" t="s">
        <v>201</v>
      </c>
      <c r="M25" s="909">
        <v>22</v>
      </c>
      <c r="N25" s="933">
        <v>0.25</v>
      </c>
      <c r="O25" s="911">
        <v>1</v>
      </c>
    </row>
    <row r="26" spans="1:15">
      <c r="E26" s="911">
        <v>2</v>
      </c>
      <c r="F26" s="911" t="s">
        <v>114</v>
      </c>
      <c r="G26" s="911">
        <v>1</v>
      </c>
      <c r="H26" s="911">
        <f t="shared" si="1"/>
        <v>-2</v>
      </c>
      <c r="K26" s="909">
        <v>23</v>
      </c>
      <c r="L26" s="911" t="s">
        <v>352</v>
      </c>
      <c r="M26" s="909">
        <v>23</v>
      </c>
      <c r="N26" s="933">
        <v>0.125</v>
      </c>
      <c r="O26" s="911">
        <v>-1</v>
      </c>
    </row>
    <row r="27" spans="1:15">
      <c r="A27" s="936" t="s">
        <v>118</v>
      </c>
      <c r="E27" s="911">
        <v>4</v>
      </c>
      <c r="F27" s="911" t="s">
        <v>356</v>
      </c>
      <c r="G27" s="911">
        <v>1</v>
      </c>
      <c r="H27" s="911">
        <f t="shared" si="1"/>
        <v>-2</v>
      </c>
      <c r="K27" s="909">
        <v>24</v>
      </c>
      <c r="L27" s="911" t="s">
        <v>353</v>
      </c>
      <c r="M27" s="909">
        <v>24</v>
      </c>
      <c r="N27" s="933">
        <v>0.375</v>
      </c>
      <c r="O27" s="911">
        <v>-1</v>
      </c>
    </row>
    <row r="28" spans="1:15">
      <c r="A28" s="931">
        <v>44887.666666666664</v>
      </c>
      <c r="C28" s="932">
        <f t="shared" ref="C28:C33" si="4">A28+VLOOKUP($C$3,$K$4:$O$60,4,0)*VLOOKUP($C$3,$K$4:$O$60,5,0)</f>
        <v>44887.666666666664</v>
      </c>
      <c r="E28" s="911">
        <v>3</v>
      </c>
      <c r="F28" s="911" t="s">
        <v>355</v>
      </c>
      <c r="G28" s="911">
        <v>0</v>
      </c>
      <c r="H28" s="911">
        <f t="shared" si="1"/>
        <v>-3</v>
      </c>
      <c r="K28" s="909">
        <v>25</v>
      </c>
      <c r="L28" s="911" t="s">
        <v>354</v>
      </c>
      <c r="M28" s="909">
        <v>25</v>
      </c>
      <c r="N28" s="933">
        <v>8.3333333333333329E-2</v>
      </c>
      <c r="O28" s="911">
        <v>-1</v>
      </c>
    </row>
    <row r="29" spans="1:15">
      <c r="A29" s="931">
        <v>44887.916666666664</v>
      </c>
      <c r="C29" s="932">
        <f t="shared" si="4"/>
        <v>44887.916666666664</v>
      </c>
      <c r="E29" s="911">
        <v>3</v>
      </c>
      <c r="F29" s="911" t="s">
        <v>352</v>
      </c>
      <c r="G29" s="911">
        <v>0</v>
      </c>
      <c r="H29" s="911">
        <f t="shared" si="1"/>
        <v>-3</v>
      </c>
      <c r="K29" s="909">
        <v>26</v>
      </c>
      <c r="L29" s="911" t="s">
        <v>112</v>
      </c>
      <c r="M29" s="909">
        <v>26</v>
      </c>
      <c r="N29" s="933">
        <v>8.3333333333333329E-2</v>
      </c>
      <c r="O29" s="911">
        <v>-1</v>
      </c>
    </row>
    <row r="30" spans="1:15">
      <c r="A30" s="931">
        <v>44891.541666666664</v>
      </c>
      <c r="C30" s="932">
        <f t="shared" si="4"/>
        <v>44891.541666666664</v>
      </c>
      <c r="E30" s="911">
        <v>3</v>
      </c>
      <c r="F30" s="911" t="s">
        <v>112</v>
      </c>
      <c r="G30" s="911">
        <v>1</v>
      </c>
      <c r="H30" s="911">
        <f t="shared" si="1"/>
        <v>-2</v>
      </c>
      <c r="K30" s="909">
        <v>27</v>
      </c>
      <c r="L30" s="911" t="s">
        <v>117</v>
      </c>
      <c r="M30" s="909">
        <v>27</v>
      </c>
      <c r="N30" s="933">
        <v>0.125</v>
      </c>
      <c r="O30" s="911">
        <v>-1</v>
      </c>
    </row>
    <row r="31" spans="1:15">
      <c r="A31" s="931">
        <v>44891.791666666664</v>
      </c>
      <c r="C31" s="932">
        <f t="shared" si="4"/>
        <v>44891.791666666664</v>
      </c>
      <c r="E31" s="911">
        <v>4</v>
      </c>
      <c r="F31" s="911" t="s">
        <v>350</v>
      </c>
      <c r="G31" s="911">
        <v>1</v>
      </c>
      <c r="H31" s="911">
        <f t="shared" si="1"/>
        <v>-2</v>
      </c>
      <c r="K31" s="909">
        <v>28</v>
      </c>
      <c r="L31" s="911" t="s">
        <v>355</v>
      </c>
      <c r="M31" s="909">
        <v>28</v>
      </c>
      <c r="N31" s="933">
        <v>0.125</v>
      </c>
      <c r="O31" s="911">
        <v>-1</v>
      </c>
    </row>
    <row r="32" spans="1:15">
      <c r="A32" s="931">
        <v>44895.75</v>
      </c>
      <c r="C32" s="932">
        <f t="shared" si="4"/>
        <v>44895.75</v>
      </c>
      <c r="E32" s="911">
        <v>4</v>
      </c>
      <c r="F32" s="911" t="s">
        <v>351</v>
      </c>
      <c r="G32" s="911">
        <v>0</v>
      </c>
      <c r="H32" s="911">
        <f t="shared" si="1"/>
        <v>-3</v>
      </c>
      <c r="K32" s="909">
        <v>29</v>
      </c>
      <c r="L32" s="911" t="s">
        <v>190</v>
      </c>
      <c r="M32" s="909">
        <v>29</v>
      </c>
      <c r="N32" s="933">
        <v>8.3333333333333329E-2</v>
      </c>
      <c r="O32" s="911">
        <v>-1</v>
      </c>
    </row>
    <row r="33" spans="1:15">
      <c r="A33" s="931">
        <v>44895.75</v>
      </c>
      <c r="C33" s="932">
        <f t="shared" si="4"/>
        <v>44895.75</v>
      </c>
      <c r="E33" s="911">
        <v>4</v>
      </c>
      <c r="F33" s="911" t="s">
        <v>202</v>
      </c>
      <c r="G33" s="911">
        <v>10</v>
      </c>
      <c r="H33" s="911">
        <v>7</v>
      </c>
      <c r="I33" s="911" t="s">
        <v>358</v>
      </c>
      <c r="K33" s="909">
        <v>30</v>
      </c>
      <c r="L33" s="911" t="s">
        <v>107</v>
      </c>
      <c r="M33" s="909">
        <v>30</v>
      </c>
      <c r="N33" s="933">
        <v>8.3333333333333329E-2</v>
      </c>
      <c r="O33" s="911">
        <v>-1</v>
      </c>
    </row>
    <row r="34" spans="1:15">
      <c r="E34" s="911">
        <v>4</v>
      </c>
      <c r="F34" s="911" t="s">
        <v>108</v>
      </c>
      <c r="G34" s="911">
        <v>0</v>
      </c>
      <c r="H34" s="911">
        <v>-3</v>
      </c>
      <c r="K34" s="909">
        <v>31</v>
      </c>
      <c r="L34" s="911" t="s">
        <v>356</v>
      </c>
      <c r="M34" s="909">
        <v>31</v>
      </c>
      <c r="N34" s="933">
        <v>8.3333333333333329E-2</v>
      </c>
      <c r="O34" s="911">
        <v>-1</v>
      </c>
    </row>
    <row r="35" spans="1:15">
      <c r="A35" s="936" t="s">
        <v>119</v>
      </c>
      <c r="E35" s="911">
        <v>4</v>
      </c>
      <c r="F35" s="911" t="s">
        <v>216</v>
      </c>
      <c r="G35" s="911">
        <v>-6</v>
      </c>
      <c r="H35" s="911">
        <f t="shared" ref="H35:H60" si="5">G35-$G$4</f>
        <v>-9</v>
      </c>
      <c r="K35" s="909">
        <v>32</v>
      </c>
      <c r="L35" s="911" t="s">
        <v>210</v>
      </c>
      <c r="M35" s="909">
        <v>32</v>
      </c>
      <c r="N35" s="933">
        <v>0.25</v>
      </c>
      <c r="O35" s="911">
        <v>-1</v>
      </c>
    </row>
    <row r="36" spans="1:15">
      <c r="A36" s="931">
        <v>44888.666666666664</v>
      </c>
      <c r="C36" s="932">
        <f t="shared" ref="C36:C41" si="6">A36+VLOOKUP($C$3,$K$4:$O$60,4,0)*VLOOKUP($C$3,$K$4:$O$60,5,0)</f>
        <v>44888.666666666664</v>
      </c>
      <c r="F36" s="911" t="s">
        <v>382</v>
      </c>
      <c r="G36" s="911">
        <v>-12</v>
      </c>
      <c r="H36" s="911">
        <f t="shared" si="5"/>
        <v>-15</v>
      </c>
      <c r="K36" s="909">
        <v>33</v>
      </c>
      <c r="L36" s="911" t="s">
        <v>382</v>
      </c>
      <c r="M36" s="909">
        <v>33</v>
      </c>
      <c r="N36" s="933">
        <v>0.625</v>
      </c>
      <c r="O36" s="911">
        <v>-1</v>
      </c>
    </row>
    <row r="37" spans="1:15">
      <c r="A37" s="931">
        <v>44888.791666666664</v>
      </c>
      <c r="C37" s="932">
        <f t="shared" si="6"/>
        <v>44888.791666666664</v>
      </c>
      <c r="F37" s="911" t="s">
        <v>383</v>
      </c>
      <c r="G37" s="911">
        <v>-11</v>
      </c>
      <c r="H37" s="911">
        <f t="shared" si="5"/>
        <v>-14</v>
      </c>
      <c r="K37" s="909">
        <v>34</v>
      </c>
      <c r="L37" s="911" t="s">
        <v>383</v>
      </c>
      <c r="M37" s="909">
        <v>34</v>
      </c>
      <c r="N37" s="933">
        <v>0.58333333333333337</v>
      </c>
      <c r="O37" s="911">
        <v>-1</v>
      </c>
    </row>
    <row r="38" spans="1:15">
      <c r="A38" s="931">
        <v>44892.541666666664</v>
      </c>
      <c r="C38" s="932">
        <f t="shared" si="6"/>
        <v>44892.541666666664</v>
      </c>
      <c r="F38" s="911" t="s">
        <v>384</v>
      </c>
      <c r="G38" s="911">
        <v>-10</v>
      </c>
      <c r="H38" s="911">
        <f t="shared" si="5"/>
        <v>-13</v>
      </c>
      <c r="K38" s="909">
        <v>35</v>
      </c>
      <c r="L38" s="911" t="s">
        <v>384</v>
      </c>
      <c r="M38" s="909">
        <v>35</v>
      </c>
      <c r="N38" s="933">
        <v>0.54166666666666696</v>
      </c>
      <c r="O38" s="911">
        <v>-1</v>
      </c>
    </row>
    <row r="39" spans="1:15">
      <c r="A39" s="931">
        <v>44892.916666666664</v>
      </c>
      <c r="C39" s="932">
        <f t="shared" si="6"/>
        <v>44892.916666666664</v>
      </c>
      <c r="F39" s="911" t="s">
        <v>385</v>
      </c>
      <c r="G39" s="911">
        <v>-9</v>
      </c>
      <c r="H39" s="911">
        <f t="shared" si="5"/>
        <v>-12</v>
      </c>
      <c r="K39" s="909">
        <v>36</v>
      </c>
      <c r="L39" s="911" t="s">
        <v>385</v>
      </c>
      <c r="M39" s="909">
        <v>36</v>
      </c>
      <c r="N39" s="933">
        <v>0.5</v>
      </c>
      <c r="O39" s="911">
        <v>-1</v>
      </c>
    </row>
    <row r="40" spans="1:15">
      <c r="A40" s="931">
        <v>44896.916666666664</v>
      </c>
      <c r="C40" s="932">
        <f t="shared" si="6"/>
        <v>44896.916666666664</v>
      </c>
      <c r="F40" s="911" t="s">
        <v>386</v>
      </c>
      <c r="G40" s="911">
        <v>-8</v>
      </c>
      <c r="H40" s="911">
        <f t="shared" si="5"/>
        <v>-11</v>
      </c>
      <c r="K40" s="909">
        <v>37</v>
      </c>
      <c r="L40" s="911" t="s">
        <v>386</v>
      </c>
      <c r="M40" s="909">
        <v>37</v>
      </c>
      <c r="N40" s="933">
        <v>0.45833333333333298</v>
      </c>
      <c r="O40" s="911">
        <v>-1</v>
      </c>
    </row>
    <row r="41" spans="1:15">
      <c r="A41" s="931">
        <v>44896.916666666664</v>
      </c>
      <c r="C41" s="932">
        <f t="shared" si="6"/>
        <v>44896.916666666664</v>
      </c>
      <c r="F41" s="911" t="s">
        <v>387</v>
      </c>
      <c r="G41" s="911">
        <v>-7</v>
      </c>
      <c r="H41" s="911">
        <f t="shared" si="5"/>
        <v>-10</v>
      </c>
      <c r="K41" s="909">
        <v>38</v>
      </c>
      <c r="L41" s="911" t="s">
        <v>387</v>
      </c>
      <c r="M41" s="909">
        <v>38</v>
      </c>
      <c r="N41" s="933">
        <v>0.41666666666666702</v>
      </c>
      <c r="O41" s="911">
        <v>-1</v>
      </c>
    </row>
    <row r="42" spans="1:15">
      <c r="F42" s="911" t="s">
        <v>388</v>
      </c>
      <c r="G42" s="911">
        <v>-6</v>
      </c>
      <c r="H42" s="911">
        <f t="shared" si="5"/>
        <v>-9</v>
      </c>
      <c r="K42" s="909">
        <v>39</v>
      </c>
      <c r="L42" s="911" t="s">
        <v>388</v>
      </c>
      <c r="M42" s="909">
        <v>39</v>
      </c>
      <c r="N42" s="933">
        <v>0.375</v>
      </c>
      <c r="O42" s="911">
        <v>-1</v>
      </c>
    </row>
    <row r="43" spans="1:15">
      <c r="A43" s="936" t="s">
        <v>9</v>
      </c>
      <c r="F43" s="911" t="s">
        <v>389</v>
      </c>
      <c r="G43" s="911">
        <v>-5</v>
      </c>
      <c r="H43" s="911">
        <f t="shared" si="5"/>
        <v>-8</v>
      </c>
      <c r="K43" s="909">
        <v>40</v>
      </c>
      <c r="L43" s="911" t="s">
        <v>389</v>
      </c>
      <c r="M43" s="909">
        <v>40</v>
      </c>
      <c r="N43" s="933">
        <v>0.33333333333333398</v>
      </c>
      <c r="O43" s="911">
        <v>-1</v>
      </c>
    </row>
    <row r="44" spans="1:15">
      <c r="A44" s="931">
        <v>44888.541666666664</v>
      </c>
      <c r="C44" s="932">
        <f t="shared" ref="C44:C49" si="7">A44+VLOOKUP($C$3,$K$4:$O$60,4,0)*VLOOKUP($C$3,$K$4:$O$60,5,0)</f>
        <v>44888.541666666664</v>
      </c>
      <c r="F44" s="911" t="s">
        <v>380</v>
      </c>
      <c r="G44" s="911">
        <v>-4</v>
      </c>
      <c r="H44" s="911">
        <f t="shared" si="5"/>
        <v>-7</v>
      </c>
      <c r="K44" s="909">
        <v>41</v>
      </c>
      <c r="L44" s="911" t="s">
        <v>380</v>
      </c>
      <c r="M44" s="909">
        <v>41</v>
      </c>
      <c r="N44" s="933">
        <v>0.29166666666666702</v>
      </c>
      <c r="O44" s="911">
        <v>-1</v>
      </c>
    </row>
    <row r="45" spans="1:15">
      <c r="A45" s="931">
        <v>44888.916666666664</v>
      </c>
      <c r="C45" s="932">
        <f t="shared" si="7"/>
        <v>44888.916666666664</v>
      </c>
      <c r="F45" s="911" t="s">
        <v>390</v>
      </c>
      <c r="G45" s="911">
        <v>-3</v>
      </c>
      <c r="H45" s="911">
        <f t="shared" si="5"/>
        <v>-6</v>
      </c>
      <c r="K45" s="909">
        <v>42</v>
      </c>
      <c r="L45" s="911" t="s">
        <v>390</v>
      </c>
      <c r="M45" s="909">
        <v>42</v>
      </c>
      <c r="N45" s="933">
        <v>0.25</v>
      </c>
      <c r="O45" s="911">
        <v>-1</v>
      </c>
    </row>
    <row r="46" spans="1:15">
      <c r="A46" s="931">
        <v>44892.666666666664</v>
      </c>
      <c r="C46" s="932">
        <f t="shared" si="7"/>
        <v>44892.666666666664</v>
      </c>
      <c r="F46" s="911" t="s">
        <v>391</v>
      </c>
      <c r="G46" s="911">
        <v>-2</v>
      </c>
      <c r="H46" s="911">
        <f t="shared" si="5"/>
        <v>-5</v>
      </c>
      <c r="K46" s="909">
        <v>43</v>
      </c>
      <c r="L46" s="911" t="s">
        <v>391</v>
      </c>
      <c r="M46" s="909">
        <v>43</v>
      </c>
      <c r="N46" s="933">
        <v>0.20833333333333401</v>
      </c>
      <c r="O46" s="911">
        <v>-1</v>
      </c>
    </row>
    <row r="47" spans="1:15">
      <c r="A47" s="931">
        <v>44892.791666666664</v>
      </c>
      <c r="C47" s="932">
        <f t="shared" si="7"/>
        <v>44892.791666666664</v>
      </c>
      <c r="F47" s="911" t="s">
        <v>392</v>
      </c>
      <c r="G47" s="911">
        <v>-1</v>
      </c>
      <c r="H47" s="911">
        <f t="shared" si="5"/>
        <v>-4</v>
      </c>
      <c r="K47" s="909">
        <v>44</v>
      </c>
      <c r="L47" s="911" t="s">
        <v>392</v>
      </c>
      <c r="M47" s="909">
        <v>44</v>
      </c>
      <c r="N47" s="933">
        <v>0.16666666666666699</v>
      </c>
      <c r="O47" s="911">
        <v>-1</v>
      </c>
    </row>
    <row r="48" spans="1:15">
      <c r="A48" s="931">
        <v>44896.75</v>
      </c>
      <c r="C48" s="932">
        <f t="shared" si="7"/>
        <v>44896.75</v>
      </c>
      <c r="F48" s="911" t="s">
        <v>393</v>
      </c>
      <c r="G48" s="911">
        <v>0</v>
      </c>
      <c r="H48" s="911">
        <f t="shared" si="5"/>
        <v>-3</v>
      </c>
      <c r="K48" s="909">
        <v>45</v>
      </c>
      <c r="L48" s="911" t="s">
        <v>393</v>
      </c>
      <c r="M48" s="909">
        <v>45</v>
      </c>
      <c r="N48" s="933">
        <v>0.125</v>
      </c>
      <c r="O48" s="911">
        <v>-1</v>
      </c>
    </row>
    <row r="49" spans="1:15">
      <c r="A49" s="931">
        <v>44896.75</v>
      </c>
      <c r="C49" s="932">
        <f t="shared" si="7"/>
        <v>44896.75</v>
      </c>
      <c r="F49" s="911" t="s">
        <v>394</v>
      </c>
      <c r="G49" s="911">
        <v>1</v>
      </c>
      <c r="H49" s="911">
        <f t="shared" si="5"/>
        <v>-2</v>
      </c>
      <c r="K49" s="909">
        <v>46</v>
      </c>
      <c r="L49" s="911" t="s">
        <v>394</v>
      </c>
      <c r="M49" s="909">
        <v>46</v>
      </c>
      <c r="N49" s="933">
        <v>8.3333333333333995E-2</v>
      </c>
      <c r="O49" s="911">
        <v>-1</v>
      </c>
    </row>
    <row r="50" spans="1:15">
      <c r="F50" s="911" t="s">
        <v>381</v>
      </c>
      <c r="G50" s="911">
        <v>2</v>
      </c>
      <c r="H50" s="911">
        <f t="shared" si="5"/>
        <v>-1</v>
      </c>
      <c r="K50" s="909">
        <v>47</v>
      </c>
      <c r="L50" s="911" t="s">
        <v>381</v>
      </c>
      <c r="M50" s="909">
        <v>47</v>
      </c>
      <c r="N50" s="933">
        <v>4.1666666666666997E-2</v>
      </c>
      <c r="O50" s="911">
        <v>-1</v>
      </c>
    </row>
    <row r="51" spans="1:15">
      <c r="A51" s="936" t="s">
        <v>7</v>
      </c>
      <c r="F51" s="911" t="s">
        <v>395</v>
      </c>
      <c r="G51" s="911">
        <v>3</v>
      </c>
      <c r="H51" s="911">
        <f t="shared" si="5"/>
        <v>0</v>
      </c>
      <c r="K51" s="909">
        <v>48</v>
      </c>
      <c r="L51" s="911" t="s">
        <v>395</v>
      </c>
      <c r="M51" s="909">
        <v>48</v>
      </c>
      <c r="N51" s="933">
        <v>9.9920072216264108E-16</v>
      </c>
      <c r="O51" s="911">
        <v>0</v>
      </c>
    </row>
    <row r="52" spans="1:15">
      <c r="A52" s="931">
        <v>44889.541666666664</v>
      </c>
      <c r="C52" s="932">
        <f t="shared" ref="C52:C57" si="8">A52+VLOOKUP($C$3,$K$4:$O$60,4,0)*VLOOKUP($C$3,$K$4:$O$60,5,0)</f>
        <v>44889.541666666664</v>
      </c>
      <c r="F52" s="911" t="s">
        <v>396</v>
      </c>
      <c r="G52" s="911">
        <v>4</v>
      </c>
      <c r="H52" s="911">
        <f t="shared" si="5"/>
        <v>1</v>
      </c>
      <c r="K52" s="909">
        <v>49</v>
      </c>
      <c r="L52" s="911" t="s">
        <v>396</v>
      </c>
      <c r="M52" s="909">
        <v>49</v>
      </c>
      <c r="N52" s="933">
        <v>4.1666666666666664E-2</v>
      </c>
      <c r="O52" s="911">
        <v>1</v>
      </c>
    </row>
    <row r="53" spans="1:15">
      <c r="A53" s="931">
        <v>44889.916666666664</v>
      </c>
      <c r="C53" s="932">
        <f t="shared" si="8"/>
        <v>44889.916666666664</v>
      </c>
      <c r="F53" s="911" t="s">
        <v>397</v>
      </c>
      <c r="G53" s="911">
        <v>5</v>
      </c>
      <c r="H53" s="911">
        <f t="shared" si="5"/>
        <v>2</v>
      </c>
      <c r="K53" s="909">
        <v>50</v>
      </c>
      <c r="L53" s="911" t="s">
        <v>397</v>
      </c>
      <c r="M53" s="909">
        <v>50</v>
      </c>
      <c r="N53" s="933">
        <v>8.3333333333333329E-2</v>
      </c>
      <c r="O53" s="911">
        <v>1</v>
      </c>
    </row>
    <row r="54" spans="1:15">
      <c r="A54" s="931">
        <v>44893.541666666664</v>
      </c>
      <c r="C54" s="932">
        <f t="shared" si="8"/>
        <v>44893.541666666664</v>
      </c>
      <c r="F54" s="911" t="s">
        <v>398</v>
      </c>
      <c r="G54" s="911">
        <v>6</v>
      </c>
      <c r="H54" s="911">
        <f t="shared" si="5"/>
        <v>3</v>
      </c>
      <c r="K54" s="909">
        <v>51</v>
      </c>
      <c r="L54" s="911" t="s">
        <v>398</v>
      </c>
      <c r="M54" s="909">
        <v>51</v>
      </c>
      <c r="N54" s="933">
        <v>0.125</v>
      </c>
      <c r="O54" s="911">
        <v>1</v>
      </c>
    </row>
    <row r="55" spans="1:15">
      <c r="A55" s="931">
        <v>44893.791666666664</v>
      </c>
      <c r="C55" s="932">
        <f t="shared" si="8"/>
        <v>44893.791666666664</v>
      </c>
      <c r="F55" s="911" t="s">
        <v>399</v>
      </c>
      <c r="G55" s="911">
        <v>7</v>
      </c>
      <c r="H55" s="911">
        <f t="shared" si="5"/>
        <v>4</v>
      </c>
      <c r="K55" s="909">
        <v>52</v>
      </c>
      <c r="L55" s="911" t="s">
        <v>399</v>
      </c>
      <c r="M55" s="909">
        <v>52</v>
      </c>
      <c r="N55" s="933">
        <v>0.16666666666666699</v>
      </c>
      <c r="O55" s="911">
        <v>1</v>
      </c>
    </row>
    <row r="56" spans="1:15">
      <c r="A56" s="931">
        <v>44897.916666666664</v>
      </c>
      <c r="C56" s="932">
        <f t="shared" si="8"/>
        <v>44897.916666666664</v>
      </c>
      <c r="F56" s="911" t="s">
        <v>400</v>
      </c>
      <c r="G56" s="911">
        <v>8</v>
      </c>
      <c r="H56" s="911">
        <f t="shared" si="5"/>
        <v>5</v>
      </c>
      <c r="K56" s="909">
        <v>53</v>
      </c>
      <c r="L56" s="911" t="s">
        <v>400</v>
      </c>
      <c r="M56" s="909">
        <v>53</v>
      </c>
      <c r="N56" s="933">
        <v>0.20833333333333401</v>
      </c>
      <c r="O56" s="911">
        <v>1</v>
      </c>
    </row>
    <row r="57" spans="1:15">
      <c r="A57" s="931">
        <v>44897.916666666664</v>
      </c>
      <c r="C57" s="932">
        <f t="shared" si="8"/>
        <v>44897.916666666664</v>
      </c>
      <c r="F57" s="911" t="s">
        <v>401</v>
      </c>
      <c r="G57" s="911">
        <v>9</v>
      </c>
      <c r="H57" s="911">
        <f t="shared" si="5"/>
        <v>6</v>
      </c>
      <c r="K57" s="909">
        <v>54</v>
      </c>
      <c r="L57" s="911" t="s">
        <v>401</v>
      </c>
      <c r="M57" s="909">
        <v>54</v>
      </c>
      <c r="N57" s="933">
        <v>0.25</v>
      </c>
      <c r="O57" s="911">
        <v>1</v>
      </c>
    </row>
    <row r="58" spans="1:15">
      <c r="F58" s="911" t="s">
        <v>402</v>
      </c>
      <c r="G58" s="911">
        <v>10</v>
      </c>
      <c r="H58" s="911">
        <f t="shared" si="5"/>
        <v>7</v>
      </c>
      <c r="K58" s="909">
        <v>55</v>
      </c>
      <c r="L58" s="911" t="s">
        <v>402</v>
      </c>
      <c r="M58" s="909">
        <v>55</v>
      </c>
      <c r="N58" s="933">
        <v>0.29166666666666702</v>
      </c>
      <c r="O58" s="911">
        <v>1</v>
      </c>
    </row>
    <row r="59" spans="1:15">
      <c r="A59" s="936" t="s">
        <v>168</v>
      </c>
      <c r="F59" s="911" t="s">
        <v>403</v>
      </c>
      <c r="G59" s="911">
        <v>11</v>
      </c>
      <c r="H59" s="911">
        <f t="shared" si="5"/>
        <v>8</v>
      </c>
      <c r="K59" s="909">
        <v>56</v>
      </c>
      <c r="L59" s="911" t="s">
        <v>403</v>
      </c>
      <c r="M59" s="909">
        <v>56</v>
      </c>
      <c r="N59" s="933">
        <v>0.33333333333333398</v>
      </c>
      <c r="O59" s="911">
        <v>1</v>
      </c>
    </row>
    <row r="60" spans="1:15">
      <c r="A60" s="931">
        <v>44889.666666666664</v>
      </c>
      <c r="C60" s="932">
        <f t="shared" ref="C60:C65" si="9">A60+VLOOKUP($C$3,$K$4:$O$60,4,0)*VLOOKUP($C$3,$K$4:$O$60,5,0)</f>
        <v>44889.666666666664</v>
      </c>
      <c r="F60" s="911" t="s">
        <v>404</v>
      </c>
      <c r="G60" s="911">
        <v>12</v>
      </c>
      <c r="H60" s="911">
        <f t="shared" si="5"/>
        <v>9</v>
      </c>
      <c r="K60" s="909">
        <v>57</v>
      </c>
      <c r="L60" s="911" t="s">
        <v>404</v>
      </c>
      <c r="M60" s="909">
        <v>57</v>
      </c>
      <c r="N60" s="933">
        <v>0.375</v>
      </c>
      <c r="O60" s="911">
        <v>1</v>
      </c>
    </row>
    <row r="61" spans="1:15">
      <c r="A61" s="931">
        <v>44889.791666666664</v>
      </c>
      <c r="C61" s="932">
        <f t="shared" si="9"/>
        <v>44889.791666666664</v>
      </c>
    </row>
    <row r="62" spans="1:15">
      <c r="A62" s="931">
        <v>44893.666666666664</v>
      </c>
      <c r="C62" s="932">
        <f t="shared" si="9"/>
        <v>44893.666666666664</v>
      </c>
    </row>
    <row r="63" spans="1:15">
      <c r="A63" s="931">
        <v>44893.916666666664</v>
      </c>
      <c r="C63" s="932">
        <f t="shared" si="9"/>
        <v>44893.916666666664</v>
      </c>
    </row>
    <row r="64" spans="1:15">
      <c r="A64" s="931">
        <v>44897.75</v>
      </c>
      <c r="C64" s="932">
        <f t="shared" si="9"/>
        <v>44897.75</v>
      </c>
    </row>
    <row r="65" spans="1:3">
      <c r="A65" s="931">
        <v>44897.75</v>
      </c>
      <c r="C65" s="932">
        <f t="shared" si="9"/>
        <v>44897.75</v>
      </c>
    </row>
    <row r="67" spans="1:3">
      <c r="A67" s="937" t="s">
        <v>125</v>
      </c>
    </row>
    <row r="68" spans="1:3">
      <c r="A68" s="938">
        <v>44898.75</v>
      </c>
      <c r="C68" s="932">
        <f t="shared" ref="C68:C75" si="10">A68+VLOOKUP($C$3,$K$4:$O$60,4,0)*VLOOKUP($C$3,$K$4:$O$60,5,0)</f>
        <v>44898.75</v>
      </c>
    </row>
    <row r="69" spans="1:3">
      <c r="A69" s="938">
        <v>44898.916666666664</v>
      </c>
      <c r="C69" s="932">
        <f t="shared" si="10"/>
        <v>44898.916666666664</v>
      </c>
    </row>
    <row r="70" spans="1:3">
      <c r="A70" s="938">
        <v>44899.75</v>
      </c>
      <c r="C70" s="932">
        <f t="shared" si="10"/>
        <v>44899.75</v>
      </c>
    </row>
    <row r="71" spans="1:3">
      <c r="A71" s="938">
        <v>44899.916666666664</v>
      </c>
      <c r="C71" s="932">
        <f t="shared" si="10"/>
        <v>44899.916666666664</v>
      </c>
    </row>
    <row r="72" spans="1:3">
      <c r="A72" s="938">
        <v>44900.75</v>
      </c>
      <c r="C72" s="932">
        <f t="shared" si="10"/>
        <v>44900.75</v>
      </c>
    </row>
    <row r="73" spans="1:3">
      <c r="A73" s="938">
        <v>44900.916666666664</v>
      </c>
      <c r="C73" s="932">
        <f t="shared" si="10"/>
        <v>44900.916666666664</v>
      </c>
    </row>
    <row r="74" spans="1:3">
      <c r="A74" s="938">
        <v>44901.75</v>
      </c>
      <c r="C74" s="932">
        <f t="shared" si="10"/>
        <v>44901.75</v>
      </c>
    </row>
    <row r="75" spans="1:3">
      <c r="A75" s="938">
        <v>44901.916666666664</v>
      </c>
      <c r="C75" s="932">
        <f t="shared" si="10"/>
        <v>44901.916666666664</v>
      </c>
    </row>
    <row r="79" spans="1:3">
      <c r="A79" s="937" t="s">
        <v>124</v>
      </c>
    </row>
    <row r="80" spans="1:3">
      <c r="A80" s="938">
        <v>44904.75</v>
      </c>
      <c r="C80" s="932">
        <f>A80+VLOOKUP($C$3,$K$4:$O$60,4,0)*VLOOKUP($C$3,$K$4:$O$60,5,0)</f>
        <v>44904.75</v>
      </c>
    </row>
    <row r="81" spans="1:3">
      <c r="A81" s="938">
        <v>44904.916666666664</v>
      </c>
      <c r="C81" s="932">
        <f>A81+VLOOKUP($C$3,$K$4:$O$60,4,0)*VLOOKUP($C$3,$K$4:$O$60,5,0)</f>
        <v>44904.916666666664</v>
      </c>
    </row>
    <row r="82" spans="1:3">
      <c r="A82" s="938">
        <v>44905.75</v>
      </c>
      <c r="C82" s="932">
        <f>A82+VLOOKUP($C$3,$K$4:$O$60,4,0)*VLOOKUP($C$3,$K$4:$O$60,5,0)</f>
        <v>44905.75</v>
      </c>
    </row>
    <row r="83" spans="1:3">
      <c r="A83" s="938">
        <v>44905.916666666664</v>
      </c>
      <c r="C83" s="932">
        <f>A83+VLOOKUP($C$3,$K$4:$O$60,4,0)*VLOOKUP($C$3,$K$4:$O$60,5,0)</f>
        <v>44905.916666666664</v>
      </c>
    </row>
    <row r="85" spans="1:3">
      <c r="A85" s="939" t="s">
        <v>86</v>
      </c>
    </row>
    <row r="86" spans="1:3">
      <c r="A86" s="938">
        <v>44908.916666666664</v>
      </c>
      <c r="C86" s="932">
        <f>A86+VLOOKUP($C$3,$K$4:$O$60,4,0)*VLOOKUP($C$3,$K$4:$O$60,5,0)</f>
        <v>44908.916666666664</v>
      </c>
    </row>
    <row r="87" spans="1:3">
      <c r="A87" s="938">
        <v>44909.916666666664</v>
      </c>
      <c r="C87" s="932">
        <f>A87+VLOOKUP($C$3,$K$4:$O$60,4,0)*VLOOKUP($C$3,$K$4:$O$60,5,0)</f>
        <v>44909.916666666664</v>
      </c>
    </row>
    <row r="89" spans="1:3">
      <c r="A89" s="940" t="s">
        <v>169</v>
      </c>
    </row>
    <row r="90" spans="1:3">
      <c r="A90" s="938">
        <v>44912.75</v>
      </c>
      <c r="C90" s="932">
        <f>A90+VLOOKUP($C$3,$K$4:$O$60,4,0)*VLOOKUP($C$3,$K$4:$O$60,5,0)</f>
        <v>44912.75</v>
      </c>
    </row>
    <row r="92" spans="1:3">
      <c r="A92" s="940" t="s">
        <v>4</v>
      </c>
    </row>
    <row r="93" spans="1:3">
      <c r="A93" s="938">
        <v>44913.75</v>
      </c>
      <c r="C93" s="932">
        <f>A93+VLOOKUP($C$3,$K$4:$O$60,4,0)*VLOOKUP($C$3,$K$4:$O$60,5,0)</f>
        <v>44913.75</v>
      </c>
    </row>
    <row r="1048576" spans="14:14">
      <c r="N1048576" s="933"/>
    </row>
  </sheetData>
  <sheetProtection algorithmName="SHA-512" hashValue="se4ZjMU/cR7vsEhbiOp8HuDv05HrZQUc4V1Sv5H/dvwjEkdGktC69G9HtTXN6Mz2UeoFVnYSKJ75FBt8S2kMKA==" saltValue="nGwvMgWCqPFTowvDyc7y3A==" spinCount="100000" sheet="1" scenarios="1" selectLockedCells="1" selectUnlockedCells="1"/>
  <phoneticPr fontId="23" type="noConversion"/>
  <conditionalFormatting sqref="Q4:Q27">
    <cfRule type="duplicateValues" dxfId="3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tabColor rgb="FFFFC000"/>
  </sheetPr>
  <dimension ref="A1:MAL501"/>
  <sheetViews>
    <sheetView topLeftCell="A2" zoomScaleNormal="100" zoomScalePageLayoutView="75" workbookViewId="0">
      <selection activeCell="E3" sqref="E3"/>
    </sheetView>
  </sheetViews>
  <sheetFormatPr baseColWidth="10" defaultColWidth="20.5" defaultRowHeight="15" customHeight="1"/>
  <cols>
    <col min="1" max="1" width="6.83203125" style="942" bestFit="1" customWidth="1"/>
    <col min="2" max="2" width="16.83203125" style="942" customWidth="1"/>
    <col min="3" max="3" width="11.5" style="942" customWidth="1"/>
    <col min="4" max="4" width="8.83203125" style="942" bestFit="1" customWidth="1"/>
    <col min="5" max="5" width="11.33203125" style="942" customWidth="1"/>
    <col min="6" max="6" width="15.33203125" style="942" customWidth="1"/>
    <col min="7" max="7" width="4.1640625" style="942" bestFit="1" customWidth="1"/>
    <col min="8" max="8" width="20.5" style="942"/>
    <col min="9" max="9" width="13" style="942" customWidth="1"/>
    <col min="10" max="10" width="12" style="942" customWidth="1"/>
    <col min="11" max="16384" width="20.5" style="942"/>
  </cols>
  <sheetData>
    <row r="1" spans="1:18 8826:8826" ht="15" customHeight="1">
      <c r="A1" s="941" t="s">
        <v>73</v>
      </c>
      <c r="B1" s="941" t="s">
        <v>74</v>
      </c>
      <c r="C1" s="941" t="s">
        <v>103</v>
      </c>
      <c r="D1" s="941" t="s">
        <v>15</v>
      </c>
      <c r="F1" s="942" t="s">
        <v>77</v>
      </c>
      <c r="H1" s="941"/>
      <c r="I1" s="941"/>
      <c r="K1" s="942" t="s">
        <v>141</v>
      </c>
      <c r="N1" s="942" t="s">
        <v>274</v>
      </c>
      <c r="P1" s="942" t="s">
        <v>405</v>
      </c>
    </row>
    <row r="2" spans="1:18 8826:8826" ht="15" customHeight="1">
      <c r="A2" s="943">
        <v>1</v>
      </c>
      <c r="B2" s="944" t="str">
        <f>VLOOKUP(Tabla3[[#This Row],[OK]],$G$2:$H$33,2,0)</f>
        <v>Catar</v>
      </c>
      <c r="C2" s="944" t="s">
        <v>0</v>
      </c>
      <c r="D2" s="944">
        <v>1</v>
      </c>
      <c r="F2" s="942" t="s">
        <v>0</v>
      </c>
      <c r="G2" s="929">
        <v>1</v>
      </c>
      <c r="H2" s="911" t="s">
        <v>176</v>
      </c>
      <c r="I2" s="929" t="str">
        <f t="shared" ref="I2:I33" si="0">VLOOKUP(H2,$K$2:$L$56,2,0)</f>
        <v>🇶🇦</v>
      </c>
      <c r="K2" s="911" t="s">
        <v>176</v>
      </c>
      <c r="L2" s="911" t="s">
        <v>223</v>
      </c>
      <c r="N2" s="942">
        <v>1</v>
      </c>
      <c r="P2" s="945">
        <v>44885</v>
      </c>
      <c r="MAL2" s="942" t="s">
        <v>18</v>
      </c>
    </row>
    <row r="3" spans="1:18 8826:8826" ht="15" customHeight="1">
      <c r="A3" s="943">
        <v>2</v>
      </c>
      <c r="B3" s="944" t="str">
        <f>VLOOKUP(Tabla3[[#This Row],[OK]],$G$2:$H$33,2,0)</f>
        <v>Ecuador</v>
      </c>
      <c r="C3" s="944" t="s">
        <v>0</v>
      </c>
      <c r="D3" s="944">
        <v>2</v>
      </c>
      <c r="F3" s="942" t="s">
        <v>1</v>
      </c>
      <c r="G3" s="929">
        <v>2</v>
      </c>
      <c r="H3" s="911" t="s">
        <v>209</v>
      </c>
      <c r="I3" s="929" t="str">
        <f t="shared" si="0"/>
        <v>🇪🇨</v>
      </c>
      <c r="K3" s="911" t="s">
        <v>82</v>
      </c>
      <c r="L3" s="911" t="s">
        <v>233</v>
      </c>
      <c r="N3" s="942">
        <v>2</v>
      </c>
      <c r="P3" s="945">
        <v>44886</v>
      </c>
    </row>
    <row r="4" spans="1:18 8826:8826" ht="15" customHeight="1">
      <c r="A4" s="943">
        <v>3</v>
      </c>
      <c r="B4" s="944" t="str">
        <f>VLOOKUP(Tabla3[[#This Row],[OK]],$G$2:$H$33,2,0)</f>
        <v>Senegal</v>
      </c>
      <c r="C4" s="944" t="s">
        <v>0</v>
      </c>
      <c r="D4" s="944">
        <v>3</v>
      </c>
      <c r="F4" s="942" t="s">
        <v>2</v>
      </c>
      <c r="G4" s="929">
        <v>3</v>
      </c>
      <c r="H4" s="911" t="s">
        <v>355</v>
      </c>
      <c r="I4" s="929" t="str">
        <f t="shared" si="0"/>
        <v>🇸🇳</v>
      </c>
      <c r="K4" s="911" t="s">
        <v>192</v>
      </c>
      <c r="L4" s="911" t="s">
        <v>238</v>
      </c>
      <c r="N4" s="942">
        <v>3</v>
      </c>
      <c r="P4" s="945">
        <v>44887</v>
      </c>
    </row>
    <row r="5" spans="1:18 8826:8826" ht="15" customHeight="1">
      <c r="A5" s="943">
        <v>4</v>
      </c>
      <c r="B5" s="944" t="str">
        <f>VLOOKUP(Tabla3[[#This Row],[OK]],$G$2:$H$33,2,0)</f>
        <v>Paises Bajos</v>
      </c>
      <c r="C5" s="944" t="s">
        <v>0</v>
      </c>
      <c r="D5" s="944">
        <v>4</v>
      </c>
      <c r="F5" s="942" t="s">
        <v>105</v>
      </c>
      <c r="G5" s="929">
        <v>4</v>
      </c>
      <c r="H5" s="911" t="s">
        <v>143</v>
      </c>
      <c r="I5" s="929" t="str">
        <f t="shared" si="0"/>
        <v>🇳🇱</v>
      </c>
      <c r="K5" s="911" t="s">
        <v>193</v>
      </c>
      <c r="L5" s="911" t="s">
        <v>239</v>
      </c>
      <c r="N5" s="942">
        <v>4</v>
      </c>
      <c r="P5" s="945">
        <v>44888</v>
      </c>
    </row>
    <row r="6" spans="1:18 8826:8826" ht="15" customHeight="1">
      <c r="A6" s="943">
        <v>5</v>
      </c>
      <c r="B6" s="944" t="str">
        <f>VLOOKUP(Tabla3[[#This Row],[OK]],$G$2:$H$33,2,0)</f>
        <v>Inglaterra</v>
      </c>
      <c r="C6" s="944" t="s">
        <v>1</v>
      </c>
      <c r="D6" s="944">
        <v>5</v>
      </c>
      <c r="F6" s="942" t="s">
        <v>3</v>
      </c>
      <c r="G6" s="929">
        <v>5</v>
      </c>
      <c r="H6" s="911" t="s">
        <v>109</v>
      </c>
      <c r="I6" s="929" t="str">
        <f t="shared" si="0"/>
        <v>🏴󠁧󠁢󠁥󠁮󠁧󠁿</v>
      </c>
      <c r="K6" s="911" t="s">
        <v>111</v>
      </c>
      <c r="L6" s="911" t="s">
        <v>237</v>
      </c>
      <c r="N6" s="942">
        <v>5</v>
      </c>
      <c r="P6" s="945">
        <v>44889</v>
      </c>
    </row>
    <row r="7" spans="1:18 8826:8826" ht="15" customHeight="1">
      <c r="A7" s="943">
        <v>6</v>
      </c>
      <c r="B7" s="944" t="str">
        <f>VLOOKUP(Tabla3[[#This Row],[OK]],$G$2:$H$33,2,0)</f>
        <v>Irán</v>
      </c>
      <c r="C7" s="944" t="s">
        <v>1</v>
      </c>
      <c r="D7" s="944">
        <v>6</v>
      </c>
      <c r="F7" s="942" t="s">
        <v>4</v>
      </c>
      <c r="G7" s="929">
        <v>6</v>
      </c>
      <c r="H7" s="911" t="s">
        <v>195</v>
      </c>
      <c r="I7" s="929" t="str">
        <f t="shared" si="0"/>
        <v>🇮🇷</v>
      </c>
      <c r="K7" s="911" t="s">
        <v>106</v>
      </c>
      <c r="L7" s="911" t="s">
        <v>236</v>
      </c>
      <c r="N7" s="942">
        <v>6</v>
      </c>
      <c r="P7" s="945">
        <v>44890</v>
      </c>
    </row>
    <row r="8" spans="1:18 8826:8826" ht="15" customHeight="1">
      <c r="A8" s="943">
        <v>7</v>
      </c>
      <c r="B8" s="944" t="str">
        <f>VLOOKUP(Tabla3[[#This Row],[OK]],$G$2:$H$33,2,0)</f>
        <v>Estados unidos</v>
      </c>
      <c r="C8" s="944" t="s">
        <v>1</v>
      </c>
      <c r="D8" s="944">
        <v>7</v>
      </c>
      <c r="F8" s="942" t="s">
        <v>7</v>
      </c>
      <c r="G8" s="929">
        <v>7</v>
      </c>
      <c r="H8" s="911" t="s">
        <v>214</v>
      </c>
      <c r="I8" s="929" t="str">
        <f t="shared" si="0"/>
        <v>🇺🇸</v>
      </c>
      <c r="K8" s="911" t="s">
        <v>115</v>
      </c>
      <c r="L8" s="911" t="s">
        <v>224</v>
      </c>
      <c r="N8" s="942">
        <v>7</v>
      </c>
      <c r="P8" s="945">
        <v>44891</v>
      </c>
    </row>
    <row r="9" spans="1:18 8826:8826" ht="15" customHeight="1">
      <c r="A9" s="943">
        <v>8</v>
      </c>
      <c r="B9" s="944" t="str">
        <f>VLOOKUP(Tabla3[[#This Row],[OK]],$G$2:$H$33,2,0)</f>
        <v>Gales</v>
      </c>
      <c r="C9" s="944" t="s">
        <v>1</v>
      </c>
      <c r="D9" s="944">
        <v>8</v>
      </c>
      <c r="F9" s="942" t="s">
        <v>167</v>
      </c>
      <c r="G9" s="929">
        <v>8</v>
      </c>
      <c r="H9" s="911" t="s">
        <v>108</v>
      </c>
      <c r="I9" s="929" t="str">
        <f t="shared" si="0"/>
        <v>🏴󠁧󠁢󠁷󠁬󠁳󠁿</v>
      </c>
      <c r="K9" s="911" t="s">
        <v>109</v>
      </c>
      <c r="L9" s="911" t="s">
        <v>230</v>
      </c>
      <c r="N9" s="942">
        <v>8</v>
      </c>
      <c r="P9" s="945">
        <v>44892</v>
      </c>
    </row>
    <row r="10" spans="1:18 8826:8826" ht="15" customHeight="1">
      <c r="A10" s="943">
        <v>9</v>
      </c>
      <c r="B10" s="944" t="str">
        <f>VLOOKUP(Tabla3[[#This Row],[OK]],$G$2:$H$33,2,0)</f>
        <v>Argentina</v>
      </c>
      <c r="C10" s="944" t="s">
        <v>2</v>
      </c>
      <c r="D10" s="944">
        <v>9</v>
      </c>
      <c r="G10" s="929">
        <v>9</v>
      </c>
      <c r="H10" s="911" t="s">
        <v>192</v>
      </c>
      <c r="I10" s="929" t="str">
        <f t="shared" si="0"/>
        <v>🇦🇷</v>
      </c>
      <c r="K10" s="911" t="s">
        <v>143</v>
      </c>
      <c r="L10" s="911" t="s">
        <v>229</v>
      </c>
      <c r="N10" s="942">
        <v>9</v>
      </c>
      <c r="P10" s="945">
        <v>44893</v>
      </c>
    </row>
    <row r="11" spans="1:18 8826:8826" ht="15" customHeight="1">
      <c r="A11" s="943">
        <v>10</v>
      </c>
      <c r="B11" s="944" t="str">
        <f>VLOOKUP(Tabla3[[#This Row],[OK]],$G$2:$H$33,2,0)</f>
        <v>Arabia Saudita</v>
      </c>
      <c r="C11" s="944" t="s">
        <v>2</v>
      </c>
      <c r="D11" s="944">
        <v>10</v>
      </c>
      <c r="G11" s="929">
        <v>10</v>
      </c>
      <c r="H11" s="911" t="s">
        <v>203</v>
      </c>
      <c r="I11" s="929" t="str">
        <f t="shared" si="0"/>
        <v>🇸🇦</v>
      </c>
      <c r="K11" s="911" t="s">
        <v>110</v>
      </c>
      <c r="L11" s="911" t="s">
        <v>228</v>
      </c>
      <c r="N11" s="942">
        <v>10</v>
      </c>
      <c r="P11" s="945">
        <v>44894</v>
      </c>
    </row>
    <row r="12" spans="1:18 8826:8826" ht="15" customHeight="1">
      <c r="A12" s="943">
        <v>11</v>
      </c>
      <c r="B12" s="944" t="str">
        <f>VLOOKUP(Tabla3[[#This Row],[OK]],$G$2:$H$33,2,0)</f>
        <v>México</v>
      </c>
      <c r="C12" s="944" t="s">
        <v>2</v>
      </c>
      <c r="D12" s="944">
        <v>11</v>
      </c>
      <c r="G12" s="929">
        <v>11</v>
      </c>
      <c r="H12" s="911" t="s">
        <v>353</v>
      </c>
      <c r="I12" s="929" t="str">
        <f t="shared" si="0"/>
        <v>🇲🇽</v>
      </c>
      <c r="K12" s="911" t="s">
        <v>195</v>
      </c>
      <c r="L12" s="911" t="s">
        <v>240</v>
      </c>
      <c r="N12" s="942">
        <v>11</v>
      </c>
      <c r="P12" s="945">
        <v>44895</v>
      </c>
    </row>
    <row r="13" spans="1:18 8826:8826" ht="15" customHeight="1">
      <c r="A13" s="943">
        <v>12</v>
      </c>
      <c r="B13" s="944" t="str">
        <f>VLOOKUP(Tabla3[[#This Row],[OK]],$G$2:$H$33,2,0)</f>
        <v>Polonia</v>
      </c>
      <c r="C13" s="944" t="s">
        <v>2</v>
      </c>
      <c r="D13" s="944">
        <v>12</v>
      </c>
      <c r="G13" s="929">
        <v>12</v>
      </c>
      <c r="H13" s="911" t="s">
        <v>112</v>
      </c>
      <c r="I13" s="929" t="str">
        <f t="shared" si="0"/>
        <v>🇵🇱</v>
      </c>
      <c r="K13" s="911" t="s">
        <v>196</v>
      </c>
      <c r="L13" s="911" t="s">
        <v>241</v>
      </c>
      <c r="N13" s="942">
        <v>12</v>
      </c>
      <c r="P13" s="945">
        <v>44896</v>
      </c>
    </row>
    <row r="14" spans="1:18 8826:8826" ht="15" customHeight="1">
      <c r="A14" s="943">
        <v>13</v>
      </c>
      <c r="B14" s="944" t="str">
        <f>VLOOKUP(Tabla3[[#This Row],[OK]],$G$2:$H$33,2,0)</f>
        <v>Francia</v>
      </c>
      <c r="C14" s="944" t="s">
        <v>105</v>
      </c>
      <c r="D14" s="944">
        <v>13</v>
      </c>
      <c r="G14" s="929">
        <v>13</v>
      </c>
      <c r="H14" s="911" t="s">
        <v>106</v>
      </c>
      <c r="I14" s="929" t="str">
        <f t="shared" si="0"/>
        <v>🇫🇷</v>
      </c>
      <c r="K14" s="911" t="s">
        <v>197</v>
      </c>
      <c r="L14" s="911" t="s">
        <v>242</v>
      </c>
      <c r="N14" s="942">
        <v>13</v>
      </c>
      <c r="P14" s="945">
        <v>44897</v>
      </c>
    </row>
    <row r="15" spans="1:18 8826:8826" ht="15" customHeight="1">
      <c r="A15" s="943">
        <v>14</v>
      </c>
      <c r="B15" s="944" t="str">
        <f>VLOOKUP(Tabla3[[#This Row],[OK]],$G$2:$H$33,2,0)</f>
        <v>Dinamarca</v>
      </c>
      <c r="C15" s="944" t="s">
        <v>105</v>
      </c>
      <c r="D15" s="944">
        <v>14</v>
      </c>
      <c r="G15" s="929">
        <v>14</v>
      </c>
      <c r="H15" s="911" t="s">
        <v>142</v>
      </c>
      <c r="I15" s="929" t="str">
        <f t="shared" si="0"/>
        <v>🇩🇰</v>
      </c>
      <c r="K15" s="911" t="s">
        <v>198</v>
      </c>
      <c r="L15" s="911" t="s">
        <v>243</v>
      </c>
      <c r="N15" s="942">
        <v>14</v>
      </c>
      <c r="O15" s="946"/>
      <c r="P15" s="945">
        <v>44898</v>
      </c>
      <c r="Q15" s="946"/>
      <c r="R15" s="946"/>
    </row>
    <row r="16" spans="1:18 8826:8826" ht="15" customHeight="1">
      <c r="A16" s="943">
        <v>15</v>
      </c>
      <c r="B16" s="944" t="str">
        <f>VLOOKUP(Tabla3[[#This Row],[OK]],$G$2:$H$33,2,0)</f>
        <v>Túnez</v>
      </c>
      <c r="C16" s="944" t="s">
        <v>105</v>
      </c>
      <c r="D16" s="944">
        <v>15</v>
      </c>
      <c r="G16" s="929">
        <v>15</v>
      </c>
      <c r="H16" s="911" t="s">
        <v>356</v>
      </c>
      <c r="I16" s="929" t="str">
        <f t="shared" si="0"/>
        <v>🇹🇳</v>
      </c>
      <c r="K16" s="911" t="s">
        <v>199</v>
      </c>
      <c r="L16" s="911" t="s">
        <v>244</v>
      </c>
      <c r="N16" s="942">
        <v>15</v>
      </c>
      <c r="P16" s="945">
        <v>44899</v>
      </c>
    </row>
    <row r="17" spans="1:331 8826:8826" ht="15" customHeight="1">
      <c r="A17" s="943">
        <v>16</v>
      </c>
      <c r="B17" s="944" t="str">
        <f>VLOOKUP(Tabla3[[#This Row],[OK]],$G$2:$H$33,2,0)</f>
        <v>Australia</v>
      </c>
      <c r="C17" s="944" t="s">
        <v>105</v>
      </c>
      <c r="D17" s="944">
        <v>16</v>
      </c>
      <c r="G17" s="929">
        <v>16</v>
      </c>
      <c r="H17" s="911" t="s">
        <v>202</v>
      </c>
      <c r="I17" s="929" t="str">
        <f t="shared" si="0"/>
        <v>🇦🇺</v>
      </c>
      <c r="K17" s="911" t="s">
        <v>200</v>
      </c>
      <c r="L17" s="911" t="s">
        <v>245</v>
      </c>
      <c r="N17" s="942">
        <v>16</v>
      </c>
      <c r="P17" s="945">
        <v>44900</v>
      </c>
    </row>
    <row r="18" spans="1:331 8826:8826" ht="15" customHeight="1">
      <c r="A18" s="943">
        <v>17</v>
      </c>
      <c r="B18" s="944" t="str">
        <f>VLOOKUP(Tabla3[[#This Row],[OK]],$G$2:$H$33,2,0)</f>
        <v>España</v>
      </c>
      <c r="C18" s="944" t="s">
        <v>3</v>
      </c>
      <c r="D18" s="944">
        <v>17</v>
      </c>
      <c r="G18" s="929">
        <v>17</v>
      </c>
      <c r="H18" s="911" t="s">
        <v>82</v>
      </c>
      <c r="I18" s="929" t="str">
        <f t="shared" si="0"/>
        <v>🇪🇸</v>
      </c>
      <c r="K18" s="911" t="s">
        <v>201</v>
      </c>
      <c r="L18" s="911" t="s">
        <v>246</v>
      </c>
      <c r="N18" s="942">
        <v>17</v>
      </c>
      <c r="P18" s="945">
        <v>44901</v>
      </c>
    </row>
    <row r="19" spans="1:331 8826:8826" ht="15" customHeight="1">
      <c r="A19" s="943">
        <v>18</v>
      </c>
      <c r="B19" s="944" t="str">
        <f>VLOOKUP(Tabla3[[#This Row],[OK]],$G$2:$H$33,2,0)</f>
        <v>Costa Rica</v>
      </c>
      <c r="C19" s="944" t="s">
        <v>3</v>
      </c>
      <c r="D19" s="944">
        <v>18</v>
      </c>
      <c r="G19" s="929">
        <v>18</v>
      </c>
      <c r="H19" s="911" t="s">
        <v>216</v>
      </c>
      <c r="I19" s="929" t="str">
        <f t="shared" si="0"/>
        <v>🇨🇷</v>
      </c>
      <c r="K19" s="911" t="s">
        <v>202</v>
      </c>
      <c r="L19" s="911" t="s">
        <v>247</v>
      </c>
      <c r="N19" s="942">
        <v>18</v>
      </c>
      <c r="P19" s="945">
        <v>44904</v>
      </c>
    </row>
    <row r="20" spans="1:331 8826:8826" ht="15" customHeight="1">
      <c r="A20" s="943">
        <v>19</v>
      </c>
      <c r="B20" s="944" t="str">
        <f>VLOOKUP(Tabla3[[#This Row],[OK]],$G$2:$H$33,2,0)</f>
        <v>Alemania</v>
      </c>
      <c r="C20" s="944" t="s">
        <v>3</v>
      </c>
      <c r="D20" s="944">
        <v>19</v>
      </c>
      <c r="G20" s="929">
        <v>19</v>
      </c>
      <c r="H20" s="911" t="s">
        <v>111</v>
      </c>
      <c r="I20" s="929" t="str">
        <f t="shared" si="0"/>
        <v>🇩🇪</v>
      </c>
      <c r="K20" s="911" t="s">
        <v>203</v>
      </c>
      <c r="L20" s="911" t="s">
        <v>248</v>
      </c>
      <c r="N20" s="942">
        <v>19</v>
      </c>
      <c r="P20" s="945">
        <v>44905</v>
      </c>
    </row>
    <row r="21" spans="1:331 8826:8826" ht="15" customHeight="1">
      <c r="A21" s="943">
        <v>20</v>
      </c>
      <c r="B21" s="944" t="str">
        <f>VLOOKUP(Tabla3[[#This Row],[OK]],$G$2:$H$33,2,0)</f>
        <v>Japón</v>
      </c>
      <c r="C21" s="944" t="s">
        <v>3</v>
      </c>
      <c r="D21" s="944">
        <v>20</v>
      </c>
      <c r="G21" s="929">
        <v>20</v>
      </c>
      <c r="H21" s="911" t="s">
        <v>201</v>
      </c>
      <c r="I21" s="929" t="str">
        <f t="shared" si="0"/>
        <v>🇯🇵</v>
      </c>
      <c r="K21" s="911" t="s">
        <v>204</v>
      </c>
      <c r="L21" s="911" t="s">
        <v>249</v>
      </c>
      <c r="N21" s="942">
        <v>20</v>
      </c>
      <c r="P21" s="945">
        <v>44908</v>
      </c>
    </row>
    <row r="22" spans="1:331 8826:8826" ht="15" customHeight="1">
      <c r="A22" s="943">
        <v>21</v>
      </c>
      <c r="B22" s="944" t="str">
        <f>VLOOKUP(Tabla3[[#This Row],[OK]],$G$2:$H$33,2,0)</f>
        <v>Bélgica</v>
      </c>
      <c r="C22" s="944" t="s">
        <v>4</v>
      </c>
      <c r="D22" s="944">
        <v>21</v>
      </c>
      <c r="G22" s="929">
        <v>21</v>
      </c>
      <c r="H22" s="911" t="s">
        <v>140</v>
      </c>
      <c r="I22" s="929" t="str">
        <f t="shared" si="0"/>
        <v>🇧🇪</v>
      </c>
      <c r="K22" s="911" t="s">
        <v>205</v>
      </c>
      <c r="L22" s="911" t="s">
        <v>250</v>
      </c>
      <c r="N22" s="942">
        <v>21</v>
      </c>
      <c r="P22" s="945">
        <v>44909</v>
      </c>
    </row>
    <row r="23" spans="1:331 8826:8826" ht="15" customHeight="1">
      <c r="A23" s="943">
        <v>22</v>
      </c>
      <c r="B23" s="944" t="str">
        <f>VLOOKUP(Tabla3[[#This Row],[OK]],$G$2:$H$33,2,0)</f>
        <v>Canadá</v>
      </c>
      <c r="C23" s="944" t="s">
        <v>4</v>
      </c>
      <c r="D23" s="944">
        <v>22</v>
      </c>
      <c r="G23" s="929">
        <v>22</v>
      </c>
      <c r="H23" s="911" t="s">
        <v>215</v>
      </c>
      <c r="I23" s="929" t="str">
        <f t="shared" si="0"/>
        <v>🇨🇦</v>
      </c>
      <c r="K23" s="911" t="s">
        <v>206</v>
      </c>
      <c r="L23" s="911" t="s">
        <v>251</v>
      </c>
      <c r="N23" s="942">
        <v>22</v>
      </c>
      <c r="P23" s="945">
        <v>44912</v>
      </c>
    </row>
    <row r="24" spans="1:331 8826:8826" ht="15" customHeight="1">
      <c r="A24" s="943">
        <v>23</v>
      </c>
      <c r="B24" s="944" t="str">
        <f>VLOOKUP(Tabla3[[#This Row],[OK]],$G$2:$H$33,2,0)</f>
        <v>Marruecos</v>
      </c>
      <c r="C24" s="944" t="s">
        <v>4</v>
      </c>
      <c r="D24" s="944">
        <v>23</v>
      </c>
      <c r="G24" s="929">
        <v>23</v>
      </c>
      <c r="H24" s="911" t="s">
        <v>352</v>
      </c>
      <c r="I24" s="929" t="str">
        <f t="shared" si="0"/>
        <v>🇲🇦</v>
      </c>
      <c r="K24" s="911" t="s">
        <v>140</v>
      </c>
      <c r="L24" s="911" t="s">
        <v>227</v>
      </c>
      <c r="N24" s="942">
        <v>23</v>
      </c>
      <c r="P24" s="945">
        <v>44913</v>
      </c>
    </row>
    <row r="25" spans="1:331 8826:8826" ht="15" customHeight="1">
      <c r="A25" s="943">
        <v>24</v>
      </c>
      <c r="B25" s="944" t="str">
        <f>VLOOKUP(Tabla3[[#This Row],[OK]],$G$2:$H$33,2,0)</f>
        <v>Croacia</v>
      </c>
      <c r="C25" s="944" t="s">
        <v>4</v>
      </c>
      <c r="D25" s="944">
        <v>24</v>
      </c>
      <c r="G25" s="929">
        <v>24</v>
      </c>
      <c r="H25" s="911" t="s">
        <v>114</v>
      </c>
      <c r="I25" s="929" t="str">
        <f t="shared" si="0"/>
        <v>🇭🇷</v>
      </c>
      <c r="K25" s="911" t="s">
        <v>117</v>
      </c>
      <c r="L25" s="911" t="s">
        <v>235</v>
      </c>
      <c r="N25" s="942">
        <v>24</v>
      </c>
    </row>
    <row r="26" spans="1:331 8826:8826" ht="15" customHeight="1">
      <c r="A26" s="943">
        <v>25</v>
      </c>
      <c r="B26" s="944" t="str">
        <f>VLOOKUP(Tabla3[[#This Row],[OK]],$G$2:$H$33,2,0)</f>
        <v>Brasil</v>
      </c>
      <c r="C26" s="944" t="s">
        <v>7</v>
      </c>
      <c r="D26" s="944">
        <v>25</v>
      </c>
      <c r="G26" s="929">
        <v>25</v>
      </c>
      <c r="H26" s="911" t="s">
        <v>193</v>
      </c>
      <c r="I26" s="929" t="str">
        <f t="shared" si="0"/>
        <v>🇧🇷</v>
      </c>
      <c r="K26" s="911" t="s">
        <v>209</v>
      </c>
      <c r="L26" s="911" t="s">
        <v>252</v>
      </c>
      <c r="N26" s="942">
        <v>25</v>
      </c>
    </row>
    <row r="27" spans="1:331 8826:8826" ht="15" customHeight="1">
      <c r="A27" s="943">
        <v>26</v>
      </c>
      <c r="B27" s="944" t="str">
        <f>VLOOKUP(Tabla3[[#This Row],[OK]],$G$2:$H$33,2,0)</f>
        <v>Serbia</v>
      </c>
      <c r="C27" s="944" t="s">
        <v>7</v>
      </c>
      <c r="D27" s="944">
        <v>26</v>
      </c>
      <c r="G27" s="929">
        <v>26</v>
      </c>
      <c r="H27" s="911" t="s">
        <v>190</v>
      </c>
      <c r="I27" s="929" t="str">
        <f t="shared" si="0"/>
        <v>🇷🇸</v>
      </c>
      <c r="K27" s="911" t="s">
        <v>210</v>
      </c>
      <c r="L27" s="911" t="s">
        <v>253</v>
      </c>
      <c r="N27" s="942">
        <v>26</v>
      </c>
    </row>
    <row r="28" spans="1:331 8826:8826" ht="15" customHeight="1">
      <c r="A28" s="943">
        <v>27</v>
      </c>
      <c r="B28" s="944" t="str">
        <f>VLOOKUP(Tabla3[[#This Row],[OK]],$G$2:$H$33,2,0)</f>
        <v>Suiza</v>
      </c>
      <c r="C28" s="944" t="s">
        <v>7</v>
      </c>
      <c r="D28" s="944">
        <v>27</v>
      </c>
      <c r="G28" s="929">
        <v>27</v>
      </c>
      <c r="H28" s="911" t="s">
        <v>107</v>
      </c>
      <c r="I28" s="929" t="str">
        <f t="shared" si="0"/>
        <v>🇨🇭</v>
      </c>
      <c r="K28" s="911" t="s">
        <v>211</v>
      </c>
      <c r="L28" s="911" t="s">
        <v>254</v>
      </c>
      <c r="N28" s="942">
        <v>27</v>
      </c>
      <c r="LS28" s="942" t="s">
        <v>18</v>
      </c>
      <c r="MAL28" s="942" t="s">
        <v>18</v>
      </c>
    </row>
    <row r="29" spans="1:331 8826:8826" ht="15" customHeight="1">
      <c r="A29" s="943">
        <v>28</v>
      </c>
      <c r="B29" s="944" t="str">
        <f>VLOOKUP(Tabla3[[#This Row],[OK]],$G$2:$H$33,2,0)</f>
        <v>Camerún</v>
      </c>
      <c r="C29" s="944" t="s">
        <v>7</v>
      </c>
      <c r="D29" s="944">
        <v>28</v>
      </c>
      <c r="G29" s="929">
        <v>28</v>
      </c>
      <c r="H29" s="911" t="s">
        <v>350</v>
      </c>
      <c r="I29" s="929" t="str">
        <f t="shared" si="0"/>
        <v>🇨🇲</v>
      </c>
      <c r="K29" s="911" t="s">
        <v>212</v>
      </c>
      <c r="L29" s="911" t="s">
        <v>255</v>
      </c>
      <c r="N29" s="942">
        <v>28</v>
      </c>
    </row>
    <row r="30" spans="1:331 8826:8826" ht="15" customHeight="1">
      <c r="A30" s="943">
        <v>29</v>
      </c>
      <c r="B30" s="944" t="str">
        <f>VLOOKUP(Tabla3[[#This Row],[OK]],$G$2:$H$33,2,0)</f>
        <v>Portugal</v>
      </c>
      <c r="C30" s="944" t="s">
        <v>167</v>
      </c>
      <c r="D30" s="944">
        <v>29</v>
      </c>
      <c r="G30" s="929">
        <v>29</v>
      </c>
      <c r="H30" s="911" t="s">
        <v>117</v>
      </c>
      <c r="I30" s="929" t="str">
        <f t="shared" si="0"/>
        <v>🇵🇹</v>
      </c>
      <c r="K30" s="911" t="s">
        <v>213</v>
      </c>
      <c r="L30" s="911" t="s">
        <v>256</v>
      </c>
      <c r="N30" s="942">
        <v>29</v>
      </c>
    </row>
    <row r="31" spans="1:331 8826:8826" ht="15" customHeight="1">
      <c r="A31" s="943">
        <v>30</v>
      </c>
      <c r="B31" s="944" t="str">
        <f>VLOOKUP(Tabla3[[#This Row],[OK]],$G$2:$H$33,2,0)</f>
        <v>Ghana</v>
      </c>
      <c r="C31" s="944" t="s">
        <v>167</v>
      </c>
      <c r="D31" s="944">
        <v>30</v>
      </c>
      <c r="G31" s="929">
        <v>30</v>
      </c>
      <c r="H31" s="911" t="s">
        <v>351</v>
      </c>
      <c r="I31" s="929" t="str">
        <f t="shared" si="0"/>
        <v>🇬🇭</v>
      </c>
      <c r="K31" s="911" t="s">
        <v>353</v>
      </c>
      <c r="L31" s="911" t="s">
        <v>257</v>
      </c>
      <c r="N31" s="942">
        <v>30</v>
      </c>
    </row>
    <row r="32" spans="1:331 8826:8826" ht="15" customHeight="1">
      <c r="A32" s="943">
        <v>31</v>
      </c>
      <c r="B32" s="944" t="str">
        <f>VLOOKUP(Tabla3[[#This Row],[OK]],$G$2:$H$33,2,0)</f>
        <v>Uruguay</v>
      </c>
      <c r="C32" s="944" t="s">
        <v>167</v>
      </c>
      <c r="D32" s="944">
        <v>31</v>
      </c>
      <c r="G32" s="929">
        <v>31</v>
      </c>
      <c r="H32" s="911" t="s">
        <v>210</v>
      </c>
      <c r="I32" s="929" t="str">
        <f t="shared" si="0"/>
        <v>🇺🇾</v>
      </c>
      <c r="K32" s="911" t="s">
        <v>214</v>
      </c>
      <c r="L32" s="911" t="s">
        <v>258</v>
      </c>
      <c r="N32" s="942">
        <v>31</v>
      </c>
    </row>
    <row r="33" spans="1:14" ht="15" customHeight="1">
      <c r="A33" s="943">
        <v>32</v>
      </c>
      <c r="B33" s="944" t="str">
        <f>VLOOKUP(Tabla3[[#This Row],[OK]],$G$2:$H$33,2,0)</f>
        <v>Corea del Sur</v>
      </c>
      <c r="C33" s="944" t="s">
        <v>167</v>
      </c>
      <c r="D33" s="944">
        <v>32</v>
      </c>
      <c r="G33" s="929">
        <v>32</v>
      </c>
      <c r="H33" s="911" t="s">
        <v>196</v>
      </c>
      <c r="I33" s="929" t="str">
        <f t="shared" si="0"/>
        <v>🇰🇷</v>
      </c>
      <c r="K33" s="911" t="s">
        <v>215</v>
      </c>
      <c r="L33" s="911" t="s">
        <v>259</v>
      </c>
      <c r="N33" s="942">
        <v>32</v>
      </c>
    </row>
    <row r="34" spans="1:14" ht="15" customHeight="1">
      <c r="K34" s="911" t="s">
        <v>216</v>
      </c>
      <c r="L34" s="911" t="s">
        <v>260</v>
      </c>
      <c r="N34" s="942">
        <v>33</v>
      </c>
    </row>
    <row r="35" spans="1:14" ht="15" customHeight="1">
      <c r="K35" s="911" t="s">
        <v>217</v>
      </c>
      <c r="L35" s="911" t="s">
        <v>261</v>
      </c>
      <c r="N35" s="942">
        <v>34</v>
      </c>
    </row>
    <row r="36" spans="1:14" ht="15" customHeight="1">
      <c r="K36" s="911" t="s">
        <v>218</v>
      </c>
      <c r="L36" s="911" t="s">
        <v>262</v>
      </c>
      <c r="N36" s="942">
        <v>35</v>
      </c>
    </row>
    <row r="37" spans="1:14" ht="15" customHeight="1">
      <c r="K37" s="911" t="s">
        <v>219</v>
      </c>
      <c r="L37" s="911" t="s">
        <v>263</v>
      </c>
      <c r="N37" s="942">
        <v>36</v>
      </c>
    </row>
    <row r="38" spans="1:14" ht="15" customHeight="1">
      <c r="K38" s="911" t="s">
        <v>220</v>
      </c>
      <c r="L38" s="911" t="s">
        <v>264</v>
      </c>
      <c r="N38" s="942">
        <v>37</v>
      </c>
    </row>
    <row r="39" spans="1:14" ht="15" customHeight="1">
      <c r="K39" s="911" t="s">
        <v>190</v>
      </c>
      <c r="L39" s="911" t="s">
        <v>265</v>
      </c>
      <c r="N39" s="942">
        <v>38</v>
      </c>
    </row>
    <row r="40" spans="1:14" ht="15" customHeight="1">
      <c r="K40" s="911" t="s">
        <v>116</v>
      </c>
      <c r="L40" s="911" t="s">
        <v>234</v>
      </c>
      <c r="N40" s="942">
        <v>39</v>
      </c>
    </row>
    <row r="41" spans="1:14" ht="15" customHeight="1">
      <c r="K41" s="911" t="s">
        <v>107</v>
      </c>
      <c r="L41" s="911" t="s">
        <v>225</v>
      </c>
      <c r="N41" s="942">
        <v>40</v>
      </c>
    </row>
    <row r="42" spans="1:14" ht="15" customHeight="1">
      <c r="K42" s="911" t="s">
        <v>142</v>
      </c>
      <c r="L42" s="911" t="s">
        <v>226</v>
      </c>
      <c r="N42" s="942">
        <v>41</v>
      </c>
    </row>
    <row r="43" spans="1:14" ht="15" customHeight="1">
      <c r="K43" s="911" t="s">
        <v>163</v>
      </c>
      <c r="L43" s="911" t="s">
        <v>232</v>
      </c>
      <c r="N43" s="942">
        <v>42</v>
      </c>
    </row>
    <row r="44" spans="1:14" ht="15" customHeight="1">
      <c r="K44" s="911" t="s">
        <v>166</v>
      </c>
      <c r="L44" s="911" t="s">
        <v>266</v>
      </c>
      <c r="N44" s="942">
        <v>43</v>
      </c>
    </row>
    <row r="45" spans="1:14" ht="15" customHeight="1">
      <c r="K45" s="911" t="s">
        <v>114</v>
      </c>
      <c r="L45" s="911" t="s">
        <v>231</v>
      </c>
      <c r="N45" s="942">
        <v>44</v>
      </c>
    </row>
    <row r="46" spans="1:14" ht="15" customHeight="1">
      <c r="K46" s="947" t="s">
        <v>356</v>
      </c>
      <c r="L46" s="911" t="s">
        <v>361</v>
      </c>
      <c r="N46" s="942">
        <v>45</v>
      </c>
    </row>
    <row r="47" spans="1:14" ht="15" customHeight="1">
      <c r="K47" s="947" t="s">
        <v>355</v>
      </c>
      <c r="L47" s="911" t="s">
        <v>362</v>
      </c>
      <c r="N47" s="942">
        <v>46</v>
      </c>
    </row>
    <row r="48" spans="1:14" ht="15" customHeight="1">
      <c r="K48" s="947" t="s">
        <v>352</v>
      </c>
      <c r="L48" s="911" t="s">
        <v>363</v>
      </c>
      <c r="N48" s="942">
        <v>47</v>
      </c>
    </row>
    <row r="49" spans="11:14" ht="15" customHeight="1">
      <c r="K49" s="947" t="s">
        <v>112</v>
      </c>
      <c r="L49" s="911" t="s">
        <v>364</v>
      </c>
      <c r="N49" s="942">
        <v>48</v>
      </c>
    </row>
    <row r="50" spans="11:14" ht="15" customHeight="1">
      <c r="K50" s="947" t="s">
        <v>350</v>
      </c>
      <c r="L50" s="911" t="s">
        <v>365</v>
      </c>
      <c r="N50" s="942">
        <v>49</v>
      </c>
    </row>
    <row r="51" spans="11:14" ht="15" customHeight="1">
      <c r="K51" s="947" t="s">
        <v>351</v>
      </c>
      <c r="L51" s="911" t="s">
        <v>366</v>
      </c>
      <c r="N51" s="942">
        <v>50</v>
      </c>
    </row>
    <row r="52" spans="11:14" ht="15" customHeight="1">
      <c r="K52" s="947" t="s">
        <v>108</v>
      </c>
      <c r="L52" s="911" t="s">
        <v>367</v>
      </c>
      <c r="N52" s="942">
        <v>51</v>
      </c>
    </row>
    <row r="53" spans="11:14" ht="15" customHeight="1">
      <c r="K53" s="947" t="s">
        <v>113</v>
      </c>
      <c r="L53" s="911" t="s">
        <v>368</v>
      </c>
      <c r="N53" s="942">
        <v>52</v>
      </c>
    </row>
    <row r="54" spans="11:14" ht="15" customHeight="1">
      <c r="K54" s="947" t="s">
        <v>357</v>
      </c>
      <c r="L54" s="911" t="s">
        <v>369</v>
      </c>
      <c r="N54" s="942">
        <v>53</v>
      </c>
    </row>
    <row r="55" spans="11:14" ht="15" customHeight="1">
      <c r="K55" s="947" t="s">
        <v>359</v>
      </c>
      <c r="L55" s="911" t="s">
        <v>370</v>
      </c>
      <c r="N55" s="942">
        <v>54</v>
      </c>
    </row>
    <row r="56" spans="11:14" ht="15" customHeight="1">
      <c r="K56" s="947" t="s">
        <v>360</v>
      </c>
      <c r="L56" s="911" t="s">
        <v>371</v>
      </c>
      <c r="N56" s="942">
        <v>55</v>
      </c>
    </row>
    <row r="57" spans="11:14" ht="15" customHeight="1">
      <c r="N57" s="942">
        <v>56</v>
      </c>
    </row>
    <row r="58" spans="11:14" ht="15" customHeight="1">
      <c r="N58" s="942">
        <v>57</v>
      </c>
    </row>
    <row r="59" spans="11:14" ht="15" customHeight="1">
      <c r="N59" s="942">
        <v>58</v>
      </c>
    </row>
    <row r="60" spans="11:14" ht="15" customHeight="1">
      <c r="N60" s="942">
        <v>59</v>
      </c>
    </row>
    <row r="61" spans="11:14" ht="15" customHeight="1">
      <c r="N61" s="942">
        <v>60</v>
      </c>
    </row>
    <row r="62" spans="11:14" ht="15" customHeight="1">
      <c r="N62" s="942">
        <v>61</v>
      </c>
    </row>
    <row r="63" spans="11:14" ht="15" customHeight="1">
      <c r="N63" s="942">
        <v>62</v>
      </c>
    </row>
    <row r="64" spans="11:14" ht="15" customHeight="1">
      <c r="N64" s="942">
        <v>63</v>
      </c>
    </row>
    <row r="65" spans="14:14" ht="15" customHeight="1">
      <c r="N65" s="942">
        <v>64</v>
      </c>
    </row>
    <row r="66" spans="14:14" ht="15" customHeight="1">
      <c r="N66" s="942">
        <v>65</v>
      </c>
    </row>
    <row r="67" spans="14:14" ht="15" customHeight="1">
      <c r="N67" s="942">
        <v>66</v>
      </c>
    </row>
    <row r="68" spans="14:14" ht="15" customHeight="1">
      <c r="N68" s="942">
        <v>67</v>
      </c>
    </row>
    <row r="69" spans="14:14" ht="15" customHeight="1">
      <c r="N69" s="942">
        <v>68</v>
      </c>
    </row>
    <row r="70" spans="14:14" ht="15" customHeight="1">
      <c r="N70" s="942">
        <v>69</v>
      </c>
    </row>
    <row r="71" spans="14:14" ht="15" customHeight="1">
      <c r="N71" s="942">
        <v>70</v>
      </c>
    </row>
    <row r="72" spans="14:14" ht="15" customHeight="1">
      <c r="N72" s="942">
        <v>71</v>
      </c>
    </row>
    <row r="73" spans="14:14" ht="15" customHeight="1">
      <c r="N73" s="942">
        <v>72</v>
      </c>
    </row>
    <row r="74" spans="14:14" ht="15" customHeight="1">
      <c r="N74" s="942">
        <v>73</v>
      </c>
    </row>
    <row r="75" spans="14:14" ht="15" customHeight="1">
      <c r="N75" s="942">
        <v>74</v>
      </c>
    </row>
    <row r="76" spans="14:14" ht="15" customHeight="1">
      <c r="N76" s="942">
        <v>75</v>
      </c>
    </row>
    <row r="77" spans="14:14" ht="15" customHeight="1">
      <c r="N77" s="942">
        <v>76</v>
      </c>
    </row>
    <row r="78" spans="14:14" ht="15" customHeight="1">
      <c r="N78" s="942">
        <v>77</v>
      </c>
    </row>
    <row r="79" spans="14:14" ht="15" customHeight="1">
      <c r="N79" s="942">
        <v>78</v>
      </c>
    </row>
    <row r="80" spans="14:14" ht="15" customHeight="1">
      <c r="N80" s="942">
        <v>79</v>
      </c>
    </row>
    <row r="81" spans="14:14" ht="15" customHeight="1">
      <c r="N81" s="942">
        <v>80</v>
      </c>
    </row>
    <row r="82" spans="14:14" ht="15" customHeight="1">
      <c r="N82" s="942">
        <v>81</v>
      </c>
    </row>
    <row r="83" spans="14:14" ht="15" customHeight="1">
      <c r="N83" s="942">
        <v>82</v>
      </c>
    </row>
    <row r="84" spans="14:14" ht="15" customHeight="1">
      <c r="N84" s="942">
        <v>83</v>
      </c>
    </row>
    <row r="85" spans="14:14" ht="15" customHeight="1">
      <c r="N85" s="942">
        <v>84</v>
      </c>
    </row>
    <row r="86" spans="14:14" ht="15" customHeight="1">
      <c r="N86" s="942">
        <v>85</v>
      </c>
    </row>
    <row r="87" spans="14:14" ht="15" customHeight="1">
      <c r="N87" s="942">
        <v>86</v>
      </c>
    </row>
    <row r="88" spans="14:14" ht="15" customHeight="1">
      <c r="N88" s="942">
        <v>87</v>
      </c>
    </row>
    <row r="89" spans="14:14" ht="15" customHeight="1">
      <c r="N89" s="942">
        <v>88</v>
      </c>
    </row>
    <row r="90" spans="14:14" ht="15" customHeight="1">
      <c r="N90" s="942">
        <v>89</v>
      </c>
    </row>
    <row r="91" spans="14:14" ht="15" customHeight="1">
      <c r="N91" s="942">
        <v>90</v>
      </c>
    </row>
    <row r="92" spans="14:14" ht="15" customHeight="1">
      <c r="N92" s="942">
        <v>91</v>
      </c>
    </row>
    <row r="93" spans="14:14" ht="15" customHeight="1">
      <c r="N93" s="942">
        <v>92</v>
      </c>
    </row>
    <row r="94" spans="14:14" ht="15" customHeight="1">
      <c r="N94" s="942">
        <v>93</v>
      </c>
    </row>
    <row r="95" spans="14:14" ht="15" customHeight="1">
      <c r="N95" s="942">
        <v>94</v>
      </c>
    </row>
    <row r="96" spans="14:14" ht="15" customHeight="1">
      <c r="N96" s="942">
        <v>95</v>
      </c>
    </row>
    <row r="97" spans="14:14" ht="15" customHeight="1">
      <c r="N97" s="942">
        <v>96</v>
      </c>
    </row>
    <row r="98" spans="14:14" ht="15" customHeight="1">
      <c r="N98" s="942">
        <v>97</v>
      </c>
    </row>
    <row r="99" spans="14:14" ht="15" customHeight="1">
      <c r="N99" s="942">
        <v>98</v>
      </c>
    </row>
    <row r="100" spans="14:14" ht="15" customHeight="1">
      <c r="N100" s="942">
        <v>99</v>
      </c>
    </row>
    <row r="101" spans="14:14" ht="15" customHeight="1">
      <c r="N101" s="942">
        <v>100</v>
      </c>
    </row>
    <row r="102" spans="14:14" ht="15" customHeight="1">
      <c r="N102" s="942">
        <v>101</v>
      </c>
    </row>
    <row r="103" spans="14:14" ht="15" customHeight="1">
      <c r="N103" s="942">
        <v>102</v>
      </c>
    </row>
    <row r="104" spans="14:14" ht="15" customHeight="1">
      <c r="N104" s="942">
        <v>103</v>
      </c>
    </row>
    <row r="105" spans="14:14" ht="15" customHeight="1">
      <c r="N105" s="942">
        <v>104</v>
      </c>
    </row>
    <row r="106" spans="14:14" ht="15" customHeight="1">
      <c r="N106" s="942">
        <v>105</v>
      </c>
    </row>
    <row r="107" spans="14:14" ht="15" customHeight="1">
      <c r="N107" s="942">
        <v>106</v>
      </c>
    </row>
    <row r="108" spans="14:14" ht="15" customHeight="1">
      <c r="N108" s="942">
        <v>107</v>
      </c>
    </row>
    <row r="109" spans="14:14" ht="15" customHeight="1">
      <c r="N109" s="942">
        <v>108</v>
      </c>
    </row>
    <row r="110" spans="14:14" ht="15" customHeight="1">
      <c r="N110" s="942">
        <v>109</v>
      </c>
    </row>
    <row r="111" spans="14:14" ht="15" customHeight="1">
      <c r="N111" s="942">
        <v>110</v>
      </c>
    </row>
    <row r="112" spans="14:14" ht="15" customHeight="1">
      <c r="N112" s="942">
        <v>111</v>
      </c>
    </row>
    <row r="113" spans="14:14" ht="15" customHeight="1">
      <c r="N113" s="942">
        <v>112</v>
      </c>
    </row>
    <row r="114" spans="14:14" ht="15" customHeight="1">
      <c r="N114" s="942">
        <v>113</v>
      </c>
    </row>
    <row r="115" spans="14:14" ht="15" customHeight="1">
      <c r="N115" s="942">
        <v>114</v>
      </c>
    </row>
    <row r="116" spans="14:14" ht="15" customHeight="1">
      <c r="N116" s="942">
        <v>115</v>
      </c>
    </row>
    <row r="117" spans="14:14" ht="15" customHeight="1">
      <c r="N117" s="942">
        <v>116</v>
      </c>
    </row>
    <row r="118" spans="14:14" ht="15" customHeight="1">
      <c r="N118" s="942">
        <v>117</v>
      </c>
    </row>
    <row r="119" spans="14:14" ht="15" customHeight="1">
      <c r="N119" s="942">
        <v>118</v>
      </c>
    </row>
    <row r="120" spans="14:14" ht="15" customHeight="1">
      <c r="N120" s="942">
        <v>119</v>
      </c>
    </row>
    <row r="121" spans="14:14" ht="15" customHeight="1">
      <c r="N121" s="942">
        <v>120</v>
      </c>
    </row>
    <row r="122" spans="14:14" ht="15" customHeight="1">
      <c r="N122" s="942">
        <v>121</v>
      </c>
    </row>
    <row r="123" spans="14:14" ht="15" customHeight="1">
      <c r="N123" s="942">
        <v>122</v>
      </c>
    </row>
    <row r="124" spans="14:14" ht="15" customHeight="1">
      <c r="N124" s="942">
        <v>123</v>
      </c>
    </row>
    <row r="125" spans="14:14" ht="15" customHeight="1">
      <c r="N125" s="942">
        <v>124</v>
      </c>
    </row>
    <row r="126" spans="14:14" ht="15" customHeight="1">
      <c r="N126" s="942">
        <v>125</v>
      </c>
    </row>
    <row r="127" spans="14:14" ht="15" customHeight="1">
      <c r="N127" s="942">
        <v>126</v>
      </c>
    </row>
    <row r="128" spans="14:14" ht="15" customHeight="1">
      <c r="N128" s="942">
        <v>127</v>
      </c>
    </row>
    <row r="129" spans="14:14" ht="15" customHeight="1">
      <c r="N129" s="942">
        <v>128</v>
      </c>
    </row>
    <row r="130" spans="14:14" ht="15" customHeight="1">
      <c r="N130" s="942">
        <v>129</v>
      </c>
    </row>
    <row r="131" spans="14:14" ht="15" customHeight="1">
      <c r="N131" s="942">
        <v>130</v>
      </c>
    </row>
    <row r="132" spans="14:14" ht="15" customHeight="1">
      <c r="N132" s="942">
        <v>131</v>
      </c>
    </row>
    <row r="133" spans="14:14" ht="15" customHeight="1">
      <c r="N133" s="942">
        <v>132</v>
      </c>
    </row>
    <row r="134" spans="14:14" ht="15" customHeight="1">
      <c r="N134" s="942">
        <v>133</v>
      </c>
    </row>
    <row r="135" spans="14:14" ht="15" customHeight="1">
      <c r="N135" s="942">
        <v>134</v>
      </c>
    </row>
    <row r="136" spans="14:14" ht="15" customHeight="1">
      <c r="N136" s="942">
        <v>135</v>
      </c>
    </row>
    <row r="137" spans="14:14" ht="15" customHeight="1">
      <c r="N137" s="942">
        <v>136</v>
      </c>
    </row>
    <row r="138" spans="14:14" ht="15" customHeight="1">
      <c r="N138" s="942">
        <v>137</v>
      </c>
    </row>
    <row r="139" spans="14:14" ht="15" customHeight="1">
      <c r="N139" s="942">
        <v>138</v>
      </c>
    </row>
    <row r="140" spans="14:14" ht="15" customHeight="1">
      <c r="N140" s="942">
        <v>139</v>
      </c>
    </row>
    <row r="141" spans="14:14" ht="15" customHeight="1">
      <c r="N141" s="942">
        <v>140</v>
      </c>
    </row>
    <row r="142" spans="14:14" ht="15" customHeight="1">
      <c r="N142" s="942">
        <v>141</v>
      </c>
    </row>
    <row r="143" spans="14:14" ht="15" customHeight="1">
      <c r="N143" s="942">
        <v>142</v>
      </c>
    </row>
    <row r="144" spans="14:14" ht="15" customHeight="1">
      <c r="N144" s="942">
        <v>143</v>
      </c>
    </row>
    <row r="145" spans="14:14" ht="15" customHeight="1">
      <c r="N145" s="942">
        <v>144</v>
      </c>
    </row>
    <row r="146" spans="14:14" ht="15" customHeight="1">
      <c r="N146" s="942">
        <v>145</v>
      </c>
    </row>
    <row r="147" spans="14:14" ht="15" customHeight="1">
      <c r="N147" s="942">
        <v>146</v>
      </c>
    </row>
    <row r="148" spans="14:14" ht="15" customHeight="1">
      <c r="N148" s="942">
        <v>147</v>
      </c>
    </row>
    <row r="149" spans="14:14" ht="15" customHeight="1">
      <c r="N149" s="942">
        <v>148</v>
      </c>
    </row>
    <row r="150" spans="14:14" ht="15" customHeight="1">
      <c r="N150" s="942">
        <v>149</v>
      </c>
    </row>
    <row r="151" spans="14:14" ht="15" customHeight="1">
      <c r="N151" s="942">
        <v>150</v>
      </c>
    </row>
    <row r="152" spans="14:14" ht="15" customHeight="1">
      <c r="N152" s="942">
        <v>151</v>
      </c>
    </row>
    <row r="153" spans="14:14" ht="15" customHeight="1">
      <c r="N153" s="942">
        <v>152</v>
      </c>
    </row>
    <row r="154" spans="14:14" ht="15" customHeight="1">
      <c r="N154" s="942">
        <v>153</v>
      </c>
    </row>
    <row r="155" spans="14:14" ht="15" customHeight="1">
      <c r="N155" s="942">
        <v>154</v>
      </c>
    </row>
    <row r="156" spans="14:14" ht="15" customHeight="1">
      <c r="N156" s="942">
        <v>155</v>
      </c>
    </row>
    <row r="157" spans="14:14" ht="15" customHeight="1">
      <c r="N157" s="942">
        <v>156</v>
      </c>
    </row>
    <row r="158" spans="14:14" ht="15" customHeight="1">
      <c r="N158" s="942">
        <v>157</v>
      </c>
    </row>
    <row r="159" spans="14:14" ht="15" customHeight="1">
      <c r="N159" s="942">
        <v>158</v>
      </c>
    </row>
    <row r="160" spans="14:14" ht="15" customHeight="1">
      <c r="N160" s="942">
        <v>159</v>
      </c>
    </row>
    <row r="161" spans="14:14" ht="15" customHeight="1">
      <c r="N161" s="942">
        <v>160</v>
      </c>
    </row>
    <row r="162" spans="14:14" ht="15" customHeight="1">
      <c r="N162" s="942">
        <v>161</v>
      </c>
    </row>
    <row r="163" spans="14:14" ht="15" customHeight="1">
      <c r="N163" s="942">
        <v>162</v>
      </c>
    </row>
    <row r="164" spans="14:14" ht="15" customHeight="1">
      <c r="N164" s="942">
        <v>163</v>
      </c>
    </row>
    <row r="165" spans="14:14" ht="15" customHeight="1">
      <c r="N165" s="942">
        <v>164</v>
      </c>
    </row>
    <row r="166" spans="14:14" ht="15" customHeight="1">
      <c r="N166" s="942">
        <v>165</v>
      </c>
    </row>
    <row r="167" spans="14:14" ht="15" customHeight="1">
      <c r="N167" s="942">
        <v>166</v>
      </c>
    </row>
    <row r="168" spans="14:14" ht="15" customHeight="1">
      <c r="N168" s="942">
        <v>167</v>
      </c>
    </row>
    <row r="169" spans="14:14" ht="15" customHeight="1">
      <c r="N169" s="942">
        <v>168</v>
      </c>
    </row>
    <row r="170" spans="14:14" ht="15" customHeight="1">
      <c r="N170" s="942">
        <v>169</v>
      </c>
    </row>
    <row r="171" spans="14:14" ht="15" customHeight="1">
      <c r="N171" s="942">
        <v>170</v>
      </c>
    </row>
    <row r="172" spans="14:14" ht="15" customHeight="1">
      <c r="N172" s="942">
        <v>171</v>
      </c>
    </row>
    <row r="173" spans="14:14" ht="15" customHeight="1">
      <c r="N173" s="942">
        <v>172</v>
      </c>
    </row>
    <row r="174" spans="14:14" ht="15" customHeight="1">
      <c r="N174" s="942">
        <v>173</v>
      </c>
    </row>
    <row r="175" spans="14:14" ht="15" customHeight="1">
      <c r="N175" s="942">
        <v>174</v>
      </c>
    </row>
    <row r="176" spans="14:14" ht="15" customHeight="1">
      <c r="N176" s="942">
        <v>175</v>
      </c>
    </row>
    <row r="177" spans="14:14" ht="15" customHeight="1">
      <c r="N177" s="942">
        <v>176</v>
      </c>
    </row>
    <row r="178" spans="14:14" ht="15" customHeight="1">
      <c r="N178" s="942">
        <v>177</v>
      </c>
    </row>
    <row r="179" spans="14:14" ht="15" customHeight="1">
      <c r="N179" s="942">
        <v>178</v>
      </c>
    </row>
    <row r="180" spans="14:14" ht="15" customHeight="1">
      <c r="N180" s="942">
        <v>179</v>
      </c>
    </row>
    <row r="181" spans="14:14" ht="15" customHeight="1">
      <c r="N181" s="942">
        <v>180</v>
      </c>
    </row>
    <row r="182" spans="14:14" ht="15" customHeight="1">
      <c r="N182" s="942">
        <v>181</v>
      </c>
    </row>
    <row r="183" spans="14:14" ht="15" customHeight="1">
      <c r="N183" s="942">
        <v>182</v>
      </c>
    </row>
    <row r="184" spans="14:14" ht="15" customHeight="1">
      <c r="N184" s="942">
        <v>183</v>
      </c>
    </row>
    <row r="185" spans="14:14" ht="15" customHeight="1">
      <c r="N185" s="942">
        <v>184</v>
      </c>
    </row>
    <row r="186" spans="14:14" ht="15" customHeight="1">
      <c r="N186" s="942">
        <v>185</v>
      </c>
    </row>
    <row r="187" spans="14:14" ht="15" customHeight="1">
      <c r="N187" s="942">
        <v>186</v>
      </c>
    </row>
    <row r="188" spans="14:14" ht="15" customHeight="1">
      <c r="N188" s="942">
        <v>187</v>
      </c>
    </row>
    <row r="189" spans="14:14" ht="15" customHeight="1">
      <c r="N189" s="942">
        <v>188</v>
      </c>
    </row>
    <row r="190" spans="14:14" ht="15" customHeight="1">
      <c r="N190" s="942">
        <v>189</v>
      </c>
    </row>
    <row r="191" spans="14:14" ht="15" customHeight="1">
      <c r="N191" s="942">
        <v>190</v>
      </c>
    </row>
    <row r="192" spans="14:14" ht="15" customHeight="1">
      <c r="N192" s="942">
        <v>191</v>
      </c>
    </row>
    <row r="193" spans="14:14" ht="15" customHeight="1">
      <c r="N193" s="942">
        <v>192</v>
      </c>
    </row>
    <row r="194" spans="14:14" ht="15" customHeight="1">
      <c r="N194" s="942">
        <v>193</v>
      </c>
    </row>
    <row r="195" spans="14:14" ht="15" customHeight="1">
      <c r="N195" s="942">
        <v>194</v>
      </c>
    </row>
    <row r="196" spans="14:14" ht="15" customHeight="1">
      <c r="N196" s="942">
        <v>195</v>
      </c>
    </row>
    <row r="197" spans="14:14" ht="15" customHeight="1">
      <c r="N197" s="942">
        <v>196</v>
      </c>
    </row>
    <row r="198" spans="14:14" ht="15" customHeight="1">
      <c r="N198" s="942">
        <v>197</v>
      </c>
    </row>
    <row r="199" spans="14:14" ht="15" customHeight="1">
      <c r="N199" s="942">
        <v>198</v>
      </c>
    </row>
    <row r="200" spans="14:14" ht="15" customHeight="1">
      <c r="N200" s="942">
        <v>199</v>
      </c>
    </row>
    <row r="201" spans="14:14" ht="15" customHeight="1">
      <c r="N201" s="942">
        <v>200</v>
      </c>
    </row>
    <row r="202" spans="14:14" ht="15" customHeight="1">
      <c r="N202" s="942">
        <v>201</v>
      </c>
    </row>
    <row r="203" spans="14:14" ht="15" customHeight="1">
      <c r="N203" s="942">
        <v>202</v>
      </c>
    </row>
    <row r="204" spans="14:14" ht="15" customHeight="1">
      <c r="N204" s="942">
        <v>203</v>
      </c>
    </row>
    <row r="205" spans="14:14" ht="15" customHeight="1">
      <c r="N205" s="942">
        <v>204</v>
      </c>
    </row>
    <row r="206" spans="14:14" ht="15" customHeight="1">
      <c r="N206" s="942">
        <v>205</v>
      </c>
    </row>
    <row r="207" spans="14:14" ht="15" customHeight="1">
      <c r="N207" s="942">
        <v>206</v>
      </c>
    </row>
    <row r="208" spans="14:14" ht="15" customHeight="1">
      <c r="N208" s="942">
        <v>207</v>
      </c>
    </row>
    <row r="209" spans="14:14" ht="15" customHeight="1">
      <c r="N209" s="942">
        <v>208</v>
      </c>
    </row>
    <row r="210" spans="14:14" ht="15" customHeight="1">
      <c r="N210" s="942">
        <v>209</v>
      </c>
    </row>
    <row r="211" spans="14:14" ht="15" customHeight="1">
      <c r="N211" s="942">
        <v>210</v>
      </c>
    </row>
    <row r="212" spans="14:14" ht="15" customHeight="1">
      <c r="N212" s="942">
        <v>211</v>
      </c>
    </row>
    <row r="213" spans="14:14" ht="15" customHeight="1">
      <c r="N213" s="942">
        <v>212</v>
      </c>
    </row>
    <row r="214" spans="14:14" ht="15" customHeight="1">
      <c r="N214" s="942">
        <v>213</v>
      </c>
    </row>
    <row r="215" spans="14:14" ht="15" customHeight="1">
      <c r="N215" s="942">
        <v>214</v>
      </c>
    </row>
    <row r="216" spans="14:14" ht="15" customHeight="1">
      <c r="N216" s="942">
        <v>215</v>
      </c>
    </row>
    <row r="217" spans="14:14" ht="15" customHeight="1">
      <c r="N217" s="942">
        <v>216</v>
      </c>
    </row>
    <row r="218" spans="14:14" ht="15" customHeight="1">
      <c r="N218" s="942">
        <v>217</v>
      </c>
    </row>
    <row r="219" spans="14:14" ht="15" customHeight="1">
      <c r="N219" s="942">
        <v>218</v>
      </c>
    </row>
    <row r="220" spans="14:14" ht="15" customHeight="1">
      <c r="N220" s="942">
        <v>219</v>
      </c>
    </row>
    <row r="221" spans="14:14" ht="15" customHeight="1">
      <c r="N221" s="942">
        <v>220</v>
      </c>
    </row>
    <row r="222" spans="14:14" ht="15" customHeight="1">
      <c r="N222" s="942">
        <v>221</v>
      </c>
    </row>
    <row r="223" spans="14:14" ht="15" customHeight="1">
      <c r="N223" s="942">
        <v>222</v>
      </c>
    </row>
    <row r="224" spans="14:14" ht="15" customHeight="1">
      <c r="N224" s="942">
        <v>223</v>
      </c>
    </row>
    <row r="225" spans="14:14" ht="15" customHeight="1">
      <c r="N225" s="942">
        <v>224</v>
      </c>
    </row>
    <row r="226" spans="14:14" ht="15" customHeight="1">
      <c r="N226" s="942">
        <v>225</v>
      </c>
    </row>
    <row r="227" spans="14:14" ht="15" customHeight="1">
      <c r="N227" s="942">
        <v>226</v>
      </c>
    </row>
    <row r="228" spans="14:14" ht="15" customHeight="1">
      <c r="N228" s="942">
        <v>227</v>
      </c>
    </row>
    <row r="229" spans="14:14" ht="15" customHeight="1">
      <c r="N229" s="942">
        <v>228</v>
      </c>
    </row>
    <row r="230" spans="14:14" ht="15" customHeight="1">
      <c r="N230" s="942">
        <v>229</v>
      </c>
    </row>
    <row r="231" spans="14:14" ht="15" customHeight="1">
      <c r="N231" s="942">
        <v>230</v>
      </c>
    </row>
    <row r="232" spans="14:14" ht="15" customHeight="1">
      <c r="N232" s="942">
        <v>231</v>
      </c>
    </row>
    <row r="233" spans="14:14" ht="15" customHeight="1">
      <c r="N233" s="942">
        <v>232</v>
      </c>
    </row>
    <row r="234" spans="14:14" ht="15" customHeight="1">
      <c r="N234" s="942">
        <v>233</v>
      </c>
    </row>
    <row r="235" spans="14:14" ht="15" customHeight="1">
      <c r="N235" s="942">
        <v>234</v>
      </c>
    </row>
    <row r="236" spans="14:14" ht="15" customHeight="1">
      <c r="N236" s="942">
        <v>235</v>
      </c>
    </row>
    <row r="237" spans="14:14" ht="15" customHeight="1">
      <c r="N237" s="942">
        <v>236</v>
      </c>
    </row>
    <row r="238" spans="14:14" ht="15" customHeight="1">
      <c r="N238" s="942">
        <v>237</v>
      </c>
    </row>
    <row r="239" spans="14:14" ht="15" customHeight="1">
      <c r="N239" s="942">
        <v>238</v>
      </c>
    </row>
    <row r="240" spans="14:14" ht="15" customHeight="1">
      <c r="N240" s="942">
        <v>239</v>
      </c>
    </row>
    <row r="241" spans="14:14" ht="15" customHeight="1">
      <c r="N241" s="942">
        <v>240</v>
      </c>
    </row>
    <row r="242" spans="14:14" ht="15" customHeight="1">
      <c r="N242" s="942">
        <v>241</v>
      </c>
    </row>
    <row r="243" spans="14:14" ht="15" customHeight="1">
      <c r="N243" s="942">
        <v>242</v>
      </c>
    </row>
    <row r="244" spans="14:14" ht="15" customHeight="1">
      <c r="N244" s="942">
        <v>243</v>
      </c>
    </row>
    <row r="245" spans="14:14" ht="15" customHeight="1">
      <c r="N245" s="942">
        <v>244</v>
      </c>
    </row>
    <row r="246" spans="14:14" ht="15" customHeight="1">
      <c r="N246" s="942">
        <v>245</v>
      </c>
    </row>
    <row r="247" spans="14:14" ht="15" customHeight="1">
      <c r="N247" s="942">
        <v>246</v>
      </c>
    </row>
    <row r="248" spans="14:14" ht="15" customHeight="1">
      <c r="N248" s="942">
        <v>247</v>
      </c>
    </row>
    <row r="249" spans="14:14" ht="15" customHeight="1">
      <c r="N249" s="942">
        <v>248</v>
      </c>
    </row>
    <row r="250" spans="14:14" ht="15" customHeight="1">
      <c r="N250" s="942">
        <v>249</v>
      </c>
    </row>
    <row r="251" spans="14:14" ht="15" customHeight="1">
      <c r="N251" s="942">
        <v>250</v>
      </c>
    </row>
    <row r="252" spans="14:14" ht="15" customHeight="1">
      <c r="N252" s="942">
        <v>251</v>
      </c>
    </row>
    <row r="253" spans="14:14" ht="15" customHeight="1">
      <c r="N253" s="942">
        <v>252</v>
      </c>
    </row>
    <row r="254" spans="14:14" ht="15" customHeight="1">
      <c r="N254" s="942">
        <v>253</v>
      </c>
    </row>
    <row r="255" spans="14:14" ht="15" customHeight="1">
      <c r="N255" s="942">
        <v>254</v>
      </c>
    </row>
    <row r="256" spans="14:14" ht="15" customHeight="1">
      <c r="N256" s="942">
        <v>255</v>
      </c>
    </row>
    <row r="257" spans="14:14" ht="15" customHeight="1">
      <c r="N257" s="942">
        <v>256</v>
      </c>
    </row>
    <row r="258" spans="14:14" ht="15" customHeight="1">
      <c r="N258" s="942">
        <v>257</v>
      </c>
    </row>
    <row r="259" spans="14:14" ht="15" customHeight="1">
      <c r="N259" s="942">
        <v>258</v>
      </c>
    </row>
    <row r="260" spans="14:14" ht="15" customHeight="1">
      <c r="N260" s="942">
        <v>259</v>
      </c>
    </row>
    <row r="261" spans="14:14" ht="15" customHeight="1">
      <c r="N261" s="942">
        <v>260</v>
      </c>
    </row>
    <row r="262" spans="14:14" ht="15" customHeight="1">
      <c r="N262" s="942">
        <v>261</v>
      </c>
    </row>
    <row r="263" spans="14:14" ht="15" customHeight="1">
      <c r="N263" s="942">
        <v>262</v>
      </c>
    </row>
    <row r="264" spans="14:14" ht="15" customHeight="1">
      <c r="N264" s="942">
        <v>263</v>
      </c>
    </row>
    <row r="265" spans="14:14" ht="15" customHeight="1">
      <c r="N265" s="942">
        <v>264</v>
      </c>
    </row>
    <row r="266" spans="14:14" ht="15" customHeight="1">
      <c r="N266" s="942">
        <v>265</v>
      </c>
    </row>
    <row r="267" spans="14:14" ht="15" customHeight="1">
      <c r="N267" s="942">
        <v>266</v>
      </c>
    </row>
    <row r="268" spans="14:14" ht="15" customHeight="1">
      <c r="N268" s="942">
        <v>267</v>
      </c>
    </row>
    <row r="269" spans="14:14" ht="15" customHeight="1">
      <c r="N269" s="942">
        <v>268</v>
      </c>
    </row>
    <row r="270" spans="14:14" ht="15" customHeight="1">
      <c r="N270" s="942">
        <v>269</v>
      </c>
    </row>
    <row r="271" spans="14:14" ht="15" customHeight="1">
      <c r="N271" s="942">
        <v>270</v>
      </c>
    </row>
    <row r="272" spans="14:14" ht="15" customHeight="1">
      <c r="N272" s="942">
        <v>271</v>
      </c>
    </row>
    <row r="273" spans="14:14" ht="15" customHeight="1">
      <c r="N273" s="942">
        <v>272</v>
      </c>
    </row>
    <row r="274" spans="14:14" ht="15" customHeight="1">
      <c r="N274" s="942">
        <v>273</v>
      </c>
    </row>
    <row r="275" spans="14:14" ht="15" customHeight="1">
      <c r="N275" s="942">
        <v>274</v>
      </c>
    </row>
    <row r="276" spans="14:14" ht="15" customHeight="1">
      <c r="N276" s="942">
        <v>275</v>
      </c>
    </row>
    <row r="277" spans="14:14" ht="15" customHeight="1">
      <c r="N277" s="942">
        <v>276</v>
      </c>
    </row>
    <row r="278" spans="14:14" ht="15" customHeight="1">
      <c r="N278" s="942">
        <v>277</v>
      </c>
    </row>
    <row r="279" spans="14:14" ht="15" customHeight="1">
      <c r="N279" s="942">
        <v>278</v>
      </c>
    </row>
    <row r="280" spans="14:14" ht="15" customHeight="1">
      <c r="N280" s="942">
        <v>279</v>
      </c>
    </row>
    <row r="281" spans="14:14" ht="15" customHeight="1">
      <c r="N281" s="942">
        <v>280</v>
      </c>
    </row>
    <row r="282" spans="14:14" ht="15" customHeight="1">
      <c r="N282" s="942">
        <v>281</v>
      </c>
    </row>
    <row r="283" spans="14:14" ht="15" customHeight="1">
      <c r="N283" s="942">
        <v>282</v>
      </c>
    </row>
    <row r="284" spans="14:14" ht="15" customHeight="1">
      <c r="N284" s="942">
        <v>283</v>
      </c>
    </row>
    <row r="285" spans="14:14" ht="15" customHeight="1">
      <c r="N285" s="942">
        <v>284</v>
      </c>
    </row>
    <row r="286" spans="14:14" ht="15" customHeight="1">
      <c r="N286" s="942">
        <v>285</v>
      </c>
    </row>
    <row r="287" spans="14:14" ht="15" customHeight="1">
      <c r="N287" s="942">
        <v>286</v>
      </c>
    </row>
    <row r="288" spans="14:14" ht="15" customHeight="1">
      <c r="N288" s="942">
        <v>287</v>
      </c>
    </row>
    <row r="289" spans="14:14" ht="15" customHeight="1">
      <c r="N289" s="942">
        <v>288</v>
      </c>
    </row>
    <row r="290" spans="14:14" ht="15" customHeight="1">
      <c r="N290" s="942">
        <v>289</v>
      </c>
    </row>
    <row r="291" spans="14:14" ht="15" customHeight="1">
      <c r="N291" s="942">
        <v>290</v>
      </c>
    </row>
    <row r="292" spans="14:14" ht="15" customHeight="1">
      <c r="N292" s="942">
        <v>291</v>
      </c>
    </row>
    <row r="293" spans="14:14" ht="15" customHeight="1">
      <c r="N293" s="942">
        <v>292</v>
      </c>
    </row>
    <row r="294" spans="14:14" ht="15" customHeight="1">
      <c r="N294" s="942">
        <v>293</v>
      </c>
    </row>
    <row r="295" spans="14:14" ht="15" customHeight="1">
      <c r="N295" s="942">
        <v>294</v>
      </c>
    </row>
    <row r="296" spans="14:14" ht="15" customHeight="1">
      <c r="N296" s="942">
        <v>295</v>
      </c>
    </row>
    <row r="297" spans="14:14" ht="15" customHeight="1">
      <c r="N297" s="942">
        <v>296</v>
      </c>
    </row>
    <row r="298" spans="14:14" ht="15" customHeight="1">
      <c r="N298" s="942">
        <v>297</v>
      </c>
    </row>
    <row r="299" spans="14:14" ht="15" customHeight="1">
      <c r="N299" s="942">
        <v>298</v>
      </c>
    </row>
    <row r="300" spans="14:14" ht="15" customHeight="1">
      <c r="N300" s="942">
        <v>299</v>
      </c>
    </row>
    <row r="301" spans="14:14" ht="15" customHeight="1">
      <c r="N301" s="942">
        <v>300</v>
      </c>
    </row>
    <row r="302" spans="14:14" ht="15" customHeight="1">
      <c r="N302" s="942">
        <v>301</v>
      </c>
    </row>
    <row r="303" spans="14:14" ht="15" customHeight="1">
      <c r="N303" s="942">
        <v>302</v>
      </c>
    </row>
    <row r="304" spans="14:14" ht="15" customHeight="1">
      <c r="N304" s="942">
        <v>303</v>
      </c>
    </row>
    <row r="305" spans="14:14" ht="15" customHeight="1">
      <c r="N305" s="942">
        <v>304</v>
      </c>
    </row>
    <row r="306" spans="14:14" ht="15" customHeight="1">
      <c r="N306" s="942">
        <v>305</v>
      </c>
    </row>
    <row r="307" spans="14:14" ht="15" customHeight="1">
      <c r="N307" s="942">
        <v>306</v>
      </c>
    </row>
    <row r="308" spans="14:14" ht="15" customHeight="1">
      <c r="N308" s="942">
        <v>307</v>
      </c>
    </row>
    <row r="309" spans="14:14" ht="15" customHeight="1">
      <c r="N309" s="942">
        <v>308</v>
      </c>
    </row>
    <row r="310" spans="14:14" ht="15" customHeight="1">
      <c r="N310" s="942">
        <v>309</v>
      </c>
    </row>
    <row r="311" spans="14:14" ht="15" customHeight="1">
      <c r="N311" s="942">
        <v>310</v>
      </c>
    </row>
    <row r="312" spans="14:14" ht="15" customHeight="1">
      <c r="N312" s="942">
        <v>311</v>
      </c>
    </row>
    <row r="313" spans="14:14" ht="15" customHeight="1">
      <c r="N313" s="942">
        <v>312</v>
      </c>
    </row>
    <row r="314" spans="14:14" ht="15" customHeight="1">
      <c r="N314" s="942">
        <v>313</v>
      </c>
    </row>
    <row r="315" spans="14:14" ht="15" customHeight="1">
      <c r="N315" s="942">
        <v>314</v>
      </c>
    </row>
    <row r="316" spans="14:14" ht="15" customHeight="1">
      <c r="N316" s="942">
        <v>315</v>
      </c>
    </row>
    <row r="317" spans="14:14" ht="15" customHeight="1">
      <c r="N317" s="942">
        <v>316</v>
      </c>
    </row>
    <row r="318" spans="14:14" ht="15" customHeight="1">
      <c r="N318" s="942">
        <v>317</v>
      </c>
    </row>
    <row r="319" spans="14:14" ht="15" customHeight="1">
      <c r="N319" s="942">
        <v>318</v>
      </c>
    </row>
    <row r="320" spans="14:14" ht="15" customHeight="1">
      <c r="N320" s="942">
        <v>319</v>
      </c>
    </row>
    <row r="321" spans="14:14" ht="15" customHeight="1">
      <c r="N321" s="942">
        <v>320</v>
      </c>
    </row>
    <row r="322" spans="14:14" ht="15" customHeight="1">
      <c r="N322" s="942">
        <v>321</v>
      </c>
    </row>
    <row r="323" spans="14:14" ht="15" customHeight="1">
      <c r="N323" s="942">
        <v>322</v>
      </c>
    </row>
    <row r="324" spans="14:14" ht="15" customHeight="1">
      <c r="N324" s="942">
        <v>323</v>
      </c>
    </row>
    <row r="325" spans="14:14" ht="15" customHeight="1">
      <c r="N325" s="942">
        <v>324</v>
      </c>
    </row>
    <row r="326" spans="14:14" ht="15" customHeight="1">
      <c r="N326" s="942">
        <v>325</v>
      </c>
    </row>
    <row r="327" spans="14:14" ht="15" customHeight="1">
      <c r="N327" s="942">
        <v>326</v>
      </c>
    </row>
    <row r="328" spans="14:14" ht="15" customHeight="1">
      <c r="N328" s="942">
        <v>327</v>
      </c>
    </row>
    <row r="329" spans="14:14" ht="15" customHeight="1">
      <c r="N329" s="942">
        <v>328</v>
      </c>
    </row>
    <row r="330" spans="14:14" ht="15" customHeight="1">
      <c r="N330" s="942">
        <v>329</v>
      </c>
    </row>
    <row r="331" spans="14:14" ht="15" customHeight="1">
      <c r="N331" s="942">
        <v>330</v>
      </c>
    </row>
    <row r="332" spans="14:14" ht="15" customHeight="1">
      <c r="N332" s="942">
        <v>331</v>
      </c>
    </row>
    <row r="333" spans="14:14" ht="15" customHeight="1">
      <c r="N333" s="942">
        <v>332</v>
      </c>
    </row>
    <row r="334" spans="14:14" ht="15" customHeight="1">
      <c r="N334" s="942">
        <v>333</v>
      </c>
    </row>
    <row r="335" spans="14:14" ht="15" customHeight="1">
      <c r="N335" s="942">
        <v>334</v>
      </c>
    </row>
    <row r="336" spans="14:14" ht="15" customHeight="1">
      <c r="N336" s="942">
        <v>335</v>
      </c>
    </row>
    <row r="337" spans="14:14" ht="15" customHeight="1">
      <c r="N337" s="942">
        <v>336</v>
      </c>
    </row>
    <row r="338" spans="14:14" ht="15" customHeight="1">
      <c r="N338" s="942">
        <v>337</v>
      </c>
    </row>
    <row r="339" spans="14:14" ht="15" customHeight="1">
      <c r="N339" s="942">
        <v>338</v>
      </c>
    </row>
    <row r="340" spans="14:14" ht="15" customHeight="1">
      <c r="N340" s="942">
        <v>339</v>
      </c>
    </row>
    <row r="341" spans="14:14" ht="15" customHeight="1">
      <c r="N341" s="942">
        <v>340</v>
      </c>
    </row>
    <row r="342" spans="14:14" ht="15" customHeight="1">
      <c r="N342" s="942">
        <v>341</v>
      </c>
    </row>
    <row r="343" spans="14:14" ht="15" customHeight="1">
      <c r="N343" s="942">
        <v>342</v>
      </c>
    </row>
    <row r="344" spans="14:14" ht="15" customHeight="1">
      <c r="N344" s="942">
        <v>343</v>
      </c>
    </row>
    <row r="345" spans="14:14" ht="15" customHeight="1">
      <c r="N345" s="942">
        <v>344</v>
      </c>
    </row>
    <row r="346" spans="14:14" ht="15" customHeight="1">
      <c r="N346" s="942">
        <v>345</v>
      </c>
    </row>
    <row r="347" spans="14:14" ht="15" customHeight="1">
      <c r="N347" s="942">
        <v>346</v>
      </c>
    </row>
    <row r="348" spans="14:14" ht="15" customHeight="1">
      <c r="N348" s="942">
        <v>347</v>
      </c>
    </row>
    <row r="349" spans="14:14" ht="15" customHeight="1">
      <c r="N349" s="942">
        <v>348</v>
      </c>
    </row>
    <row r="350" spans="14:14" ht="15" customHeight="1">
      <c r="N350" s="942">
        <v>349</v>
      </c>
    </row>
    <row r="351" spans="14:14" ht="15" customHeight="1">
      <c r="N351" s="942">
        <v>350</v>
      </c>
    </row>
    <row r="352" spans="14:14" ht="15" customHeight="1">
      <c r="N352" s="942">
        <v>351</v>
      </c>
    </row>
    <row r="353" spans="14:14" ht="15" customHeight="1">
      <c r="N353" s="942">
        <v>352</v>
      </c>
    </row>
    <row r="354" spans="14:14" ht="15" customHeight="1">
      <c r="N354" s="942">
        <v>353</v>
      </c>
    </row>
    <row r="355" spans="14:14" ht="15" customHeight="1">
      <c r="N355" s="942">
        <v>354</v>
      </c>
    </row>
    <row r="356" spans="14:14" ht="15" customHeight="1">
      <c r="N356" s="942">
        <v>355</v>
      </c>
    </row>
    <row r="357" spans="14:14" ht="15" customHeight="1">
      <c r="N357" s="942">
        <v>356</v>
      </c>
    </row>
    <row r="358" spans="14:14" ht="15" customHeight="1">
      <c r="N358" s="942">
        <v>357</v>
      </c>
    </row>
    <row r="359" spans="14:14" ht="15" customHeight="1">
      <c r="N359" s="942">
        <v>358</v>
      </c>
    </row>
    <row r="360" spans="14:14" ht="15" customHeight="1">
      <c r="N360" s="942">
        <v>359</v>
      </c>
    </row>
    <row r="361" spans="14:14" ht="15" customHeight="1">
      <c r="N361" s="942">
        <v>360</v>
      </c>
    </row>
    <row r="362" spans="14:14" ht="15" customHeight="1">
      <c r="N362" s="942">
        <v>361</v>
      </c>
    </row>
    <row r="363" spans="14:14" ht="15" customHeight="1">
      <c r="N363" s="942">
        <v>362</v>
      </c>
    </row>
    <row r="364" spans="14:14" ht="15" customHeight="1">
      <c r="N364" s="942">
        <v>363</v>
      </c>
    </row>
    <row r="365" spans="14:14" ht="15" customHeight="1">
      <c r="N365" s="942">
        <v>364</v>
      </c>
    </row>
    <row r="366" spans="14:14" ht="15" customHeight="1">
      <c r="N366" s="942">
        <v>365</v>
      </c>
    </row>
    <row r="367" spans="14:14" ht="15" customHeight="1">
      <c r="N367" s="942">
        <v>366</v>
      </c>
    </row>
    <row r="368" spans="14:14" ht="15" customHeight="1">
      <c r="N368" s="942">
        <v>367</v>
      </c>
    </row>
    <row r="369" spans="14:14" ht="15" customHeight="1">
      <c r="N369" s="942">
        <v>368</v>
      </c>
    </row>
    <row r="370" spans="14:14" ht="15" customHeight="1">
      <c r="N370" s="942">
        <v>369</v>
      </c>
    </row>
    <row r="371" spans="14:14" ht="15" customHeight="1">
      <c r="N371" s="942">
        <v>370</v>
      </c>
    </row>
    <row r="372" spans="14:14" ht="15" customHeight="1">
      <c r="N372" s="942">
        <v>371</v>
      </c>
    </row>
    <row r="373" spans="14:14" ht="15" customHeight="1">
      <c r="N373" s="942">
        <v>372</v>
      </c>
    </row>
    <row r="374" spans="14:14" ht="15" customHeight="1">
      <c r="N374" s="942">
        <v>373</v>
      </c>
    </row>
    <row r="375" spans="14:14" ht="15" customHeight="1">
      <c r="N375" s="942">
        <v>374</v>
      </c>
    </row>
    <row r="376" spans="14:14" ht="15" customHeight="1">
      <c r="N376" s="942">
        <v>375</v>
      </c>
    </row>
    <row r="377" spans="14:14" ht="15" customHeight="1">
      <c r="N377" s="942">
        <v>376</v>
      </c>
    </row>
    <row r="378" spans="14:14" ht="15" customHeight="1">
      <c r="N378" s="942">
        <v>377</v>
      </c>
    </row>
    <row r="379" spans="14:14" ht="15" customHeight="1">
      <c r="N379" s="942">
        <v>378</v>
      </c>
    </row>
    <row r="380" spans="14:14" ht="15" customHeight="1">
      <c r="N380" s="942">
        <v>379</v>
      </c>
    </row>
    <row r="381" spans="14:14" ht="15" customHeight="1">
      <c r="N381" s="942">
        <v>380</v>
      </c>
    </row>
    <row r="382" spans="14:14" ht="15" customHeight="1">
      <c r="N382" s="942">
        <v>381</v>
      </c>
    </row>
    <row r="383" spans="14:14" ht="15" customHeight="1">
      <c r="N383" s="942">
        <v>382</v>
      </c>
    </row>
    <row r="384" spans="14:14" ht="15" customHeight="1">
      <c r="N384" s="942">
        <v>383</v>
      </c>
    </row>
    <row r="385" spans="14:14" ht="15" customHeight="1">
      <c r="N385" s="942">
        <v>384</v>
      </c>
    </row>
    <row r="386" spans="14:14" ht="15" customHeight="1">
      <c r="N386" s="942">
        <v>385</v>
      </c>
    </row>
    <row r="387" spans="14:14" ht="15" customHeight="1">
      <c r="N387" s="942">
        <v>386</v>
      </c>
    </row>
    <row r="388" spans="14:14" ht="15" customHeight="1">
      <c r="N388" s="942">
        <v>387</v>
      </c>
    </row>
    <row r="389" spans="14:14" ht="15" customHeight="1">
      <c r="N389" s="942">
        <v>388</v>
      </c>
    </row>
    <row r="390" spans="14:14" ht="15" customHeight="1">
      <c r="N390" s="942">
        <v>389</v>
      </c>
    </row>
    <row r="391" spans="14:14" ht="15" customHeight="1">
      <c r="N391" s="942">
        <v>390</v>
      </c>
    </row>
    <row r="392" spans="14:14" ht="15" customHeight="1">
      <c r="N392" s="942">
        <v>391</v>
      </c>
    </row>
    <row r="393" spans="14:14" ht="15" customHeight="1">
      <c r="N393" s="942">
        <v>392</v>
      </c>
    </row>
    <row r="394" spans="14:14" ht="15" customHeight="1">
      <c r="N394" s="942">
        <v>393</v>
      </c>
    </row>
    <row r="395" spans="14:14" ht="15" customHeight="1">
      <c r="N395" s="942">
        <v>394</v>
      </c>
    </row>
    <row r="396" spans="14:14" ht="15" customHeight="1">
      <c r="N396" s="942">
        <v>395</v>
      </c>
    </row>
    <row r="397" spans="14:14" ht="15" customHeight="1">
      <c r="N397" s="942">
        <v>396</v>
      </c>
    </row>
    <row r="398" spans="14:14" ht="15" customHeight="1">
      <c r="N398" s="942">
        <v>397</v>
      </c>
    </row>
    <row r="399" spans="14:14" ht="15" customHeight="1">
      <c r="N399" s="942">
        <v>398</v>
      </c>
    </row>
    <row r="400" spans="14:14" ht="15" customHeight="1">
      <c r="N400" s="942">
        <v>399</v>
      </c>
    </row>
    <row r="401" spans="14:14" ht="15" customHeight="1">
      <c r="N401" s="942">
        <v>400</v>
      </c>
    </row>
    <row r="402" spans="14:14" ht="15" customHeight="1">
      <c r="N402" s="942">
        <v>401</v>
      </c>
    </row>
    <row r="403" spans="14:14" ht="15" customHeight="1">
      <c r="N403" s="942">
        <v>402</v>
      </c>
    </row>
    <row r="404" spans="14:14" ht="15" customHeight="1">
      <c r="N404" s="942">
        <v>403</v>
      </c>
    </row>
    <row r="405" spans="14:14" ht="15" customHeight="1">
      <c r="N405" s="942">
        <v>404</v>
      </c>
    </row>
    <row r="406" spans="14:14" ht="15" customHeight="1">
      <c r="N406" s="942">
        <v>405</v>
      </c>
    </row>
    <row r="407" spans="14:14" ht="15" customHeight="1">
      <c r="N407" s="942">
        <v>406</v>
      </c>
    </row>
    <row r="408" spans="14:14" ht="15" customHeight="1">
      <c r="N408" s="942">
        <v>407</v>
      </c>
    </row>
    <row r="409" spans="14:14" ht="15" customHeight="1">
      <c r="N409" s="942">
        <v>408</v>
      </c>
    </row>
    <row r="410" spans="14:14" ht="15" customHeight="1">
      <c r="N410" s="942">
        <v>409</v>
      </c>
    </row>
    <row r="411" spans="14:14" ht="15" customHeight="1">
      <c r="N411" s="942">
        <v>410</v>
      </c>
    </row>
    <row r="412" spans="14:14" ht="15" customHeight="1">
      <c r="N412" s="942">
        <v>411</v>
      </c>
    </row>
    <row r="413" spans="14:14" ht="15" customHeight="1">
      <c r="N413" s="942">
        <v>412</v>
      </c>
    </row>
    <row r="414" spans="14:14" ht="15" customHeight="1">
      <c r="N414" s="942">
        <v>413</v>
      </c>
    </row>
    <row r="415" spans="14:14" ht="15" customHeight="1">
      <c r="N415" s="942">
        <v>414</v>
      </c>
    </row>
    <row r="416" spans="14:14" ht="15" customHeight="1">
      <c r="N416" s="942">
        <v>415</v>
      </c>
    </row>
    <row r="417" spans="14:14" ht="15" customHeight="1">
      <c r="N417" s="942">
        <v>416</v>
      </c>
    </row>
    <row r="418" spans="14:14" ht="15" customHeight="1">
      <c r="N418" s="942">
        <v>417</v>
      </c>
    </row>
    <row r="419" spans="14:14" ht="15" customHeight="1">
      <c r="N419" s="942">
        <v>418</v>
      </c>
    </row>
    <row r="420" spans="14:14" ht="15" customHeight="1">
      <c r="N420" s="942">
        <v>419</v>
      </c>
    </row>
    <row r="421" spans="14:14" ht="15" customHeight="1">
      <c r="N421" s="942">
        <v>420</v>
      </c>
    </row>
    <row r="422" spans="14:14" ht="15" customHeight="1">
      <c r="N422" s="942">
        <v>421</v>
      </c>
    </row>
    <row r="423" spans="14:14" ht="15" customHeight="1">
      <c r="N423" s="942">
        <v>422</v>
      </c>
    </row>
    <row r="424" spans="14:14" ht="15" customHeight="1">
      <c r="N424" s="942">
        <v>423</v>
      </c>
    </row>
    <row r="425" spans="14:14" ht="15" customHeight="1">
      <c r="N425" s="942">
        <v>424</v>
      </c>
    </row>
    <row r="426" spans="14:14" ht="15" customHeight="1">
      <c r="N426" s="942">
        <v>425</v>
      </c>
    </row>
    <row r="427" spans="14:14" ht="15" customHeight="1">
      <c r="N427" s="942">
        <v>426</v>
      </c>
    </row>
    <row r="428" spans="14:14" ht="15" customHeight="1">
      <c r="N428" s="942">
        <v>427</v>
      </c>
    </row>
    <row r="429" spans="14:14" ht="15" customHeight="1">
      <c r="N429" s="942">
        <v>428</v>
      </c>
    </row>
    <row r="430" spans="14:14" ht="15" customHeight="1">
      <c r="N430" s="942">
        <v>429</v>
      </c>
    </row>
    <row r="431" spans="14:14" ht="15" customHeight="1">
      <c r="N431" s="942">
        <v>430</v>
      </c>
    </row>
    <row r="432" spans="14:14" ht="15" customHeight="1">
      <c r="N432" s="942">
        <v>431</v>
      </c>
    </row>
    <row r="433" spans="14:14" ht="15" customHeight="1">
      <c r="N433" s="942">
        <v>432</v>
      </c>
    </row>
    <row r="434" spans="14:14" ht="15" customHeight="1">
      <c r="N434" s="942">
        <v>433</v>
      </c>
    </row>
    <row r="435" spans="14:14" ht="15" customHeight="1">
      <c r="N435" s="942">
        <v>434</v>
      </c>
    </row>
    <row r="436" spans="14:14" ht="15" customHeight="1">
      <c r="N436" s="942">
        <v>435</v>
      </c>
    </row>
    <row r="437" spans="14:14" ht="15" customHeight="1">
      <c r="N437" s="942">
        <v>436</v>
      </c>
    </row>
    <row r="438" spans="14:14" ht="15" customHeight="1">
      <c r="N438" s="942">
        <v>437</v>
      </c>
    </row>
    <row r="439" spans="14:14" ht="15" customHeight="1">
      <c r="N439" s="942">
        <v>438</v>
      </c>
    </row>
    <row r="440" spans="14:14" ht="15" customHeight="1">
      <c r="N440" s="942">
        <v>439</v>
      </c>
    </row>
    <row r="441" spans="14:14" ht="15" customHeight="1">
      <c r="N441" s="942">
        <v>440</v>
      </c>
    </row>
    <row r="442" spans="14:14" ht="15" customHeight="1">
      <c r="N442" s="942">
        <v>441</v>
      </c>
    </row>
    <row r="443" spans="14:14" ht="15" customHeight="1">
      <c r="N443" s="942">
        <v>442</v>
      </c>
    </row>
    <row r="444" spans="14:14" ht="15" customHeight="1">
      <c r="N444" s="942">
        <v>443</v>
      </c>
    </row>
    <row r="445" spans="14:14" ht="15" customHeight="1">
      <c r="N445" s="942">
        <v>444</v>
      </c>
    </row>
    <row r="446" spans="14:14" ht="15" customHeight="1">
      <c r="N446" s="942">
        <v>445</v>
      </c>
    </row>
    <row r="447" spans="14:14" ht="15" customHeight="1">
      <c r="N447" s="942">
        <v>446</v>
      </c>
    </row>
    <row r="448" spans="14:14" ht="15" customHeight="1">
      <c r="N448" s="942">
        <v>447</v>
      </c>
    </row>
    <row r="449" spans="14:14" ht="15" customHeight="1">
      <c r="N449" s="942">
        <v>448</v>
      </c>
    </row>
    <row r="450" spans="14:14" ht="15" customHeight="1">
      <c r="N450" s="942">
        <v>449</v>
      </c>
    </row>
    <row r="451" spans="14:14" ht="15" customHeight="1">
      <c r="N451" s="942">
        <v>450</v>
      </c>
    </row>
    <row r="452" spans="14:14" ht="15" customHeight="1">
      <c r="N452" s="942">
        <v>451</v>
      </c>
    </row>
    <row r="453" spans="14:14" ht="15" customHeight="1">
      <c r="N453" s="942">
        <v>452</v>
      </c>
    </row>
    <row r="454" spans="14:14" ht="15" customHeight="1">
      <c r="N454" s="942">
        <v>453</v>
      </c>
    </row>
    <row r="455" spans="14:14" ht="15" customHeight="1">
      <c r="N455" s="942">
        <v>454</v>
      </c>
    </row>
    <row r="456" spans="14:14" ht="15" customHeight="1">
      <c r="N456" s="942">
        <v>455</v>
      </c>
    </row>
    <row r="457" spans="14:14" ht="15" customHeight="1">
      <c r="N457" s="942">
        <v>456</v>
      </c>
    </row>
    <row r="458" spans="14:14" ht="15" customHeight="1">
      <c r="N458" s="942">
        <v>457</v>
      </c>
    </row>
    <row r="459" spans="14:14" ht="15" customHeight="1">
      <c r="N459" s="942">
        <v>458</v>
      </c>
    </row>
    <row r="460" spans="14:14" ht="15" customHeight="1">
      <c r="N460" s="942">
        <v>459</v>
      </c>
    </row>
    <row r="461" spans="14:14" ht="15" customHeight="1">
      <c r="N461" s="942">
        <v>460</v>
      </c>
    </row>
    <row r="462" spans="14:14" ht="15" customHeight="1">
      <c r="N462" s="942">
        <v>461</v>
      </c>
    </row>
    <row r="463" spans="14:14" ht="15" customHeight="1">
      <c r="N463" s="942">
        <v>462</v>
      </c>
    </row>
    <row r="464" spans="14:14" ht="15" customHeight="1">
      <c r="N464" s="942">
        <v>463</v>
      </c>
    </row>
    <row r="465" spans="14:14" ht="15" customHeight="1">
      <c r="N465" s="942">
        <v>464</v>
      </c>
    </row>
    <row r="466" spans="14:14" ht="15" customHeight="1">
      <c r="N466" s="942">
        <v>465</v>
      </c>
    </row>
    <row r="467" spans="14:14" ht="15" customHeight="1">
      <c r="N467" s="942">
        <v>466</v>
      </c>
    </row>
    <row r="468" spans="14:14" ht="15" customHeight="1">
      <c r="N468" s="942">
        <v>467</v>
      </c>
    </row>
    <row r="469" spans="14:14" ht="15" customHeight="1">
      <c r="N469" s="942">
        <v>468</v>
      </c>
    </row>
    <row r="470" spans="14:14" ht="15" customHeight="1">
      <c r="N470" s="942">
        <v>469</v>
      </c>
    </row>
    <row r="471" spans="14:14" ht="15" customHeight="1">
      <c r="N471" s="942">
        <v>470</v>
      </c>
    </row>
    <row r="472" spans="14:14" ht="15" customHeight="1">
      <c r="N472" s="942">
        <v>471</v>
      </c>
    </row>
    <row r="473" spans="14:14" ht="15" customHeight="1">
      <c r="N473" s="942">
        <v>472</v>
      </c>
    </row>
    <row r="474" spans="14:14" ht="15" customHeight="1">
      <c r="N474" s="942">
        <v>473</v>
      </c>
    </row>
    <row r="475" spans="14:14" ht="15" customHeight="1">
      <c r="N475" s="942">
        <v>474</v>
      </c>
    </row>
    <row r="476" spans="14:14" ht="15" customHeight="1">
      <c r="N476" s="942">
        <v>475</v>
      </c>
    </row>
    <row r="477" spans="14:14" ht="15" customHeight="1">
      <c r="N477" s="942">
        <v>476</v>
      </c>
    </row>
    <row r="478" spans="14:14" ht="15" customHeight="1">
      <c r="N478" s="942">
        <v>477</v>
      </c>
    </row>
    <row r="479" spans="14:14" ht="15" customHeight="1">
      <c r="N479" s="942">
        <v>478</v>
      </c>
    </row>
    <row r="480" spans="14:14" ht="15" customHeight="1">
      <c r="N480" s="942">
        <v>479</v>
      </c>
    </row>
    <row r="481" spans="14:14" ht="15" customHeight="1">
      <c r="N481" s="942">
        <v>480</v>
      </c>
    </row>
    <row r="482" spans="14:14" ht="15" customHeight="1">
      <c r="N482" s="942">
        <v>481</v>
      </c>
    </row>
    <row r="483" spans="14:14" ht="15" customHeight="1">
      <c r="N483" s="942">
        <v>482</v>
      </c>
    </row>
    <row r="484" spans="14:14" ht="15" customHeight="1">
      <c r="N484" s="942">
        <v>483</v>
      </c>
    </row>
    <row r="485" spans="14:14" ht="15" customHeight="1">
      <c r="N485" s="942">
        <v>484</v>
      </c>
    </row>
    <row r="486" spans="14:14" ht="15" customHeight="1">
      <c r="N486" s="942">
        <v>485</v>
      </c>
    </row>
    <row r="487" spans="14:14" ht="15" customHeight="1">
      <c r="N487" s="942">
        <v>486</v>
      </c>
    </row>
    <row r="488" spans="14:14" ht="15" customHeight="1">
      <c r="N488" s="942">
        <v>487</v>
      </c>
    </row>
    <row r="489" spans="14:14" ht="15" customHeight="1">
      <c r="N489" s="942">
        <v>488</v>
      </c>
    </row>
    <row r="490" spans="14:14" ht="15" customHeight="1">
      <c r="N490" s="942">
        <v>489</v>
      </c>
    </row>
    <row r="491" spans="14:14" ht="15" customHeight="1">
      <c r="N491" s="942">
        <v>490</v>
      </c>
    </row>
    <row r="492" spans="14:14" ht="15" customHeight="1">
      <c r="N492" s="942">
        <v>491</v>
      </c>
    </row>
    <row r="493" spans="14:14" ht="15" customHeight="1">
      <c r="N493" s="942">
        <v>492</v>
      </c>
    </row>
    <row r="494" spans="14:14" ht="15" customHeight="1">
      <c r="N494" s="942">
        <v>493</v>
      </c>
    </row>
    <row r="495" spans="14:14" ht="15" customHeight="1">
      <c r="N495" s="942">
        <v>494</v>
      </c>
    </row>
    <row r="496" spans="14:14" ht="15" customHeight="1">
      <c r="N496" s="942">
        <v>495</v>
      </c>
    </row>
    <row r="497" spans="14:14" ht="15" customHeight="1">
      <c r="N497" s="942">
        <v>496</v>
      </c>
    </row>
    <row r="498" spans="14:14" ht="15" customHeight="1">
      <c r="N498" s="942">
        <v>497</v>
      </c>
    </row>
    <row r="499" spans="14:14" ht="15" customHeight="1">
      <c r="N499" s="942">
        <v>498</v>
      </c>
    </row>
    <row r="500" spans="14:14" ht="15" customHeight="1">
      <c r="N500" s="942">
        <v>499</v>
      </c>
    </row>
    <row r="501" spans="14:14" ht="15" customHeight="1">
      <c r="N501" s="942">
        <v>500</v>
      </c>
    </row>
  </sheetData>
  <sheetProtection algorithmName="SHA-512" hashValue="zIcRf63TTMCjaMhrwaO1LW/WIrjQGiql5/QpVJwV2qUarLQq7UIeNNkeCXSvUGBPoS7I6BLeqcny9FI2Y/b5RA==" saltValue="OVEKcxDFpB16p+FIQ2YHHw==" spinCount="100000" sheet="1" scenarios="1" selectLockedCells="1" selectUnlockedCells="1"/>
  <phoneticPr fontId="2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E0146-C328-B344-93EE-7B1D3FC413A4}">
  <sheetPr codeName="Hoja7"/>
  <dimension ref="A1:AM170"/>
  <sheetViews>
    <sheetView showRowColHeaders="0" zoomScaleNormal="100" workbookViewId="0">
      <pane xSplit="13" ySplit="7" topLeftCell="N8" activePane="bottomRight" state="frozen"/>
      <selection pane="topRight" activeCell="N1" sqref="N1"/>
      <selection pane="bottomLeft" activeCell="A8" sqref="A8"/>
      <selection pane="bottomRight" activeCell="D23" sqref="D23"/>
    </sheetView>
  </sheetViews>
  <sheetFormatPr baseColWidth="10" defaultColWidth="10.83203125" defaultRowHeight="15"/>
  <cols>
    <col min="1" max="1" width="3.1640625" customWidth="1"/>
    <col min="2" max="2" width="2.5" customWidth="1"/>
    <col min="3" max="3" width="44.6640625" customWidth="1"/>
    <col min="4" max="4" width="8.5" bestFit="1" customWidth="1"/>
    <col min="5" max="5" width="5.5" bestFit="1" customWidth="1"/>
    <col min="6" max="6" width="2.5" customWidth="1"/>
    <col min="8" max="8" width="29" customWidth="1"/>
    <col min="9" max="9" width="3.1640625" customWidth="1"/>
    <col min="10" max="10" width="16.5" customWidth="1"/>
    <col min="11" max="11" width="2.83203125" customWidth="1"/>
    <col min="12" max="12" width="2.83203125" hidden="1" customWidth="1"/>
    <col min="13" max="13" width="4.6640625" hidden="1" customWidth="1"/>
    <col min="14" max="14" width="29.5" customWidth="1"/>
    <col min="15" max="15" width="6" customWidth="1"/>
    <col min="16" max="16" width="2.83203125" customWidth="1"/>
    <col min="17" max="17" width="2.83203125" hidden="1" customWidth="1"/>
    <col min="18" max="18" width="5.6640625" hidden="1" customWidth="1"/>
    <col min="19" max="19" width="29.5" customWidth="1"/>
    <col min="20" max="20" width="6" customWidth="1"/>
    <col min="21" max="21" width="2.83203125" customWidth="1"/>
    <col min="22" max="22" width="2.83203125" hidden="1" customWidth="1"/>
    <col min="23" max="23" width="5.6640625" hidden="1" customWidth="1"/>
    <col min="24" max="24" width="29.5" customWidth="1"/>
    <col min="25" max="25" width="6" customWidth="1"/>
    <col min="26" max="26" width="2.83203125" customWidth="1"/>
    <col min="27" max="27" width="2.83203125" hidden="1" customWidth="1"/>
    <col min="28" max="28" width="5.6640625" hidden="1" customWidth="1"/>
    <col min="29" max="29" width="29.5" customWidth="1"/>
    <col min="30" max="30" width="6" customWidth="1"/>
    <col min="31" max="31" width="2.83203125" customWidth="1"/>
    <col min="32" max="32" width="2.83203125" hidden="1" customWidth="1"/>
    <col min="33" max="33" width="5.6640625" hidden="1" customWidth="1"/>
    <col min="34" max="34" width="29.5" customWidth="1"/>
    <col min="35" max="35" width="6" customWidth="1"/>
    <col min="36" max="37" width="2.83203125" customWidth="1"/>
    <col min="38" max="38" width="5.6640625" customWidth="1"/>
  </cols>
  <sheetData>
    <row r="1" spans="1:39" s="859" customFormat="1">
      <c r="A1" s="857"/>
      <c r="B1" s="857"/>
      <c r="C1" s="857"/>
      <c r="D1" s="857"/>
      <c r="E1" s="857"/>
      <c r="F1" s="857"/>
      <c r="G1" s="857"/>
      <c r="H1" s="857"/>
      <c r="I1" s="857"/>
      <c r="J1" s="857"/>
      <c r="K1" s="857"/>
      <c r="L1" s="857"/>
      <c r="M1" s="857"/>
      <c r="N1" s="857">
        <f ca="1">RANK(N5,OFFSET($N$5,0,0,1,$D$3*5),0)</f>
        <v>1</v>
      </c>
      <c r="O1" s="857"/>
      <c r="P1" s="857"/>
      <c r="Q1" s="857"/>
      <c r="R1" s="857"/>
      <c r="S1" s="857">
        <f ca="1">RANK(S5,OFFSET($N$5,0,0,1,$D$3*5),0)</f>
        <v>2</v>
      </c>
      <c r="T1" s="857"/>
      <c r="U1" s="857"/>
      <c r="V1" s="857"/>
      <c r="W1" s="857"/>
      <c r="X1" s="857">
        <f ca="1">RANK(X5,OFFSET($N$5,0,0,1,$D$3*5),0)</f>
        <v>3</v>
      </c>
      <c r="Y1" s="857"/>
      <c r="Z1" s="857"/>
      <c r="AA1" s="857"/>
      <c r="AB1" s="857"/>
      <c r="AC1" s="857">
        <f ca="1">RANK(AC5,OFFSET($N$5,0,0,1,$D$3*5),0)</f>
        <v>4</v>
      </c>
      <c r="AD1" s="857"/>
      <c r="AE1" s="857"/>
      <c r="AF1" s="857"/>
      <c r="AG1" s="857"/>
      <c r="AH1" s="857">
        <f ca="1">RANK(AH5,OFFSET($N$5,0,0,1,$D$3*5),0)</f>
        <v>5</v>
      </c>
      <c r="AI1" s="857"/>
      <c r="AJ1" s="857"/>
      <c r="AK1" s="857"/>
      <c r="AL1" s="857"/>
      <c r="AM1"/>
    </row>
    <row r="2" spans="1:39" s="859" customFormat="1">
      <c r="A2" s="857"/>
      <c r="B2" s="857"/>
      <c r="C2" s="857"/>
      <c r="D2" s="857"/>
      <c r="E2" s="857"/>
      <c r="F2" s="857"/>
      <c r="G2" s="857"/>
      <c r="H2" s="857"/>
      <c r="I2" s="857"/>
      <c r="J2" s="857"/>
      <c r="K2" s="857"/>
      <c r="L2" s="857"/>
      <c r="M2" s="857"/>
      <c r="N2" s="858">
        <f ca="1">RANK(N4,OFFSET($N$4,0,0,1,$D$3*5),0)</f>
        <v>1</v>
      </c>
      <c r="O2" s="857"/>
      <c r="P2" s="857"/>
      <c r="Q2" s="857"/>
      <c r="R2" s="857"/>
      <c r="S2" s="858">
        <f ca="1">RANK(S4,OFFSET($N$4,0,0,1,$D$3*5),0)</f>
        <v>1</v>
      </c>
      <c r="T2" s="857"/>
      <c r="U2" s="857"/>
      <c r="V2" s="857"/>
      <c r="W2" s="857"/>
      <c r="X2" s="858">
        <f ca="1">RANK(X4,OFFSET($N$4,0,0,1,$D$3*5),0)</f>
        <v>1</v>
      </c>
      <c r="Y2" s="857"/>
      <c r="Z2" s="857"/>
      <c r="AA2" s="857"/>
      <c r="AB2" s="857"/>
      <c r="AC2" s="858">
        <f ca="1">RANK(AC4,OFFSET($N$4,0,0,1,$D$3*5),0)</f>
        <v>1</v>
      </c>
      <c r="AD2" s="857"/>
      <c r="AE2" s="857"/>
      <c r="AF2" s="857"/>
      <c r="AG2" s="857"/>
      <c r="AH2" s="858">
        <f ca="1">RANK(AH4,OFFSET($N$4,0,0,1,$D$3*5),0)</f>
        <v>1</v>
      </c>
      <c r="AI2" s="857"/>
      <c r="AJ2" s="857"/>
      <c r="AK2" s="857"/>
      <c r="AL2" s="857"/>
      <c r="AM2"/>
    </row>
    <row r="3" spans="1:39" ht="21">
      <c r="A3" s="774"/>
      <c r="B3" s="774"/>
      <c r="C3" s="775" t="s">
        <v>275</v>
      </c>
      <c r="D3" s="776">
        <v>5</v>
      </c>
      <c r="E3" s="774"/>
      <c r="F3" s="774"/>
      <c r="G3" s="774"/>
      <c r="H3" s="886" t="s">
        <v>276</v>
      </c>
      <c r="I3" s="887"/>
      <c r="J3" s="887"/>
      <c r="K3" s="773">
        <v>0</v>
      </c>
      <c r="L3" s="152"/>
      <c r="M3" s="774"/>
      <c r="N3" s="777" t="s">
        <v>440</v>
      </c>
      <c r="O3" s="778"/>
      <c r="P3" s="773">
        <v>1</v>
      </c>
      <c r="Q3" s="152"/>
      <c r="R3" s="774"/>
      <c r="S3" s="777" t="s">
        <v>441</v>
      </c>
      <c r="T3" s="778"/>
      <c r="U3" s="773">
        <v>2</v>
      </c>
      <c r="V3" s="152"/>
      <c r="W3" s="774"/>
      <c r="X3" s="777" t="s">
        <v>442</v>
      </c>
      <c r="Y3" s="778"/>
      <c r="Z3" s="773">
        <v>3</v>
      </c>
      <c r="AA3" s="152"/>
      <c r="AB3" s="774"/>
      <c r="AC3" s="777" t="s">
        <v>443</v>
      </c>
      <c r="AD3" s="778"/>
      <c r="AE3" s="773">
        <v>4</v>
      </c>
      <c r="AF3" s="152"/>
      <c r="AG3" s="774"/>
      <c r="AH3" s="777" t="s">
        <v>444</v>
      </c>
      <c r="AI3" s="778"/>
      <c r="AJ3" s="773">
        <v>5</v>
      </c>
      <c r="AK3" s="152"/>
      <c r="AL3" s="774"/>
    </row>
    <row r="4" spans="1:39">
      <c r="A4" s="774"/>
      <c r="B4" s="774"/>
      <c r="C4" s="774"/>
      <c r="D4" s="774"/>
      <c r="E4" s="774"/>
      <c r="F4" s="774"/>
      <c r="G4" s="774"/>
      <c r="H4" s="774"/>
      <c r="I4" s="774"/>
      <c r="J4" s="774"/>
      <c r="K4" s="774"/>
      <c r="L4" s="152"/>
      <c r="M4" s="774"/>
      <c r="N4" s="779">
        <f ca="1">SUM(O8:O168)</f>
        <v>0</v>
      </c>
      <c r="O4" s="780"/>
      <c r="P4" s="774"/>
      <c r="Q4" s="152"/>
      <c r="R4" s="774"/>
      <c r="S4" s="779">
        <f ca="1">SUM(T8:T168)</f>
        <v>0</v>
      </c>
      <c r="T4" s="780"/>
      <c r="U4" s="774"/>
      <c r="V4" s="152"/>
      <c r="W4" s="774"/>
      <c r="X4" s="779">
        <f ca="1">SUM(Y8:Y168)</f>
        <v>0</v>
      </c>
      <c r="Y4" s="780"/>
      <c r="Z4" s="774"/>
      <c r="AA4" s="152"/>
      <c r="AB4" s="774"/>
      <c r="AC4" s="779">
        <f ca="1">SUM(AD8:AD168)</f>
        <v>0</v>
      </c>
      <c r="AD4" s="780"/>
      <c r="AE4" s="774"/>
      <c r="AF4" s="152"/>
      <c r="AG4" s="774"/>
      <c r="AH4" s="779">
        <f ca="1">SUM(AI8:AI168)</f>
        <v>0</v>
      </c>
      <c r="AI4" s="780"/>
      <c r="AJ4" s="774"/>
      <c r="AK4" s="152"/>
      <c r="AL4" s="774"/>
    </row>
    <row r="5" spans="1:39" s="784" customFormat="1">
      <c r="A5" s="773"/>
      <c r="B5" s="773"/>
      <c r="C5" s="781"/>
      <c r="D5" s="773"/>
      <c r="E5" s="782"/>
      <c r="F5" s="782"/>
      <c r="G5" s="782"/>
      <c r="H5" s="782"/>
      <c r="I5" s="782"/>
      <c r="J5" s="773"/>
      <c r="K5" s="773"/>
      <c r="L5" s="773"/>
      <c r="M5" s="773"/>
      <c r="N5" s="781">
        <f ca="1">N4-(COLUMN()/10000)</f>
        <v>-1.4E-3</v>
      </c>
      <c r="O5" s="783"/>
      <c r="P5" s="773"/>
      <c r="Q5" s="773"/>
      <c r="R5" s="773"/>
      <c r="S5" s="781">
        <f t="shared" ref="S5" ca="1" si="0">S4-(COLUMN()/10000)</f>
        <v>-1.9E-3</v>
      </c>
      <c r="T5" s="783"/>
      <c r="U5" s="773"/>
      <c r="V5" s="773"/>
      <c r="W5" s="773"/>
      <c r="X5" s="781">
        <f t="shared" ref="X5" ca="1" si="1">X4-(COLUMN()/10000)</f>
        <v>-2.3999999999999998E-3</v>
      </c>
      <c r="Y5" s="783"/>
      <c r="Z5" s="773"/>
      <c r="AA5" s="773"/>
      <c r="AB5" s="773"/>
      <c r="AC5" s="781">
        <f t="shared" ref="AC5" ca="1" si="2">AC4-(COLUMN()/10000)</f>
        <v>-2.8999999999999998E-3</v>
      </c>
      <c r="AD5" s="783"/>
      <c r="AE5" s="773"/>
      <c r="AF5" s="773"/>
      <c r="AG5" s="773"/>
      <c r="AH5" s="781">
        <f t="shared" ref="AH5" ca="1" si="3">AH4-(COLUMN()/10000)</f>
        <v>-3.3999999999999998E-3</v>
      </c>
      <c r="AI5" s="783"/>
      <c r="AJ5" s="773"/>
      <c r="AK5" s="773"/>
      <c r="AL5" s="773"/>
    </row>
    <row r="6" spans="1:39">
      <c r="A6" s="774"/>
      <c r="B6" s="774"/>
      <c r="C6" s="774"/>
      <c r="D6" s="774"/>
      <c r="E6" s="785"/>
      <c r="F6" s="785"/>
      <c r="G6" s="785"/>
      <c r="H6" s="785"/>
      <c r="I6" s="785"/>
      <c r="J6" s="785"/>
      <c r="K6" s="785"/>
      <c r="L6" s="785"/>
      <c r="M6" s="785"/>
      <c r="N6" s="786"/>
      <c r="O6" s="159"/>
      <c r="P6" s="785"/>
      <c r="Q6" s="785"/>
      <c r="R6" s="785"/>
      <c r="S6" s="786"/>
      <c r="T6" s="159"/>
      <c r="U6" s="785"/>
      <c r="V6" s="785"/>
      <c r="W6" s="785"/>
      <c r="X6" s="786"/>
      <c r="Y6" s="159"/>
      <c r="Z6" s="785"/>
      <c r="AA6" s="785"/>
      <c r="AB6" s="785"/>
      <c r="AC6" s="786"/>
      <c r="AD6" s="159"/>
      <c r="AE6" s="785"/>
      <c r="AF6" s="785"/>
      <c r="AG6" s="785"/>
      <c r="AH6" s="786"/>
      <c r="AI6" s="159"/>
      <c r="AJ6" s="785"/>
      <c r="AK6" s="785"/>
      <c r="AL6" s="785"/>
    </row>
    <row r="7" spans="1:39" ht="16" customHeight="1">
      <c r="A7" s="773"/>
      <c r="B7" s="773"/>
      <c r="C7" s="787" t="s">
        <v>277</v>
      </c>
      <c r="D7" s="788" t="s">
        <v>278</v>
      </c>
      <c r="E7" s="773"/>
      <c r="F7" s="773"/>
      <c r="G7" s="789"/>
      <c r="H7" s="884" t="s">
        <v>279</v>
      </c>
      <c r="I7" s="884"/>
      <c r="J7" s="885"/>
      <c r="K7" s="772"/>
      <c r="L7" s="772"/>
      <c r="M7" s="772"/>
      <c r="N7" s="82"/>
      <c r="O7" s="82"/>
      <c r="P7" s="772"/>
      <c r="Q7" s="772"/>
      <c r="R7" s="772"/>
      <c r="S7" s="82"/>
      <c r="T7" s="82"/>
      <c r="U7" s="772"/>
      <c r="V7" s="772"/>
      <c r="W7" s="772"/>
      <c r="X7" s="82"/>
      <c r="Y7" s="82"/>
      <c r="Z7" s="772"/>
      <c r="AA7" s="772"/>
      <c r="AB7" s="772"/>
      <c r="AC7" s="82"/>
      <c r="AD7" s="82"/>
      <c r="AE7" s="772"/>
      <c r="AF7" s="772"/>
      <c r="AG7" s="772"/>
      <c r="AH7" s="82"/>
      <c r="AI7" s="82"/>
      <c r="AJ7" s="772"/>
      <c r="AK7" s="772"/>
      <c r="AL7" s="772"/>
    </row>
    <row r="8" spans="1:39" ht="15" customHeight="1">
      <c r="A8" s="774"/>
      <c r="B8" s="774"/>
      <c r="C8" s="790" t="s">
        <v>280</v>
      </c>
      <c r="D8" s="791">
        <v>0</v>
      </c>
      <c r="E8" s="774"/>
      <c r="F8" s="894">
        <v>44886</v>
      </c>
      <c r="G8" s="792" t="s">
        <v>145</v>
      </c>
      <c r="H8" s="793" t="str">
        <f ca="1">CONCATENATE(MUNDIAL!I4,"-",MUNDIAL!N4)</f>
        <v>Senegal-Paises Bajos</v>
      </c>
      <c r="I8" s="794"/>
      <c r="J8" s="819" t="str">
        <f>CONCATENATE(IF(MUNDIAL!K4&gt;MUNDIAL!L4,1,IF(MUNDIAL!K4&lt;MUNDIAL!L4,2,IF(AND(MUNDIAL!K4=MUNDIAL!L4,MUNDIAL!K4&lt;&gt;"",MUNDIAL!L4&lt;&gt;""),"X",0))),"|",MUNDIAL!K4,"-",MUNDIAL!L4)</f>
        <v>2|0-2</v>
      </c>
      <c r="K8" s="774"/>
      <c r="L8" s="774"/>
      <c r="M8" s="774"/>
      <c r="N8" s="952" t="s">
        <v>281</v>
      </c>
      <c r="O8" s="796">
        <f t="shared" ref="O8:O55" si="4">IFERROR(SUM(IF($J8=N8,$D$10),IF(LEFT($J8,1)=LEFT(N8,1),$D$8),IF(MID($J8,FIND("|",$J8)+1,FIND("-",$J8)-FIND("|",$J8)-1)-MID($J8,FIND("-",$J8)+1,11)=MID(N8,FIND("|",N8)+1,FIND("-",N8)-FIND("|",N8)-1)-MID(N8,FIND("-",N8)+1,11),$D$9)),)</f>
        <v>0</v>
      </c>
      <c r="P8" s="774"/>
      <c r="Q8" s="774"/>
      <c r="R8" s="774"/>
      <c r="S8" s="795" t="s">
        <v>281</v>
      </c>
      <c r="T8" s="796">
        <f t="shared" ref="T8" si="5">IFERROR(SUM(IF($J8=S8,$D$10),IF(LEFT($J8,1)=LEFT(S8,1),$D$8),IF(MID($J8,FIND("|",$J8)+1,FIND("-",$J8)-FIND("|",$J8)-1)-MID($J8,FIND("-",$J8)+1,11)=MID(S8,FIND("|",S8)+1,FIND("-",S8)-FIND("|",S8)-1)-MID(S8,FIND("-",S8)+1,11),$D$9)),)</f>
        <v>0</v>
      </c>
      <c r="U8" s="774"/>
      <c r="V8" s="774"/>
      <c r="W8" s="774"/>
      <c r="X8" s="795" t="s">
        <v>281</v>
      </c>
      <c r="Y8" s="796">
        <f t="shared" ref="Y8" si="6">IFERROR(SUM(IF($J8=X8,$D$10),IF(LEFT($J8,1)=LEFT(X8,1),$D$8),IF(MID($J8,FIND("|",$J8)+1,FIND("-",$J8)-FIND("|",$J8)-1)-MID($J8,FIND("-",$J8)+1,11)=MID(X8,FIND("|",X8)+1,FIND("-",X8)-FIND("|",X8)-1)-MID(X8,FIND("-",X8)+1,11),$D$9)),)</f>
        <v>0</v>
      </c>
      <c r="Z8" s="774"/>
      <c r="AA8" s="774"/>
      <c r="AB8" s="774"/>
      <c r="AC8" s="795" t="s">
        <v>281</v>
      </c>
      <c r="AD8" s="796">
        <f t="shared" ref="AD8" si="7">IFERROR(SUM(IF($J8=AC8,$D$10),IF(LEFT($J8,1)=LEFT(AC8,1),$D$8),IF(MID($J8,FIND("|",$J8)+1,FIND("-",$J8)-FIND("|",$J8)-1)-MID($J8,FIND("-",$J8)+1,11)=MID(AC8,FIND("|",AC8)+1,FIND("-",AC8)-FIND("|",AC8)-1)-MID(AC8,FIND("-",AC8)+1,11),$D$9)),)</f>
        <v>0</v>
      </c>
      <c r="AE8" s="774"/>
      <c r="AF8" s="774"/>
      <c r="AG8" s="774"/>
      <c r="AH8" s="952" t="s">
        <v>281</v>
      </c>
      <c r="AI8" s="796">
        <f t="shared" ref="AI8" si="8">IFERROR(SUM(IF($J8=AH8,$D$10),IF(LEFT($J8,1)=LEFT(AH8,1),$D$8),IF(MID($J8,FIND("|",$J8)+1,FIND("-",$J8)-FIND("|",$J8)-1)-MID($J8,FIND("-",$J8)+1,11)=MID(AH8,FIND("|",AH8)+1,FIND("-",AH8)-FIND("|",AH8)-1)-MID(AH8,FIND("-",AH8)+1,11),$D$9)),)</f>
        <v>0</v>
      </c>
      <c r="AJ8" s="774"/>
      <c r="AK8" s="774"/>
      <c r="AL8" s="774"/>
    </row>
    <row r="9" spans="1:39" ht="15" customHeight="1">
      <c r="A9" s="797"/>
      <c r="B9" s="774"/>
      <c r="C9" s="790" t="s">
        <v>379</v>
      </c>
      <c r="D9" s="791">
        <v>0</v>
      </c>
      <c r="E9" s="774"/>
      <c r="F9" s="894">
        <v>44885</v>
      </c>
      <c r="G9" s="798" t="s">
        <v>145</v>
      </c>
      <c r="H9" t="str">
        <f ca="1">CONCATENATE(MUNDIAL!I5,"-",MUNDIAL!N5)</f>
        <v>Catar-Ecuador</v>
      </c>
      <c r="I9" s="799"/>
      <c r="J9" s="821" t="str">
        <f>CONCATENATE(IF(MUNDIAL!K5&gt;MUNDIAL!L5,1,IF(MUNDIAL!K5&lt;MUNDIAL!L5,2,IF(AND(MUNDIAL!K5=MUNDIAL!L5,MUNDIAL!K5&lt;&gt;"",MUNDIAL!L5&lt;&gt;""),"X",0))),"|",MUNDIAL!K5,"-",MUNDIAL!L5)</f>
        <v>2|0-2</v>
      </c>
      <c r="K9" s="774"/>
      <c r="L9" s="774"/>
      <c r="M9" s="774"/>
      <c r="N9" s="954"/>
      <c r="O9" s="796">
        <f t="shared" si="4"/>
        <v>0</v>
      </c>
      <c r="P9" s="774"/>
      <c r="Q9" s="774"/>
      <c r="R9" s="774"/>
      <c r="S9" s="795"/>
      <c r="T9" s="796">
        <f t="shared" ref="T9" si="9">IFERROR(SUM(IF($J9=S9,$D$10),IF(LEFT($J9,1)=LEFT(S9,1),$D$8),IF(MID($J9,FIND("|",$J9)+1,FIND("-",$J9)-FIND("|",$J9)-1)-MID($J9,FIND("-",$J9)+1,11)=MID(S9,FIND("|",S9)+1,FIND("-",S9)-FIND("|",S9)-1)-MID(S9,FIND("-",S9)+1,11),$D$9)),)</f>
        <v>0</v>
      </c>
      <c r="U9" s="774"/>
      <c r="V9" s="774"/>
      <c r="W9" s="774"/>
      <c r="X9" s="795"/>
      <c r="Y9" s="796">
        <f t="shared" ref="Y9" si="10">IFERROR(SUM(IF($J9=X9,$D$10),IF(LEFT($J9,1)=LEFT(X9,1),$D$8),IF(MID($J9,FIND("|",$J9)+1,FIND("-",$J9)-FIND("|",$J9)-1)-MID($J9,FIND("-",$J9)+1,11)=MID(X9,FIND("|",X9)+1,FIND("-",X9)-FIND("|",X9)-1)-MID(X9,FIND("-",X9)+1,11),$D$9)),)</f>
        <v>0</v>
      </c>
      <c r="Z9" s="774"/>
      <c r="AA9" s="774"/>
      <c r="AB9" s="774"/>
      <c r="AC9" s="795"/>
      <c r="AD9" s="796">
        <f t="shared" ref="AD9" si="11">IFERROR(SUM(IF($J9=AC9,$D$10),IF(LEFT($J9,1)=LEFT(AC9,1),$D$8),IF(MID($J9,FIND("|",$J9)+1,FIND("-",$J9)-FIND("|",$J9)-1)-MID($J9,FIND("-",$J9)+1,11)=MID(AC9,FIND("|",AC9)+1,FIND("-",AC9)-FIND("|",AC9)-1)-MID(AC9,FIND("-",AC9)+1,11),$D$9)),)</f>
        <v>0</v>
      </c>
      <c r="AE9" s="774"/>
      <c r="AF9" s="774"/>
      <c r="AG9" s="774"/>
      <c r="AH9" s="954"/>
      <c r="AI9" s="796">
        <f t="shared" ref="AI9" si="12">IFERROR(SUM(IF($J9=AH9,$D$10),IF(LEFT($J9,1)=LEFT(AH9,1),$D$8),IF(MID($J9,FIND("|",$J9)+1,FIND("-",$J9)-FIND("|",$J9)-1)-MID($J9,FIND("-",$J9)+1,11)=MID(AH9,FIND("|",AH9)+1,FIND("-",AH9)-FIND("|",AH9)-1)-MID(AH9,FIND("-",AH9)+1,11),$D$9)),)</f>
        <v>0</v>
      </c>
      <c r="AJ9" s="774"/>
      <c r="AK9" s="774"/>
      <c r="AL9" s="774"/>
    </row>
    <row r="10" spans="1:39" ht="15" customHeight="1">
      <c r="A10" s="774"/>
      <c r="B10" s="774"/>
      <c r="C10" s="790" t="s">
        <v>282</v>
      </c>
      <c r="D10" s="791">
        <v>0</v>
      </c>
      <c r="E10" s="774"/>
      <c r="F10" s="894">
        <v>44886</v>
      </c>
      <c r="G10" s="800" t="s">
        <v>146</v>
      </c>
      <c r="H10" t="str">
        <f ca="1">CONCATENATE(MUNDIAL!I12,"-",MUNDIAL!N12)</f>
        <v>Inglaterra-Irán</v>
      </c>
      <c r="I10" s="799"/>
      <c r="J10" s="821" t="str">
        <f>CONCATENATE(IF(MUNDIAL!K12&gt;MUNDIAL!L12,1,IF(MUNDIAL!K12&lt;MUNDIAL!L12,2,IF(AND(MUNDIAL!K12=MUNDIAL!L12,MUNDIAL!K12&lt;&gt;"",MUNDIAL!L12&lt;&gt;""),"X",0))),"|",MUNDIAL!K12,"-",MUNDIAL!L12)</f>
        <v>1|6-2</v>
      </c>
      <c r="K10" s="774"/>
      <c r="L10" s="774"/>
      <c r="M10" s="774"/>
      <c r="N10" s="955"/>
      <c r="O10" s="796">
        <f t="shared" si="4"/>
        <v>0</v>
      </c>
      <c r="P10" s="774"/>
      <c r="Q10" s="774"/>
      <c r="R10" s="774"/>
      <c r="S10" s="801"/>
      <c r="T10" s="796">
        <f t="shared" ref="T10" si="13">IFERROR(SUM(IF($J10=S10,$D$10),IF(LEFT($J10,1)=LEFT(S10,1),$D$8),IF(MID($J10,FIND("|",$J10)+1,FIND("-",$J10)-FIND("|",$J10)-1)-MID($J10,FIND("-",$J10)+1,11)=MID(S10,FIND("|",S10)+1,FIND("-",S10)-FIND("|",S10)-1)-MID(S10,FIND("-",S10)+1,11),$D$9)),)</f>
        <v>0</v>
      </c>
      <c r="U10" s="774"/>
      <c r="V10" s="774"/>
      <c r="W10" s="774"/>
      <c r="X10" s="801"/>
      <c r="Y10" s="796">
        <f t="shared" ref="Y10" si="14">IFERROR(SUM(IF($J10=X10,$D$10),IF(LEFT($J10,1)=LEFT(X10,1),$D$8),IF(MID($J10,FIND("|",$J10)+1,FIND("-",$J10)-FIND("|",$J10)-1)-MID($J10,FIND("-",$J10)+1,11)=MID(X10,FIND("|",X10)+1,FIND("-",X10)-FIND("|",X10)-1)-MID(X10,FIND("-",X10)+1,11),$D$9)),)</f>
        <v>0</v>
      </c>
      <c r="Z10" s="774"/>
      <c r="AA10" s="774"/>
      <c r="AB10" s="774"/>
      <c r="AC10" s="801"/>
      <c r="AD10" s="796">
        <f t="shared" ref="AD10" si="15">IFERROR(SUM(IF($J10=AC10,$D$10),IF(LEFT($J10,1)=LEFT(AC10,1),$D$8),IF(MID($J10,FIND("|",$J10)+1,FIND("-",$J10)-FIND("|",$J10)-1)-MID($J10,FIND("-",$J10)+1,11)=MID(AC10,FIND("|",AC10)+1,FIND("-",AC10)-FIND("|",AC10)-1)-MID(AC10,FIND("-",AC10)+1,11),$D$9)),)</f>
        <v>0</v>
      </c>
      <c r="AE10" s="774"/>
      <c r="AF10" s="774"/>
      <c r="AG10" s="774"/>
      <c r="AH10" s="955"/>
      <c r="AI10" s="796">
        <f t="shared" ref="AI10" si="16">IFERROR(SUM(IF($J10=AH10,$D$10),IF(LEFT($J10,1)=LEFT(AH10,1),$D$8),IF(MID($J10,FIND("|",$J10)+1,FIND("-",$J10)-FIND("|",$J10)-1)-MID($J10,FIND("-",$J10)+1,11)=MID(AH10,FIND("|",AH10)+1,FIND("-",AH10)-FIND("|",AH10)-1)-MID(AH10,FIND("-",AH10)+1,11),$D$9)),)</f>
        <v>0</v>
      </c>
      <c r="AJ10" s="774"/>
      <c r="AK10" s="774"/>
      <c r="AL10" s="774"/>
    </row>
    <row r="11" spans="1:39" ht="15" customHeight="1">
      <c r="A11" s="774"/>
      <c r="B11" s="774"/>
      <c r="C11" s="790" t="s">
        <v>283</v>
      </c>
      <c r="D11" s="791">
        <v>0</v>
      </c>
      <c r="E11" s="774"/>
      <c r="F11" s="894">
        <v>44886</v>
      </c>
      <c r="G11" s="800" t="s">
        <v>146</v>
      </c>
      <c r="H11" t="str">
        <f ca="1">CONCATENATE(MUNDIAL!I13,"-",MUNDIAL!N13)</f>
        <v>Estados unidos-Gales</v>
      </c>
      <c r="I11" s="799"/>
      <c r="J11" s="821" t="str">
        <f>CONCATENATE(IF(MUNDIAL!K13&gt;MUNDIAL!L13,1,IF(MUNDIAL!K13&lt;MUNDIAL!L13,2,IF(AND(MUNDIAL!K13=MUNDIAL!L13,MUNDIAL!K13&lt;&gt;"",MUNDIAL!L13&lt;&gt;""),"X",0))),"|",MUNDIAL!K13,"-",MUNDIAL!L13)</f>
        <v>X|1-1</v>
      </c>
      <c r="K11" s="774"/>
      <c r="L11" s="774"/>
      <c r="M11" s="774"/>
      <c r="N11" s="956"/>
      <c r="O11" s="796">
        <f t="shared" si="4"/>
        <v>0</v>
      </c>
      <c r="P11" s="774"/>
      <c r="Q11" s="774"/>
      <c r="R11" s="774"/>
      <c r="S11" s="802"/>
      <c r="T11" s="796">
        <f t="shared" ref="T11" si="17">IFERROR(SUM(IF($J11=S11,$D$10),IF(LEFT($J11,1)=LEFT(S11,1),$D$8),IF(MID($J11,FIND("|",$J11)+1,FIND("-",$J11)-FIND("|",$J11)-1)-MID($J11,FIND("-",$J11)+1,11)=MID(S11,FIND("|",S11)+1,FIND("-",S11)-FIND("|",S11)-1)-MID(S11,FIND("-",S11)+1,11),$D$9)),)</f>
        <v>0</v>
      </c>
      <c r="U11" s="774"/>
      <c r="V11" s="774"/>
      <c r="W11" s="774"/>
      <c r="X11" s="802"/>
      <c r="Y11" s="796">
        <f t="shared" ref="Y11" si="18">IFERROR(SUM(IF($J11=X11,$D$10),IF(LEFT($J11,1)=LEFT(X11,1),$D$8),IF(MID($J11,FIND("|",$J11)+1,FIND("-",$J11)-FIND("|",$J11)-1)-MID($J11,FIND("-",$J11)+1,11)=MID(X11,FIND("|",X11)+1,FIND("-",X11)-FIND("|",X11)-1)-MID(X11,FIND("-",X11)+1,11),$D$9)),)</f>
        <v>0</v>
      </c>
      <c r="Z11" s="774"/>
      <c r="AA11" s="774"/>
      <c r="AB11" s="774"/>
      <c r="AC11" s="802"/>
      <c r="AD11" s="796">
        <f t="shared" ref="AD11" si="19">IFERROR(SUM(IF($J11=AC11,$D$10),IF(LEFT($J11,1)=LEFT(AC11,1),$D$8),IF(MID($J11,FIND("|",$J11)+1,FIND("-",$J11)-FIND("|",$J11)-1)-MID($J11,FIND("-",$J11)+1,11)=MID(AC11,FIND("|",AC11)+1,FIND("-",AC11)-FIND("|",AC11)-1)-MID(AC11,FIND("-",AC11)+1,11),$D$9)),)</f>
        <v>0</v>
      </c>
      <c r="AE11" s="774"/>
      <c r="AF11" s="774"/>
      <c r="AG11" s="774"/>
      <c r="AH11" s="956"/>
      <c r="AI11" s="796">
        <f t="shared" ref="AI11" si="20">IFERROR(SUM(IF($J11=AH11,$D$10),IF(LEFT($J11,1)=LEFT(AH11,1),$D$8),IF(MID($J11,FIND("|",$J11)+1,FIND("-",$J11)-FIND("|",$J11)-1)-MID($J11,FIND("-",$J11)+1,11)=MID(AH11,FIND("|",AH11)+1,FIND("-",AH11)-FIND("|",AH11)-1)-MID(AH11,FIND("-",AH11)+1,11),$D$9)),)</f>
        <v>0</v>
      </c>
      <c r="AJ11" s="774"/>
      <c r="AK11" s="774"/>
      <c r="AL11" s="774"/>
    </row>
    <row r="12" spans="1:39" ht="15" customHeight="1">
      <c r="A12" s="774"/>
      <c r="B12" s="774"/>
      <c r="C12" s="790" t="s">
        <v>284</v>
      </c>
      <c r="D12" s="791">
        <v>0</v>
      </c>
      <c r="E12" s="774"/>
      <c r="F12" s="894">
        <v>44887</v>
      </c>
      <c r="G12" s="803" t="s">
        <v>147</v>
      </c>
      <c r="H12" t="str">
        <f ca="1">CONCATENATE(MUNDIAL!I20,"-",MUNDIAL!N20)</f>
        <v>Argentina-Arabia Saudita</v>
      </c>
      <c r="I12" s="799"/>
      <c r="J12" s="821" t="str">
        <f>CONCATENATE(IF(MUNDIAL!K20&gt;MUNDIAL!L20,1,IF(MUNDIAL!K20&lt;MUNDIAL!L20,2,IF(AND(MUNDIAL!K20=MUNDIAL!L20,MUNDIAL!K20&lt;&gt;"",MUNDIAL!L20&lt;&gt;""),"X",0))),"|",MUNDIAL!K20,"-",MUNDIAL!L20)</f>
        <v>2|1-2</v>
      </c>
      <c r="K12" s="774"/>
      <c r="L12" s="774"/>
      <c r="M12" s="774"/>
      <c r="N12" s="954"/>
      <c r="O12" s="796">
        <f t="shared" si="4"/>
        <v>0</v>
      </c>
      <c r="P12" s="774"/>
      <c r="Q12" s="774"/>
      <c r="R12" s="774"/>
      <c r="S12" s="795"/>
      <c r="T12" s="796">
        <f t="shared" ref="T12" si="21">IFERROR(SUM(IF($J12=S12,$D$10),IF(LEFT($J12,1)=LEFT(S12,1),$D$8),IF(MID($J12,FIND("|",$J12)+1,FIND("-",$J12)-FIND("|",$J12)-1)-MID($J12,FIND("-",$J12)+1,11)=MID(S12,FIND("|",S12)+1,FIND("-",S12)-FIND("|",S12)-1)-MID(S12,FIND("-",S12)+1,11),$D$9)),)</f>
        <v>0</v>
      </c>
      <c r="U12" s="774"/>
      <c r="V12" s="774"/>
      <c r="W12" s="774"/>
      <c r="X12" s="795"/>
      <c r="Y12" s="796">
        <f t="shared" ref="Y12" si="22">IFERROR(SUM(IF($J12=X12,$D$10),IF(LEFT($J12,1)=LEFT(X12,1),$D$8),IF(MID($J12,FIND("|",$J12)+1,FIND("-",$J12)-FIND("|",$J12)-1)-MID($J12,FIND("-",$J12)+1,11)=MID(X12,FIND("|",X12)+1,FIND("-",X12)-FIND("|",X12)-1)-MID(X12,FIND("-",X12)+1,11),$D$9)),)</f>
        <v>0</v>
      </c>
      <c r="Z12" s="774"/>
      <c r="AA12" s="774"/>
      <c r="AB12" s="774"/>
      <c r="AC12" s="795"/>
      <c r="AD12" s="796">
        <f t="shared" ref="AD12" si="23">IFERROR(SUM(IF($J12=AC12,$D$10),IF(LEFT($J12,1)=LEFT(AC12,1),$D$8),IF(MID($J12,FIND("|",$J12)+1,FIND("-",$J12)-FIND("|",$J12)-1)-MID($J12,FIND("-",$J12)+1,11)=MID(AC12,FIND("|",AC12)+1,FIND("-",AC12)-FIND("|",AC12)-1)-MID(AC12,FIND("-",AC12)+1,11),$D$9)),)</f>
        <v>0</v>
      </c>
      <c r="AE12" s="774"/>
      <c r="AF12" s="774"/>
      <c r="AG12" s="774"/>
      <c r="AH12" s="954"/>
      <c r="AI12" s="796">
        <f t="shared" ref="AI12" si="24">IFERROR(SUM(IF($J12=AH12,$D$10),IF(LEFT($J12,1)=LEFT(AH12,1),$D$8),IF(MID($J12,FIND("|",$J12)+1,FIND("-",$J12)-FIND("|",$J12)-1)-MID($J12,FIND("-",$J12)+1,11)=MID(AH12,FIND("|",AH12)+1,FIND("-",AH12)-FIND("|",AH12)-1)-MID(AH12,FIND("-",AH12)+1,11),$D$9)),)</f>
        <v>0</v>
      </c>
      <c r="AJ12" s="774"/>
      <c r="AK12" s="774"/>
      <c r="AL12" s="774"/>
    </row>
    <row r="13" spans="1:39" ht="15" customHeight="1">
      <c r="A13" s="774"/>
      <c r="B13" s="774"/>
      <c r="C13" s="790" t="s">
        <v>285</v>
      </c>
      <c r="D13" s="791">
        <v>0</v>
      </c>
      <c r="E13" s="774"/>
      <c r="F13" s="894">
        <v>44887</v>
      </c>
      <c r="G13" s="803" t="s">
        <v>147</v>
      </c>
      <c r="H13" t="str">
        <f ca="1">CONCATENATE(MUNDIAL!I21,"-",MUNDIAL!N21)</f>
        <v>México-Polonia</v>
      </c>
      <c r="I13" s="799"/>
      <c r="J13" s="821" t="str">
        <f>CONCATENATE(IF(MUNDIAL!K21&gt;MUNDIAL!L21,1,IF(MUNDIAL!K21&lt;MUNDIAL!L21,2,IF(AND(MUNDIAL!K21=MUNDIAL!L21,MUNDIAL!K21&lt;&gt;"",MUNDIAL!L21&lt;&gt;""),"X",0))),"|",MUNDIAL!K21,"-",MUNDIAL!L21)</f>
        <v>X|0-0</v>
      </c>
      <c r="K13" s="774"/>
      <c r="L13" s="774"/>
      <c r="M13" s="774"/>
      <c r="N13" s="954"/>
      <c r="O13" s="796">
        <f t="shared" si="4"/>
        <v>0</v>
      </c>
      <c r="P13" s="774"/>
      <c r="Q13" s="774"/>
      <c r="R13" s="774"/>
      <c r="S13" s="795"/>
      <c r="T13" s="796">
        <f t="shared" ref="T13" si="25">IFERROR(SUM(IF($J13=S13,$D$10),IF(LEFT($J13,1)=LEFT(S13,1),$D$8),IF(MID($J13,FIND("|",$J13)+1,FIND("-",$J13)-FIND("|",$J13)-1)-MID($J13,FIND("-",$J13)+1,11)=MID(S13,FIND("|",S13)+1,FIND("-",S13)-FIND("|",S13)-1)-MID(S13,FIND("-",S13)+1,11),$D$9)),)</f>
        <v>0</v>
      </c>
      <c r="U13" s="774"/>
      <c r="V13" s="774"/>
      <c r="W13" s="774"/>
      <c r="X13" s="795"/>
      <c r="Y13" s="796">
        <f t="shared" ref="Y13" si="26">IFERROR(SUM(IF($J13=X13,$D$10),IF(LEFT($J13,1)=LEFT(X13,1),$D$8),IF(MID($J13,FIND("|",$J13)+1,FIND("-",$J13)-FIND("|",$J13)-1)-MID($J13,FIND("-",$J13)+1,11)=MID(X13,FIND("|",X13)+1,FIND("-",X13)-FIND("|",X13)-1)-MID(X13,FIND("-",X13)+1,11),$D$9)),)</f>
        <v>0</v>
      </c>
      <c r="Z13" s="774"/>
      <c r="AA13" s="774"/>
      <c r="AB13" s="774"/>
      <c r="AC13" s="795"/>
      <c r="AD13" s="796">
        <f t="shared" ref="AD13" si="27">IFERROR(SUM(IF($J13=AC13,$D$10),IF(LEFT($J13,1)=LEFT(AC13,1),$D$8),IF(MID($J13,FIND("|",$J13)+1,FIND("-",$J13)-FIND("|",$J13)-1)-MID($J13,FIND("-",$J13)+1,11)=MID(AC13,FIND("|",AC13)+1,FIND("-",AC13)-FIND("|",AC13)-1)-MID(AC13,FIND("-",AC13)+1,11),$D$9)),)</f>
        <v>0</v>
      </c>
      <c r="AE13" s="774"/>
      <c r="AF13" s="774"/>
      <c r="AG13" s="774"/>
      <c r="AH13" s="954"/>
      <c r="AI13" s="796">
        <f t="shared" ref="AI13" si="28">IFERROR(SUM(IF($J13=AH13,$D$10),IF(LEFT($J13,1)=LEFT(AH13,1),$D$8),IF(MID($J13,FIND("|",$J13)+1,FIND("-",$J13)-FIND("|",$J13)-1)-MID($J13,FIND("-",$J13)+1,11)=MID(AH13,FIND("|",AH13)+1,FIND("-",AH13)-FIND("|",AH13)-1)-MID(AH13,FIND("-",AH13)+1,11),$D$9)),)</f>
        <v>0</v>
      </c>
      <c r="AJ13" s="774"/>
      <c r="AK13" s="774"/>
      <c r="AL13" s="774"/>
    </row>
    <row r="14" spans="1:39" ht="15" customHeight="1">
      <c r="A14" s="774"/>
      <c r="B14" s="774"/>
      <c r="C14" s="790" t="s">
        <v>286</v>
      </c>
      <c r="D14" s="791">
        <v>0</v>
      </c>
      <c r="E14" s="774"/>
      <c r="F14" s="894">
        <v>44887</v>
      </c>
      <c r="G14" s="804" t="s">
        <v>148</v>
      </c>
      <c r="H14" t="str">
        <f ca="1">CONCATENATE(MUNDIAL!I28,"-",MUNDIAL!N28)</f>
        <v>Dinamarca-Túnez</v>
      </c>
      <c r="I14" s="799"/>
      <c r="J14" s="821" t="str">
        <f>CONCATENATE(IF(MUNDIAL!K28&gt;MUNDIAL!L28,1,IF(MUNDIAL!K28&lt;MUNDIAL!L28,2,IF(AND(MUNDIAL!K28=MUNDIAL!L28,MUNDIAL!K28&lt;&gt;"",MUNDIAL!L28&lt;&gt;""),"X",0))),"|",MUNDIAL!K28,"-",MUNDIAL!L28)</f>
        <v>X|0-0</v>
      </c>
      <c r="K14" s="774"/>
      <c r="L14" s="774"/>
      <c r="M14" s="774"/>
      <c r="N14" s="954"/>
      <c r="O14" s="796">
        <f t="shared" si="4"/>
        <v>0</v>
      </c>
      <c r="P14" s="774"/>
      <c r="Q14" s="774"/>
      <c r="R14" s="774"/>
      <c r="S14" s="795"/>
      <c r="T14" s="796">
        <f t="shared" ref="T14" si="29">IFERROR(SUM(IF($J14=S14,$D$10),IF(LEFT($J14,1)=LEFT(S14,1),$D$8),IF(MID($J14,FIND("|",$J14)+1,FIND("-",$J14)-FIND("|",$J14)-1)-MID($J14,FIND("-",$J14)+1,11)=MID(S14,FIND("|",S14)+1,FIND("-",S14)-FIND("|",S14)-1)-MID(S14,FIND("-",S14)+1,11),$D$9)),)</f>
        <v>0</v>
      </c>
      <c r="U14" s="774"/>
      <c r="V14" s="774"/>
      <c r="W14" s="774"/>
      <c r="X14" s="795"/>
      <c r="Y14" s="796">
        <f t="shared" ref="Y14" si="30">IFERROR(SUM(IF($J14=X14,$D$10),IF(LEFT($J14,1)=LEFT(X14,1),$D$8),IF(MID($J14,FIND("|",$J14)+1,FIND("-",$J14)-FIND("|",$J14)-1)-MID($J14,FIND("-",$J14)+1,11)=MID(X14,FIND("|",X14)+1,FIND("-",X14)-FIND("|",X14)-1)-MID(X14,FIND("-",X14)+1,11),$D$9)),)</f>
        <v>0</v>
      </c>
      <c r="Z14" s="774"/>
      <c r="AA14" s="774"/>
      <c r="AB14" s="774"/>
      <c r="AC14" s="795"/>
      <c r="AD14" s="796">
        <f t="shared" ref="AD14" si="31">IFERROR(SUM(IF($J14=AC14,$D$10),IF(LEFT($J14,1)=LEFT(AC14,1),$D$8),IF(MID($J14,FIND("|",$J14)+1,FIND("-",$J14)-FIND("|",$J14)-1)-MID($J14,FIND("-",$J14)+1,11)=MID(AC14,FIND("|",AC14)+1,FIND("-",AC14)-FIND("|",AC14)-1)-MID(AC14,FIND("-",AC14)+1,11),$D$9)),)</f>
        <v>0</v>
      </c>
      <c r="AE14" s="774"/>
      <c r="AF14" s="774"/>
      <c r="AG14" s="774"/>
      <c r="AH14" s="954"/>
      <c r="AI14" s="796">
        <f t="shared" ref="AI14" si="32">IFERROR(SUM(IF($J14=AH14,$D$10),IF(LEFT($J14,1)=LEFT(AH14,1),$D$8),IF(MID($J14,FIND("|",$J14)+1,FIND("-",$J14)-FIND("|",$J14)-1)-MID($J14,FIND("-",$J14)+1,11)=MID(AH14,FIND("|",AH14)+1,FIND("-",AH14)-FIND("|",AH14)-1)-MID(AH14,FIND("-",AH14)+1,11),$D$9)),)</f>
        <v>0</v>
      </c>
      <c r="AJ14" s="774"/>
      <c r="AK14" s="774"/>
      <c r="AL14" s="774"/>
    </row>
    <row r="15" spans="1:39" ht="15" customHeight="1">
      <c r="A15" s="774"/>
      <c r="B15" s="774"/>
      <c r="C15" s="790" t="s">
        <v>287</v>
      </c>
      <c r="D15" s="791">
        <v>0</v>
      </c>
      <c r="E15" s="774"/>
      <c r="F15" s="894">
        <v>44887</v>
      </c>
      <c r="G15" s="804" t="s">
        <v>148</v>
      </c>
      <c r="H15" t="str">
        <f ca="1">CONCATENATE(MUNDIAL!I29,"-",MUNDIAL!N29)</f>
        <v>Francia-Australia</v>
      </c>
      <c r="I15" s="799"/>
      <c r="J15" s="821" t="str">
        <f>CONCATENATE(IF(MUNDIAL!K29&gt;MUNDIAL!L29,1,IF(MUNDIAL!K29&lt;MUNDIAL!L29,2,IF(AND(MUNDIAL!K29=MUNDIAL!L29,MUNDIAL!K29&lt;&gt;"",MUNDIAL!L29&lt;&gt;""),"X",0))),"|",MUNDIAL!K29,"-",MUNDIAL!L29)</f>
        <v>1|4-1</v>
      </c>
      <c r="K15" s="774"/>
      <c r="L15" s="774"/>
      <c r="M15" s="774"/>
      <c r="N15" s="954"/>
      <c r="O15" s="796">
        <f t="shared" si="4"/>
        <v>0</v>
      </c>
      <c r="P15" s="774"/>
      <c r="Q15" s="774"/>
      <c r="R15" s="774"/>
      <c r="S15" s="795"/>
      <c r="T15" s="796">
        <f t="shared" ref="T15" si="33">IFERROR(SUM(IF($J15=S15,$D$10),IF(LEFT($J15,1)=LEFT(S15,1),$D$8),IF(MID($J15,FIND("|",$J15)+1,FIND("-",$J15)-FIND("|",$J15)-1)-MID($J15,FIND("-",$J15)+1,11)=MID(S15,FIND("|",S15)+1,FIND("-",S15)-FIND("|",S15)-1)-MID(S15,FIND("-",S15)+1,11),$D$9)),)</f>
        <v>0</v>
      </c>
      <c r="U15" s="774"/>
      <c r="V15" s="774"/>
      <c r="W15" s="774"/>
      <c r="X15" s="795"/>
      <c r="Y15" s="796">
        <f t="shared" ref="Y15" si="34">IFERROR(SUM(IF($J15=X15,$D$10),IF(LEFT($J15,1)=LEFT(X15,1),$D$8),IF(MID($J15,FIND("|",$J15)+1,FIND("-",$J15)-FIND("|",$J15)-1)-MID($J15,FIND("-",$J15)+1,11)=MID(X15,FIND("|",X15)+1,FIND("-",X15)-FIND("|",X15)-1)-MID(X15,FIND("-",X15)+1,11),$D$9)),)</f>
        <v>0</v>
      </c>
      <c r="Z15" s="774"/>
      <c r="AA15" s="774"/>
      <c r="AB15" s="774"/>
      <c r="AC15" s="795"/>
      <c r="AD15" s="796">
        <f t="shared" ref="AD15" si="35">IFERROR(SUM(IF($J15=AC15,$D$10),IF(LEFT($J15,1)=LEFT(AC15,1),$D$8),IF(MID($J15,FIND("|",$J15)+1,FIND("-",$J15)-FIND("|",$J15)-1)-MID($J15,FIND("-",$J15)+1,11)=MID(AC15,FIND("|",AC15)+1,FIND("-",AC15)-FIND("|",AC15)-1)-MID(AC15,FIND("-",AC15)+1,11),$D$9)),)</f>
        <v>0</v>
      </c>
      <c r="AE15" s="774"/>
      <c r="AF15" s="774"/>
      <c r="AG15" s="774"/>
      <c r="AH15" s="954"/>
      <c r="AI15" s="796">
        <f t="shared" ref="AI15" si="36">IFERROR(SUM(IF($J15=AH15,$D$10),IF(LEFT($J15,1)=LEFT(AH15,1),$D$8),IF(MID($J15,FIND("|",$J15)+1,FIND("-",$J15)-FIND("|",$J15)-1)-MID($J15,FIND("-",$J15)+1,11)=MID(AH15,FIND("|",AH15)+1,FIND("-",AH15)-FIND("|",AH15)-1)-MID(AH15,FIND("-",AH15)+1,11),$D$9)),)</f>
        <v>0</v>
      </c>
      <c r="AJ15" s="774"/>
      <c r="AK15" s="774"/>
      <c r="AL15" s="774"/>
    </row>
    <row r="16" spans="1:39" ht="15" customHeight="1">
      <c r="A16" s="774"/>
      <c r="B16" s="774"/>
      <c r="C16" s="790" t="s">
        <v>288</v>
      </c>
      <c r="D16" s="791">
        <v>0</v>
      </c>
      <c r="E16" s="774"/>
      <c r="F16" s="894">
        <v>44888</v>
      </c>
      <c r="G16" s="805" t="s">
        <v>149</v>
      </c>
      <c r="H16" t="str">
        <f ca="1">CONCATENATE(MUNDIAL!I36,"-",MUNDIAL!N36)</f>
        <v>Alemania-Japón</v>
      </c>
      <c r="I16" s="799"/>
      <c r="J16" s="821" t="str">
        <f>CONCATENATE(IF(MUNDIAL!K36&gt;MUNDIAL!L36,1,IF(MUNDIAL!K36&lt;MUNDIAL!L36,2,IF(AND(MUNDIAL!K36=MUNDIAL!L36,MUNDIAL!K36&lt;&gt;"",MUNDIAL!L36&lt;&gt;""),"X",0))),"|",MUNDIAL!K36,"-",MUNDIAL!L36)</f>
        <v>2|1-2</v>
      </c>
      <c r="K16" s="774"/>
      <c r="L16" s="774"/>
      <c r="M16" s="774"/>
      <c r="N16" s="954"/>
      <c r="O16" s="796">
        <f t="shared" si="4"/>
        <v>0</v>
      </c>
      <c r="P16" s="774"/>
      <c r="Q16" s="774"/>
      <c r="R16" s="774"/>
      <c r="S16" s="795"/>
      <c r="T16" s="796">
        <f t="shared" ref="T16" si="37">IFERROR(SUM(IF($J16=S16,$D$10),IF(LEFT($J16,1)=LEFT(S16,1),$D$8),IF(MID($J16,FIND("|",$J16)+1,FIND("-",$J16)-FIND("|",$J16)-1)-MID($J16,FIND("-",$J16)+1,11)=MID(S16,FIND("|",S16)+1,FIND("-",S16)-FIND("|",S16)-1)-MID(S16,FIND("-",S16)+1,11),$D$9)),)</f>
        <v>0</v>
      </c>
      <c r="U16" s="774"/>
      <c r="V16" s="774"/>
      <c r="W16" s="774"/>
      <c r="X16" s="795"/>
      <c r="Y16" s="796">
        <f t="shared" ref="Y16" si="38">IFERROR(SUM(IF($J16=X16,$D$10),IF(LEFT($J16,1)=LEFT(X16,1),$D$8),IF(MID($J16,FIND("|",$J16)+1,FIND("-",$J16)-FIND("|",$J16)-1)-MID($J16,FIND("-",$J16)+1,11)=MID(X16,FIND("|",X16)+1,FIND("-",X16)-FIND("|",X16)-1)-MID(X16,FIND("-",X16)+1,11),$D$9)),)</f>
        <v>0</v>
      </c>
      <c r="Z16" s="774"/>
      <c r="AA16" s="774"/>
      <c r="AB16" s="774"/>
      <c r="AC16" s="795"/>
      <c r="AD16" s="796">
        <f t="shared" ref="AD16" si="39">IFERROR(SUM(IF($J16=AC16,$D$10),IF(LEFT($J16,1)=LEFT(AC16,1),$D$8),IF(MID($J16,FIND("|",$J16)+1,FIND("-",$J16)-FIND("|",$J16)-1)-MID($J16,FIND("-",$J16)+1,11)=MID(AC16,FIND("|",AC16)+1,FIND("-",AC16)-FIND("|",AC16)-1)-MID(AC16,FIND("-",AC16)+1,11),$D$9)),)</f>
        <v>0</v>
      </c>
      <c r="AE16" s="774"/>
      <c r="AF16" s="774"/>
      <c r="AG16" s="774"/>
      <c r="AH16" s="954"/>
      <c r="AI16" s="796">
        <f t="shared" ref="AI16" si="40">IFERROR(SUM(IF($J16=AH16,$D$10),IF(LEFT($J16,1)=LEFT(AH16,1),$D$8),IF(MID($J16,FIND("|",$J16)+1,FIND("-",$J16)-FIND("|",$J16)-1)-MID($J16,FIND("-",$J16)+1,11)=MID(AH16,FIND("|",AH16)+1,FIND("-",AH16)-FIND("|",AH16)-1)-MID(AH16,FIND("-",AH16)+1,11),$D$9)),)</f>
        <v>0</v>
      </c>
      <c r="AJ16" s="774"/>
      <c r="AK16" s="774"/>
      <c r="AL16" s="774"/>
    </row>
    <row r="17" spans="1:38" ht="15" customHeight="1">
      <c r="A17" s="774"/>
      <c r="B17" s="774"/>
      <c r="C17" s="790" t="s">
        <v>378</v>
      </c>
      <c r="D17" s="791">
        <v>0</v>
      </c>
      <c r="E17" s="774"/>
      <c r="F17" s="894">
        <v>44888</v>
      </c>
      <c r="G17" s="805" t="s">
        <v>149</v>
      </c>
      <c r="H17" t="str">
        <f ca="1">CONCATENATE(MUNDIAL!I37,"-",MUNDIAL!N37)</f>
        <v>España-Costa Rica</v>
      </c>
      <c r="I17" s="799"/>
      <c r="J17" s="821" t="str">
        <f>CONCATENATE(IF(MUNDIAL!K37&gt;MUNDIAL!L37,1,IF(MUNDIAL!K37&lt;MUNDIAL!L37,2,IF(AND(MUNDIAL!K37=MUNDIAL!L37,MUNDIAL!K37&lt;&gt;"",MUNDIAL!L37&lt;&gt;""),"X",0))),"|",MUNDIAL!K37,"-",MUNDIAL!L37)</f>
        <v>1|7-0</v>
      </c>
      <c r="K17" s="774"/>
      <c r="L17" s="774"/>
      <c r="M17" s="774"/>
      <c r="N17" s="954"/>
      <c r="O17" s="796">
        <f t="shared" si="4"/>
        <v>0</v>
      </c>
      <c r="P17" s="774"/>
      <c r="Q17" s="774"/>
      <c r="R17" s="774"/>
      <c r="S17" s="795"/>
      <c r="T17" s="796">
        <f t="shared" ref="T17" si="41">IFERROR(SUM(IF($J17=S17,$D$10),IF(LEFT($J17,1)=LEFT(S17,1),$D$8),IF(MID($J17,FIND("|",$J17)+1,FIND("-",$J17)-FIND("|",$J17)-1)-MID($J17,FIND("-",$J17)+1,11)=MID(S17,FIND("|",S17)+1,FIND("-",S17)-FIND("|",S17)-1)-MID(S17,FIND("-",S17)+1,11),$D$9)),)</f>
        <v>0</v>
      </c>
      <c r="U17" s="774"/>
      <c r="V17" s="774"/>
      <c r="W17" s="774"/>
      <c r="X17" s="795"/>
      <c r="Y17" s="796">
        <f t="shared" ref="Y17" si="42">IFERROR(SUM(IF($J17=X17,$D$10),IF(LEFT($J17,1)=LEFT(X17,1),$D$8),IF(MID($J17,FIND("|",$J17)+1,FIND("-",$J17)-FIND("|",$J17)-1)-MID($J17,FIND("-",$J17)+1,11)=MID(X17,FIND("|",X17)+1,FIND("-",X17)-FIND("|",X17)-1)-MID(X17,FIND("-",X17)+1,11),$D$9)),)</f>
        <v>0</v>
      </c>
      <c r="Z17" s="774"/>
      <c r="AA17" s="774"/>
      <c r="AB17" s="774"/>
      <c r="AC17" s="795"/>
      <c r="AD17" s="796">
        <f t="shared" ref="AD17" si="43">IFERROR(SUM(IF($J17=AC17,$D$10),IF(LEFT($J17,1)=LEFT(AC17,1),$D$8),IF(MID($J17,FIND("|",$J17)+1,FIND("-",$J17)-FIND("|",$J17)-1)-MID($J17,FIND("-",$J17)+1,11)=MID(AC17,FIND("|",AC17)+1,FIND("-",AC17)-FIND("|",AC17)-1)-MID(AC17,FIND("-",AC17)+1,11),$D$9)),)</f>
        <v>0</v>
      </c>
      <c r="AE17" s="774"/>
      <c r="AF17" s="774"/>
      <c r="AG17" s="774"/>
      <c r="AH17" s="954"/>
      <c r="AI17" s="796">
        <f t="shared" ref="AI17" si="44">IFERROR(SUM(IF($J17=AH17,$D$10),IF(LEFT($J17,1)=LEFT(AH17,1),$D$8),IF(MID($J17,FIND("|",$J17)+1,FIND("-",$J17)-FIND("|",$J17)-1)-MID($J17,FIND("-",$J17)+1,11)=MID(AH17,FIND("|",AH17)+1,FIND("-",AH17)-FIND("|",AH17)-1)-MID(AH17,FIND("-",AH17)+1,11),$D$9)),)</f>
        <v>0</v>
      </c>
      <c r="AJ17" s="774"/>
      <c r="AK17" s="774"/>
      <c r="AL17" s="774"/>
    </row>
    <row r="18" spans="1:38" ht="15" customHeight="1">
      <c r="A18" s="774"/>
      <c r="B18" s="774"/>
      <c r="C18" s="790" t="s">
        <v>289</v>
      </c>
      <c r="D18" s="791">
        <v>0</v>
      </c>
      <c r="E18" s="774"/>
      <c r="F18" s="894">
        <v>44888</v>
      </c>
      <c r="G18" s="833" t="s">
        <v>150</v>
      </c>
      <c r="H18" t="str">
        <f ca="1">CONCATENATE(MUNDIAL!I44,"-",MUNDIAL!N44)</f>
        <v>Marruecos-Croacia</v>
      </c>
      <c r="I18" s="799"/>
      <c r="J18" s="821" t="str">
        <f>CONCATENATE(IF(MUNDIAL!K44&gt;MUNDIAL!L44,1,IF(MUNDIAL!K44&lt;MUNDIAL!L44,2,IF(AND(MUNDIAL!K44=MUNDIAL!L44,MUNDIAL!K44&lt;&gt;"",MUNDIAL!L44&lt;&gt;""),"X",0))),"|",MUNDIAL!K44,"-",MUNDIAL!L44)</f>
        <v>X|0-0</v>
      </c>
      <c r="K18" s="774"/>
      <c r="L18" s="774"/>
      <c r="M18" s="774"/>
      <c r="N18" s="954"/>
      <c r="O18" s="796">
        <f t="shared" si="4"/>
        <v>0</v>
      </c>
      <c r="P18" s="774"/>
      <c r="Q18" s="774"/>
      <c r="R18" s="774"/>
      <c r="S18" s="795"/>
      <c r="T18" s="796">
        <f t="shared" ref="T18" si="45">IFERROR(SUM(IF($J18=S18,$D$10),IF(LEFT($J18,1)=LEFT(S18,1),$D$8),IF(MID($J18,FIND("|",$J18)+1,FIND("-",$J18)-FIND("|",$J18)-1)-MID($J18,FIND("-",$J18)+1,11)=MID(S18,FIND("|",S18)+1,FIND("-",S18)-FIND("|",S18)-1)-MID(S18,FIND("-",S18)+1,11),$D$9)),)</f>
        <v>0</v>
      </c>
      <c r="U18" s="774"/>
      <c r="V18" s="774"/>
      <c r="W18" s="774"/>
      <c r="X18" s="795"/>
      <c r="Y18" s="796">
        <f t="shared" ref="Y18" si="46">IFERROR(SUM(IF($J18=X18,$D$10),IF(LEFT($J18,1)=LEFT(X18,1),$D$8),IF(MID($J18,FIND("|",$J18)+1,FIND("-",$J18)-FIND("|",$J18)-1)-MID($J18,FIND("-",$J18)+1,11)=MID(X18,FIND("|",X18)+1,FIND("-",X18)-FIND("|",X18)-1)-MID(X18,FIND("-",X18)+1,11),$D$9)),)</f>
        <v>0</v>
      </c>
      <c r="Z18" s="774"/>
      <c r="AA18" s="774"/>
      <c r="AB18" s="774"/>
      <c r="AC18" s="795"/>
      <c r="AD18" s="796">
        <f t="shared" ref="AD18" si="47">IFERROR(SUM(IF($J18=AC18,$D$10),IF(LEFT($J18,1)=LEFT(AC18,1),$D$8),IF(MID($J18,FIND("|",$J18)+1,FIND("-",$J18)-FIND("|",$J18)-1)-MID($J18,FIND("-",$J18)+1,11)=MID(AC18,FIND("|",AC18)+1,FIND("-",AC18)-FIND("|",AC18)-1)-MID(AC18,FIND("-",AC18)+1,11),$D$9)),)</f>
        <v>0</v>
      </c>
      <c r="AE18" s="774"/>
      <c r="AF18" s="774"/>
      <c r="AG18" s="774"/>
      <c r="AH18" s="954"/>
      <c r="AI18" s="796">
        <f t="shared" ref="AI18" si="48">IFERROR(SUM(IF($J18=AH18,$D$10),IF(LEFT($J18,1)=LEFT(AH18,1),$D$8),IF(MID($J18,FIND("|",$J18)+1,FIND("-",$J18)-FIND("|",$J18)-1)-MID($J18,FIND("-",$J18)+1,11)=MID(AH18,FIND("|",AH18)+1,FIND("-",AH18)-FIND("|",AH18)-1)-MID(AH18,FIND("-",AH18)+1,11),$D$9)),)</f>
        <v>0</v>
      </c>
      <c r="AJ18" s="774"/>
      <c r="AK18" s="774"/>
      <c r="AL18" s="774"/>
    </row>
    <row r="19" spans="1:38" ht="15" customHeight="1">
      <c r="A19" s="774"/>
      <c r="B19" s="774"/>
      <c r="C19" s="790" t="s">
        <v>290</v>
      </c>
      <c r="D19" s="791">
        <v>0</v>
      </c>
      <c r="E19" s="774"/>
      <c r="F19" s="894">
        <v>44888</v>
      </c>
      <c r="G19" s="833" t="s">
        <v>150</v>
      </c>
      <c r="H19" t="str">
        <f ca="1">CONCATENATE(MUNDIAL!I45,"-",MUNDIAL!N45)</f>
        <v>Bélgica-Canadá</v>
      </c>
      <c r="I19" s="799"/>
      <c r="J19" s="821" t="str">
        <f>CONCATENATE(IF(MUNDIAL!K45&gt;MUNDIAL!L45,1,IF(MUNDIAL!K45&lt;MUNDIAL!L45,2,IF(AND(MUNDIAL!K45=MUNDIAL!L45,MUNDIAL!K45&lt;&gt;"",MUNDIAL!L45&lt;&gt;""),"X",0))),"|",MUNDIAL!K45,"-",MUNDIAL!L45)</f>
        <v>1|1-0</v>
      </c>
      <c r="K19" s="774"/>
      <c r="L19" s="774"/>
      <c r="M19" s="774"/>
      <c r="N19" s="954"/>
      <c r="O19" s="796">
        <f t="shared" si="4"/>
        <v>0</v>
      </c>
      <c r="P19" s="774"/>
      <c r="Q19" s="774"/>
      <c r="R19" s="774"/>
      <c r="S19" s="795"/>
      <c r="T19" s="796">
        <f t="shared" ref="T19" si="49">IFERROR(SUM(IF($J19=S19,$D$10),IF(LEFT($J19,1)=LEFT(S19,1),$D$8),IF(MID($J19,FIND("|",$J19)+1,FIND("-",$J19)-FIND("|",$J19)-1)-MID($J19,FIND("-",$J19)+1,11)=MID(S19,FIND("|",S19)+1,FIND("-",S19)-FIND("|",S19)-1)-MID(S19,FIND("-",S19)+1,11),$D$9)),)</f>
        <v>0</v>
      </c>
      <c r="U19" s="774"/>
      <c r="V19" s="774"/>
      <c r="W19" s="774"/>
      <c r="X19" s="795"/>
      <c r="Y19" s="796">
        <f t="shared" ref="Y19" si="50">IFERROR(SUM(IF($J19=X19,$D$10),IF(LEFT($J19,1)=LEFT(X19,1),$D$8),IF(MID($J19,FIND("|",$J19)+1,FIND("-",$J19)-FIND("|",$J19)-1)-MID($J19,FIND("-",$J19)+1,11)=MID(X19,FIND("|",X19)+1,FIND("-",X19)-FIND("|",X19)-1)-MID(X19,FIND("-",X19)+1,11),$D$9)),)</f>
        <v>0</v>
      </c>
      <c r="Z19" s="774"/>
      <c r="AA19" s="774"/>
      <c r="AB19" s="774"/>
      <c r="AC19" s="795"/>
      <c r="AD19" s="796">
        <f t="shared" ref="AD19" si="51">IFERROR(SUM(IF($J19=AC19,$D$10),IF(LEFT($J19,1)=LEFT(AC19,1),$D$8),IF(MID($J19,FIND("|",$J19)+1,FIND("-",$J19)-FIND("|",$J19)-1)-MID($J19,FIND("-",$J19)+1,11)=MID(AC19,FIND("|",AC19)+1,FIND("-",AC19)-FIND("|",AC19)-1)-MID(AC19,FIND("-",AC19)+1,11),$D$9)),)</f>
        <v>0</v>
      </c>
      <c r="AE19" s="774"/>
      <c r="AF19" s="774"/>
      <c r="AG19" s="774"/>
      <c r="AH19" s="954"/>
      <c r="AI19" s="796">
        <f t="shared" ref="AI19" si="52">IFERROR(SUM(IF($J19=AH19,$D$10),IF(LEFT($J19,1)=LEFT(AH19,1),$D$8),IF(MID($J19,FIND("|",$J19)+1,FIND("-",$J19)-FIND("|",$J19)-1)-MID($J19,FIND("-",$J19)+1,11)=MID(AH19,FIND("|",AH19)+1,FIND("-",AH19)-FIND("|",AH19)-1)-MID(AH19,FIND("-",AH19)+1,11),$D$9)),)</f>
        <v>0</v>
      </c>
      <c r="AJ19" s="774"/>
      <c r="AK19" s="774"/>
      <c r="AL19" s="774"/>
    </row>
    <row r="20" spans="1:38" ht="15" customHeight="1">
      <c r="A20" s="774"/>
      <c r="B20" s="774"/>
      <c r="C20" s="790" t="s">
        <v>291</v>
      </c>
      <c r="D20" s="791">
        <v>0</v>
      </c>
      <c r="E20" s="774"/>
      <c r="F20" s="894">
        <v>44889</v>
      </c>
      <c r="G20" s="806" t="s">
        <v>184</v>
      </c>
      <c r="H20" t="str">
        <f ca="1">CONCATENATE(MUNDIAL!I52,"-",MUNDIAL!N52)</f>
        <v>Suiza-Camerún</v>
      </c>
      <c r="I20" s="799"/>
      <c r="J20" s="821" t="str">
        <f>CONCATENATE(IF(MUNDIAL!K52&gt;MUNDIAL!L52,1,IF(MUNDIAL!K52&lt;MUNDIAL!L52,2,IF(AND(MUNDIAL!K52=MUNDIAL!L52,MUNDIAL!K52&lt;&gt;"",MUNDIAL!L52&lt;&gt;""),"X",0))),"|",MUNDIAL!K52,"-",MUNDIAL!L52)</f>
        <v>1|1-0</v>
      </c>
      <c r="K20" s="774"/>
      <c r="L20" s="774"/>
      <c r="M20" s="774"/>
      <c r="N20" s="954"/>
      <c r="O20" s="796">
        <f t="shared" si="4"/>
        <v>0</v>
      </c>
      <c r="P20" s="774"/>
      <c r="Q20" s="774"/>
      <c r="R20" s="774"/>
      <c r="S20" s="795"/>
      <c r="T20" s="796">
        <f t="shared" ref="T20" si="53">IFERROR(SUM(IF($J20=S20,$D$10),IF(LEFT($J20,1)=LEFT(S20,1),$D$8),IF(MID($J20,FIND("|",$J20)+1,FIND("-",$J20)-FIND("|",$J20)-1)-MID($J20,FIND("-",$J20)+1,11)=MID(S20,FIND("|",S20)+1,FIND("-",S20)-FIND("|",S20)-1)-MID(S20,FIND("-",S20)+1,11),$D$9)),)</f>
        <v>0</v>
      </c>
      <c r="U20" s="774"/>
      <c r="V20" s="774"/>
      <c r="W20" s="774"/>
      <c r="X20" s="795"/>
      <c r="Y20" s="796">
        <f t="shared" ref="Y20" si="54">IFERROR(SUM(IF($J20=X20,$D$10),IF(LEFT($J20,1)=LEFT(X20,1),$D$8),IF(MID($J20,FIND("|",$J20)+1,FIND("-",$J20)-FIND("|",$J20)-1)-MID($J20,FIND("-",$J20)+1,11)=MID(X20,FIND("|",X20)+1,FIND("-",X20)-FIND("|",X20)-1)-MID(X20,FIND("-",X20)+1,11),$D$9)),)</f>
        <v>0</v>
      </c>
      <c r="Z20" s="774"/>
      <c r="AA20" s="774"/>
      <c r="AB20" s="774"/>
      <c r="AC20" s="795"/>
      <c r="AD20" s="796">
        <f t="shared" ref="AD20" si="55">IFERROR(SUM(IF($J20=AC20,$D$10),IF(LEFT($J20,1)=LEFT(AC20,1),$D$8),IF(MID($J20,FIND("|",$J20)+1,FIND("-",$J20)-FIND("|",$J20)-1)-MID($J20,FIND("-",$J20)+1,11)=MID(AC20,FIND("|",AC20)+1,FIND("-",AC20)-FIND("|",AC20)-1)-MID(AC20,FIND("-",AC20)+1,11),$D$9)),)</f>
        <v>0</v>
      </c>
      <c r="AE20" s="774"/>
      <c r="AF20" s="774"/>
      <c r="AG20" s="774"/>
      <c r="AH20" s="954"/>
      <c r="AI20" s="796">
        <f t="shared" ref="AI20" si="56">IFERROR(SUM(IF($J20=AH20,$D$10),IF(LEFT($J20,1)=LEFT(AH20,1),$D$8),IF(MID($J20,FIND("|",$J20)+1,FIND("-",$J20)-FIND("|",$J20)-1)-MID($J20,FIND("-",$J20)+1,11)=MID(AH20,FIND("|",AH20)+1,FIND("-",AH20)-FIND("|",AH20)-1)-MID(AH20,FIND("-",AH20)+1,11),$D$9)),)</f>
        <v>0</v>
      </c>
      <c r="AJ20" s="774"/>
      <c r="AK20" s="774"/>
      <c r="AL20" s="774"/>
    </row>
    <row r="21" spans="1:38" ht="15" customHeight="1">
      <c r="A21" s="774"/>
      <c r="B21" s="774"/>
      <c r="C21" s="790" t="s">
        <v>377</v>
      </c>
      <c r="D21" s="791">
        <v>0</v>
      </c>
      <c r="E21" s="774"/>
      <c r="F21" s="894">
        <v>44889</v>
      </c>
      <c r="G21" s="806" t="s">
        <v>184</v>
      </c>
      <c r="H21" t="str">
        <f ca="1">CONCATENATE(MUNDIAL!I53,"-",MUNDIAL!N53)</f>
        <v>Brasil-Serbia</v>
      </c>
      <c r="I21" s="799"/>
      <c r="J21" s="821" t="str">
        <f>CONCATENATE(IF(MUNDIAL!K53&gt;MUNDIAL!L53,1,IF(MUNDIAL!K53&lt;MUNDIAL!L53,2,IF(AND(MUNDIAL!K53=MUNDIAL!L53,MUNDIAL!K53&lt;&gt;"",MUNDIAL!L53&lt;&gt;""),"X",0))),"|",MUNDIAL!K53,"-",MUNDIAL!L53)</f>
        <v>1|2-0</v>
      </c>
      <c r="K21" s="774"/>
      <c r="L21" s="774"/>
      <c r="M21" s="774"/>
      <c r="N21" s="954"/>
      <c r="O21" s="796">
        <f t="shared" si="4"/>
        <v>0</v>
      </c>
      <c r="P21" s="774"/>
      <c r="Q21" s="774"/>
      <c r="R21" s="774"/>
      <c r="S21" s="795"/>
      <c r="T21" s="796">
        <f t="shared" ref="T21" si="57">IFERROR(SUM(IF($J21=S21,$D$10),IF(LEFT($J21,1)=LEFT(S21,1),$D$8),IF(MID($J21,FIND("|",$J21)+1,FIND("-",$J21)-FIND("|",$J21)-1)-MID($J21,FIND("-",$J21)+1,11)=MID(S21,FIND("|",S21)+1,FIND("-",S21)-FIND("|",S21)-1)-MID(S21,FIND("-",S21)+1,11),$D$9)),)</f>
        <v>0</v>
      </c>
      <c r="U21" s="774"/>
      <c r="V21" s="774"/>
      <c r="W21" s="774"/>
      <c r="X21" s="795"/>
      <c r="Y21" s="796">
        <f t="shared" ref="Y21" si="58">IFERROR(SUM(IF($J21=X21,$D$10),IF(LEFT($J21,1)=LEFT(X21,1),$D$8),IF(MID($J21,FIND("|",$J21)+1,FIND("-",$J21)-FIND("|",$J21)-1)-MID($J21,FIND("-",$J21)+1,11)=MID(X21,FIND("|",X21)+1,FIND("-",X21)-FIND("|",X21)-1)-MID(X21,FIND("-",X21)+1,11),$D$9)),)</f>
        <v>0</v>
      </c>
      <c r="Z21" s="774"/>
      <c r="AA21" s="774"/>
      <c r="AB21" s="774"/>
      <c r="AC21" s="795"/>
      <c r="AD21" s="796">
        <f t="shared" ref="AD21" si="59">IFERROR(SUM(IF($J21=AC21,$D$10),IF(LEFT($J21,1)=LEFT(AC21,1),$D$8),IF(MID($J21,FIND("|",$J21)+1,FIND("-",$J21)-FIND("|",$J21)-1)-MID($J21,FIND("-",$J21)+1,11)=MID(AC21,FIND("|",AC21)+1,FIND("-",AC21)-FIND("|",AC21)-1)-MID(AC21,FIND("-",AC21)+1,11),$D$9)),)</f>
        <v>0</v>
      </c>
      <c r="AE21" s="774"/>
      <c r="AF21" s="774"/>
      <c r="AG21" s="774"/>
      <c r="AH21" s="954"/>
      <c r="AI21" s="796">
        <f t="shared" ref="AI21" si="60">IFERROR(SUM(IF($J21=AH21,$D$10),IF(LEFT($J21,1)=LEFT(AH21,1),$D$8),IF(MID($J21,FIND("|",$J21)+1,FIND("-",$J21)-FIND("|",$J21)-1)-MID($J21,FIND("-",$J21)+1,11)=MID(AH21,FIND("|",AH21)+1,FIND("-",AH21)-FIND("|",AH21)-1)-MID(AH21,FIND("-",AH21)+1,11),$D$9)),)</f>
        <v>0</v>
      </c>
      <c r="AJ21" s="774"/>
      <c r="AK21" s="774"/>
      <c r="AL21" s="774"/>
    </row>
    <row r="22" spans="1:38" ht="15" customHeight="1">
      <c r="A22" s="774"/>
      <c r="B22" s="774"/>
      <c r="C22" s="790" t="s">
        <v>293</v>
      </c>
      <c r="D22" s="791">
        <v>0</v>
      </c>
      <c r="E22" s="774"/>
      <c r="F22" s="894">
        <v>44889</v>
      </c>
      <c r="G22" s="834" t="s">
        <v>183</v>
      </c>
      <c r="H22" t="str">
        <f ca="1">CONCATENATE(MUNDIAL!I60,"-",MUNDIAL!N60)</f>
        <v>Uruguay-Corea del Sur</v>
      </c>
      <c r="I22" s="799"/>
      <c r="J22" s="821" t="str">
        <f>CONCATENATE(IF(MUNDIAL!K60&gt;MUNDIAL!L60,1,IF(MUNDIAL!K60&lt;MUNDIAL!L60,2,IF(AND(MUNDIAL!K60=MUNDIAL!L60,MUNDIAL!K60&lt;&gt;"",MUNDIAL!L60&lt;&gt;""),"X",0))),"|",MUNDIAL!K60,"-",MUNDIAL!L60)</f>
        <v>X|0-0</v>
      </c>
      <c r="K22" s="774"/>
      <c r="L22" s="774"/>
      <c r="M22" s="774"/>
      <c r="N22" s="954"/>
      <c r="O22" s="796">
        <f t="shared" si="4"/>
        <v>0</v>
      </c>
      <c r="P22" s="774"/>
      <c r="Q22" s="774"/>
      <c r="R22" s="774"/>
      <c r="S22" s="795"/>
      <c r="T22" s="796">
        <f t="shared" ref="T22" si="61">IFERROR(SUM(IF($J22=S22,$D$10),IF(LEFT($J22,1)=LEFT(S22,1),$D$8),IF(MID($J22,FIND("|",$J22)+1,FIND("-",$J22)-FIND("|",$J22)-1)-MID($J22,FIND("-",$J22)+1,11)=MID(S22,FIND("|",S22)+1,FIND("-",S22)-FIND("|",S22)-1)-MID(S22,FIND("-",S22)+1,11),$D$9)),)</f>
        <v>0</v>
      </c>
      <c r="U22" s="774"/>
      <c r="V22" s="774"/>
      <c r="W22" s="774"/>
      <c r="X22" s="795"/>
      <c r="Y22" s="796">
        <f t="shared" ref="Y22" si="62">IFERROR(SUM(IF($J22=X22,$D$10),IF(LEFT($J22,1)=LEFT(X22,1),$D$8),IF(MID($J22,FIND("|",$J22)+1,FIND("-",$J22)-FIND("|",$J22)-1)-MID($J22,FIND("-",$J22)+1,11)=MID(X22,FIND("|",X22)+1,FIND("-",X22)-FIND("|",X22)-1)-MID(X22,FIND("-",X22)+1,11),$D$9)),)</f>
        <v>0</v>
      </c>
      <c r="Z22" s="774"/>
      <c r="AA22" s="774"/>
      <c r="AB22" s="774"/>
      <c r="AC22" s="795"/>
      <c r="AD22" s="796">
        <f t="shared" ref="AD22" si="63">IFERROR(SUM(IF($J22=AC22,$D$10),IF(LEFT($J22,1)=LEFT(AC22,1),$D$8),IF(MID($J22,FIND("|",$J22)+1,FIND("-",$J22)-FIND("|",$J22)-1)-MID($J22,FIND("-",$J22)+1,11)=MID(AC22,FIND("|",AC22)+1,FIND("-",AC22)-FIND("|",AC22)-1)-MID(AC22,FIND("-",AC22)+1,11),$D$9)),)</f>
        <v>0</v>
      </c>
      <c r="AE22" s="774"/>
      <c r="AF22" s="774"/>
      <c r="AG22" s="774"/>
      <c r="AH22" s="954"/>
      <c r="AI22" s="796">
        <f t="shared" ref="AI22" si="64">IFERROR(SUM(IF($J22=AH22,$D$10),IF(LEFT($J22,1)=LEFT(AH22,1),$D$8),IF(MID($J22,FIND("|",$J22)+1,FIND("-",$J22)-FIND("|",$J22)-1)-MID($J22,FIND("-",$J22)+1,11)=MID(AH22,FIND("|",AH22)+1,FIND("-",AH22)-FIND("|",AH22)-1)-MID(AH22,FIND("-",AH22)+1,11),$D$9)),)</f>
        <v>0</v>
      </c>
      <c r="AJ22" s="774"/>
      <c r="AK22" s="774"/>
      <c r="AL22" s="774"/>
    </row>
    <row r="23" spans="1:38" ht="15" customHeight="1">
      <c r="A23" s="774"/>
      <c r="B23" s="774"/>
      <c r="C23" s="790" t="s">
        <v>294</v>
      </c>
      <c r="D23" s="791">
        <v>0</v>
      </c>
      <c r="E23" s="774"/>
      <c r="F23" s="894">
        <v>44889</v>
      </c>
      <c r="G23" s="834" t="s">
        <v>183</v>
      </c>
      <c r="H23" t="str">
        <f ca="1">CONCATENATE(MUNDIAL!I61,"-",MUNDIAL!N61)</f>
        <v>Portugal-Ghana</v>
      </c>
      <c r="I23" s="799"/>
      <c r="J23" s="821" t="str">
        <f>CONCATENATE(IF(MUNDIAL!K61&gt;MUNDIAL!L61,1,IF(MUNDIAL!K61&lt;MUNDIAL!L61,2,IF(AND(MUNDIAL!K61=MUNDIAL!L61,MUNDIAL!K61&lt;&gt;"",MUNDIAL!L61&lt;&gt;""),"X",0))),"|",MUNDIAL!K61,"-",MUNDIAL!L61)</f>
        <v>1|3-2</v>
      </c>
      <c r="K23" s="774"/>
      <c r="L23" s="774"/>
      <c r="M23" s="774"/>
      <c r="N23" s="954"/>
      <c r="O23" s="796">
        <f t="shared" si="4"/>
        <v>0</v>
      </c>
      <c r="P23" s="774"/>
      <c r="Q23" s="774"/>
      <c r="R23" s="774"/>
      <c r="S23" s="795"/>
      <c r="T23" s="796">
        <f t="shared" ref="T23" si="65">IFERROR(SUM(IF($J23=S23,$D$10),IF(LEFT($J23,1)=LEFT(S23,1),$D$8),IF(MID($J23,FIND("|",$J23)+1,FIND("-",$J23)-FIND("|",$J23)-1)-MID($J23,FIND("-",$J23)+1,11)=MID(S23,FIND("|",S23)+1,FIND("-",S23)-FIND("|",S23)-1)-MID(S23,FIND("-",S23)+1,11),$D$9)),)</f>
        <v>0</v>
      </c>
      <c r="U23" s="774"/>
      <c r="V23" s="774"/>
      <c r="W23" s="774"/>
      <c r="X23" s="795"/>
      <c r="Y23" s="796">
        <f t="shared" ref="Y23" si="66">IFERROR(SUM(IF($J23=X23,$D$10),IF(LEFT($J23,1)=LEFT(X23,1),$D$8),IF(MID($J23,FIND("|",$J23)+1,FIND("-",$J23)-FIND("|",$J23)-1)-MID($J23,FIND("-",$J23)+1,11)=MID(X23,FIND("|",X23)+1,FIND("-",X23)-FIND("|",X23)-1)-MID(X23,FIND("-",X23)+1,11),$D$9)),)</f>
        <v>0</v>
      </c>
      <c r="Z23" s="774"/>
      <c r="AA23" s="774"/>
      <c r="AB23" s="774"/>
      <c r="AC23" s="795"/>
      <c r="AD23" s="796">
        <f t="shared" ref="AD23" si="67">IFERROR(SUM(IF($J23=AC23,$D$10),IF(LEFT($J23,1)=LEFT(AC23,1),$D$8),IF(MID($J23,FIND("|",$J23)+1,FIND("-",$J23)-FIND("|",$J23)-1)-MID($J23,FIND("-",$J23)+1,11)=MID(AC23,FIND("|",AC23)+1,FIND("-",AC23)-FIND("|",AC23)-1)-MID(AC23,FIND("-",AC23)+1,11),$D$9)),)</f>
        <v>0</v>
      </c>
      <c r="AE23" s="774"/>
      <c r="AF23" s="774"/>
      <c r="AG23" s="774"/>
      <c r="AH23" s="954"/>
      <c r="AI23" s="796">
        <f t="shared" ref="AI23" si="68">IFERROR(SUM(IF($J23=AH23,$D$10),IF(LEFT($J23,1)=LEFT(AH23,1),$D$8),IF(MID($J23,FIND("|",$J23)+1,FIND("-",$J23)-FIND("|",$J23)-1)-MID($J23,FIND("-",$J23)+1,11)=MID(AH23,FIND("|",AH23)+1,FIND("-",AH23)-FIND("|",AH23)-1)-MID(AH23,FIND("-",AH23)+1,11),$D$9)),)</f>
        <v>0</v>
      </c>
      <c r="AJ23" s="774"/>
      <c r="AK23" s="774"/>
      <c r="AL23" s="774"/>
    </row>
    <row r="24" spans="1:38" ht="15" customHeight="1">
      <c r="A24" s="774"/>
      <c r="B24" s="774"/>
      <c r="C24" s="790" t="s">
        <v>295</v>
      </c>
      <c r="D24" s="791">
        <v>0</v>
      </c>
      <c r="E24" s="774"/>
      <c r="F24" s="894">
        <v>44890</v>
      </c>
      <c r="G24" s="798" t="s">
        <v>151</v>
      </c>
      <c r="H24" t="str">
        <f ca="1">CONCATENATE(MUNDIAL!I6,"-",MUNDIAL!N6)</f>
        <v>Catar-Senegal</v>
      </c>
      <c r="I24" s="799"/>
      <c r="J24" s="821" t="str">
        <f>CONCATENATE(IF(MUNDIAL!K6&gt;MUNDIAL!L6,1,IF(MUNDIAL!K6&lt;MUNDIAL!L6,2,IF(AND(MUNDIAL!K6=MUNDIAL!L6,MUNDIAL!K6&lt;&gt;"",MUNDIAL!L6&lt;&gt;""),"X",0))),"|",MUNDIAL!K6,"-",MUNDIAL!L6)</f>
        <v>2|1-2</v>
      </c>
      <c r="K24" s="774"/>
      <c r="L24" s="774"/>
      <c r="M24" s="774"/>
      <c r="N24" s="954" t="s">
        <v>292</v>
      </c>
      <c r="O24" s="796">
        <f t="shared" si="4"/>
        <v>0</v>
      </c>
      <c r="P24" s="774"/>
      <c r="Q24" s="774"/>
      <c r="R24" s="774"/>
      <c r="S24" s="795" t="s">
        <v>292</v>
      </c>
      <c r="T24" s="796">
        <f t="shared" ref="T24" si="69">IFERROR(SUM(IF($J24=S24,$D$10),IF(LEFT($J24,1)=LEFT(S24,1),$D$8),IF(MID($J24,FIND("|",$J24)+1,FIND("-",$J24)-FIND("|",$J24)-1)-MID($J24,FIND("-",$J24)+1,11)=MID(S24,FIND("|",S24)+1,FIND("-",S24)-FIND("|",S24)-1)-MID(S24,FIND("-",S24)+1,11),$D$9)),)</f>
        <v>0</v>
      </c>
      <c r="U24" s="774"/>
      <c r="V24" s="774"/>
      <c r="W24" s="774"/>
      <c r="X24" s="795" t="s">
        <v>292</v>
      </c>
      <c r="Y24" s="796">
        <f t="shared" ref="Y24" si="70">IFERROR(SUM(IF($J24=X24,$D$10),IF(LEFT($J24,1)=LEFT(X24,1),$D$8),IF(MID($J24,FIND("|",$J24)+1,FIND("-",$J24)-FIND("|",$J24)-1)-MID($J24,FIND("-",$J24)+1,11)=MID(X24,FIND("|",X24)+1,FIND("-",X24)-FIND("|",X24)-1)-MID(X24,FIND("-",X24)+1,11),$D$9)),)</f>
        <v>0</v>
      </c>
      <c r="Z24" s="774"/>
      <c r="AA24" s="774"/>
      <c r="AB24" s="774"/>
      <c r="AC24" s="795" t="s">
        <v>292</v>
      </c>
      <c r="AD24" s="796">
        <f t="shared" ref="AD24" si="71">IFERROR(SUM(IF($J24=AC24,$D$10),IF(LEFT($J24,1)=LEFT(AC24,1),$D$8),IF(MID($J24,FIND("|",$J24)+1,FIND("-",$J24)-FIND("|",$J24)-1)-MID($J24,FIND("-",$J24)+1,11)=MID(AC24,FIND("|",AC24)+1,FIND("-",AC24)-FIND("|",AC24)-1)-MID(AC24,FIND("-",AC24)+1,11),$D$9)),)</f>
        <v>0</v>
      </c>
      <c r="AE24" s="774"/>
      <c r="AF24" s="774"/>
      <c r="AG24" s="774"/>
      <c r="AH24" s="954" t="s">
        <v>292</v>
      </c>
      <c r="AI24" s="796">
        <f t="shared" ref="AI24" si="72">IFERROR(SUM(IF($J24=AH24,$D$10),IF(LEFT($J24,1)=LEFT(AH24,1),$D$8),IF(MID($J24,FIND("|",$J24)+1,FIND("-",$J24)-FIND("|",$J24)-1)-MID($J24,FIND("-",$J24)+1,11)=MID(AH24,FIND("|",AH24)+1,FIND("-",AH24)-FIND("|",AH24)-1)-MID(AH24,FIND("-",AH24)+1,11),$D$9)),)</f>
        <v>0</v>
      </c>
      <c r="AJ24" s="774"/>
      <c r="AK24" s="774"/>
      <c r="AL24" s="774"/>
    </row>
    <row r="25" spans="1:38" ht="15" customHeight="1">
      <c r="A25" s="774"/>
      <c r="B25" s="774"/>
      <c r="C25" s="790" t="s">
        <v>374</v>
      </c>
      <c r="D25" s="791">
        <v>0</v>
      </c>
      <c r="E25" s="774"/>
      <c r="F25" s="894">
        <v>44890</v>
      </c>
      <c r="G25" s="798" t="s">
        <v>151</v>
      </c>
      <c r="H25" t="str">
        <f ca="1">CONCATENATE(MUNDIAL!I7,"-",MUNDIAL!N7)</f>
        <v>Paises Bajos-Ecuador</v>
      </c>
      <c r="I25" s="799"/>
      <c r="J25" s="821" t="str">
        <f>CONCATENATE(IF(MUNDIAL!K7&gt;MUNDIAL!L7,1,IF(MUNDIAL!K7&lt;MUNDIAL!L7,2,IF(AND(MUNDIAL!K7=MUNDIAL!L7,MUNDIAL!K7&lt;&gt;"",MUNDIAL!L7&lt;&gt;""),"X",0))),"|",MUNDIAL!K7,"-",MUNDIAL!L7)</f>
        <v>X|1-1</v>
      </c>
      <c r="K25" s="774"/>
      <c r="L25" s="774"/>
      <c r="M25" s="774"/>
      <c r="N25" s="954"/>
      <c r="O25" s="796">
        <f t="shared" si="4"/>
        <v>0</v>
      </c>
      <c r="P25" s="774"/>
      <c r="Q25" s="774"/>
      <c r="R25" s="774"/>
      <c r="S25" s="795"/>
      <c r="T25" s="796">
        <f t="shared" ref="T25" si="73">IFERROR(SUM(IF($J25=S25,$D$10),IF(LEFT($J25,1)=LEFT(S25,1),$D$8),IF(MID($J25,FIND("|",$J25)+1,FIND("-",$J25)-FIND("|",$J25)-1)-MID($J25,FIND("-",$J25)+1,11)=MID(S25,FIND("|",S25)+1,FIND("-",S25)-FIND("|",S25)-1)-MID(S25,FIND("-",S25)+1,11),$D$9)),)</f>
        <v>0</v>
      </c>
      <c r="U25" s="774"/>
      <c r="V25" s="774"/>
      <c r="W25" s="774"/>
      <c r="X25" s="795"/>
      <c r="Y25" s="796">
        <f t="shared" ref="Y25" si="74">IFERROR(SUM(IF($J25=X25,$D$10),IF(LEFT($J25,1)=LEFT(X25,1),$D$8),IF(MID($J25,FIND("|",$J25)+1,FIND("-",$J25)-FIND("|",$J25)-1)-MID($J25,FIND("-",$J25)+1,11)=MID(X25,FIND("|",X25)+1,FIND("-",X25)-FIND("|",X25)-1)-MID(X25,FIND("-",X25)+1,11),$D$9)),)</f>
        <v>0</v>
      </c>
      <c r="Z25" s="774"/>
      <c r="AA25" s="774"/>
      <c r="AB25" s="774"/>
      <c r="AC25" s="795"/>
      <c r="AD25" s="796">
        <f t="shared" ref="AD25" si="75">IFERROR(SUM(IF($J25=AC25,$D$10),IF(LEFT($J25,1)=LEFT(AC25,1),$D$8),IF(MID($J25,FIND("|",$J25)+1,FIND("-",$J25)-FIND("|",$J25)-1)-MID($J25,FIND("-",$J25)+1,11)=MID(AC25,FIND("|",AC25)+1,FIND("-",AC25)-FIND("|",AC25)-1)-MID(AC25,FIND("-",AC25)+1,11),$D$9)),)</f>
        <v>0</v>
      </c>
      <c r="AE25" s="774"/>
      <c r="AF25" s="774"/>
      <c r="AG25" s="774"/>
      <c r="AH25" s="954"/>
      <c r="AI25" s="796">
        <f t="shared" ref="AI25" si="76">IFERROR(SUM(IF($J25=AH25,$D$10),IF(LEFT($J25,1)=LEFT(AH25,1),$D$8),IF(MID($J25,FIND("|",$J25)+1,FIND("-",$J25)-FIND("|",$J25)-1)-MID($J25,FIND("-",$J25)+1,11)=MID(AH25,FIND("|",AH25)+1,FIND("-",AH25)-FIND("|",AH25)-1)-MID(AH25,FIND("-",AH25)+1,11),$D$9)),)</f>
        <v>0</v>
      </c>
      <c r="AJ25" s="774"/>
      <c r="AK25" s="774"/>
      <c r="AL25" s="774"/>
    </row>
    <row r="26" spans="1:38" ht="15" customHeight="1">
      <c r="A26" s="807"/>
      <c r="B26" s="807"/>
      <c r="C26" s="790" t="s">
        <v>296</v>
      </c>
      <c r="D26" s="791">
        <v>0</v>
      </c>
      <c r="E26" s="807"/>
      <c r="F26" s="894">
        <v>44890</v>
      </c>
      <c r="G26" s="800" t="s">
        <v>152</v>
      </c>
      <c r="H26" t="str">
        <f ca="1">CONCATENATE(MUNDIAL!I14,"-",MUNDIAL!N14)</f>
        <v>Gales-Irán</v>
      </c>
      <c r="I26" s="799"/>
      <c r="J26" s="821" t="str">
        <f>CONCATENATE(IF(MUNDIAL!K14&gt;MUNDIAL!L14,1,IF(MUNDIAL!K14&lt;MUNDIAL!L14,2,IF(AND(MUNDIAL!K14=MUNDIAL!L14,MUNDIAL!K14&lt;&gt;"",MUNDIAL!L14&lt;&gt;""),"X",0))),"|",MUNDIAL!K14,"-",MUNDIAL!L14)</f>
        <v>2|0-2</v>
      </c>
      <c r="K26" s="785"/>
      <c r="L26" s="785"/>
      <c r="M26" s="785"/>
      <c r="N26" s="954"/>
      <c r="O26" s="796">
        <f t="shared" si="4"/>
        <v>0</v>
      </c>
      <c r="P26" s="785"/>
      <c r="Q26" s="785"/>
      <c r="R26" s="785"/>
      <c r="S26" s="795"/>
      <c r="T26" s="796">
        <f t="shared" ref="T26" si="77">IFERROR(SUM(IF($J26=S26,$D$10),IF(LEFT($J26,1)=LEFT(S26,1),$D$8),IF(MID($J26,FIND("|",$J26)+1,FIND("-",$J26)-FIND("|",$J26)-1)-MID($J26,FIND("-",$J26)+1,11)=MID(S26,FIND("|",S26)+1,FIND("-",S26)-FIND("|",S26)-1)-MID(S26,FIND("-",S26)+1,11),$D$9)),)</f>
        <v>0</v>
      </c>
      <c r="U26" s="785"/>
      <c r="V26" s="785"/>
      <c r="W26" s="785"/>
      <c r="X26" s="795"/>
      <c r="Y26" s="796">
        <f t="shared" ref="Y26" si="78">IFERROR(SUM(IF($J26=X26,$D$10),IF(LEFT($J26,1)=LEFT(X26,1),$D$8),IF(MID($J26,FIND("|",$J26)+1,FIND("-",$J26)-FIND("|",$J26)-1)-MID($J26,FIND("-",$J26)+1,11)=MID(X26,FIND("|",X26)+1,FIND("-",X26)-FIND("|",X26)-1)-MID(X26,FIND("-",X26)+1,11),$D$9)),)</f>
        <v>0</v>
      </c>
      <c r="Z26" s="785"/>
      <c r="AA26" s="785"/>
      <c r="AB26" s="785"/>
      <c r="AC26" s="795"/>
      <c r="AD26" s="796">
        <f t="shared" ref="AD26" si="79">IFERROR(SUM(IF($J26=AC26,$D$10),IF(LEFT($J26,1)=LEFT(AC26,1),$D$8),IF(MID($J26,FIND("|",$J26)+1,FIND("-",$J26)-FIND("|",$J26)-1)-MID($J26,FIND("-",$J26)+1,11)=MID(AC26,FIND("|",AC26)+1,FIND("-",AC26)-FIND("|",AC26)-1)-MID(AC26,FIND("-",AC26)+1,11),$D$9)),)</f>
        <v>0</v>
      </c>
      <c r="AE26" s="785"/>
      <c r="AF26" s="785"/>
      <c r="AG26" s="785"/>
      <c r="AH26" s="954"/>
      <c r="AI26" s="796">
        <f t="shared" ref="AI26" si="80">IFERROR(SUM(IF($J26=AH26,$D$10),IF(LEFT($J26,1)=LEFT(AH26,1),$D$8),IF(MID($J26,FIND("|",$J26)+1,FIND("-",$J26)-FIND("|",$J26)-1)-MID($J26,FIND("-",$J26)+1,11)=MID(AH26,FIND("|",AH26)+1,FIND("-",AH26)-FIND("|",AH26)-1)-MID(AH26,FIND("-",AH26)+1,11),$D$9)),)</f>
        <v>0</v>
      </c>
      <c r="AJ26" s="785"/>
      <c r="AK26" s="785"/>
      <c r="AL26" s="785"/>
    </row>
    <row r="27" spans="1:38" ht="15" customHeight="1">
      <c r="A27" s="808"/>
      <c r="B27" s="808"/>
      <c r="C27" s="790" t="s">
        <v>346</v>
      </c>
      <c r="D27" s="791">
        <v>0</v>
      </c>
      <c r="E27" s="808"/>
      <c r="F27" s="894">
        <v>44890</v>
      </c>
      <c r="G27" s="800" t="s">
        <v>152</v>
      </c>
      <c r="H27" t="str">
        <f ca="1">CONCATENATE(MUNDIAL!I15,"-",MUNDIAL!N15)</f>
        <v>Inglaterra-Estados unidos</v>
      </c>
      <c r="I27" s="799"/>
      <c r="J27" s="821" t="str">
        <f>CONCATENATE(IF(MUNDIAL!K15&gt;MUNDIAL!L15,1,IF(MUNDIAL!K15&lt;MUNDIAL!L15,2,IF(AND(MUNDIAL!K15=MUNDIAL!L15,MUNDIAL!K15&lt;&gt;"",MUNDIAL!L15&lt;&gt;""),"X",0))),"|",MUNDIAL!K15,"-",MUNDIAL!L15)</f>
        <v>X|0-0</v>
      </c>
      <c r="K27" s="774"/>
      <c r="L27" s="774"/>
      <c r="M27" s="774"/>
      <c r="N27" s="954"/>
      <c r="O27" s="796">
        <f t="shared" si="4"/>
        <v>0</v>
      </c>
      <c r="P27" s="774"/>
      <c r="Q27" s="774"/>
      <c r="R27" s="774"/>
      <c r="S27" s="795"/>
      <c r="T27" s="796">
        <f t="shared" ref="T27" si="81">IFERROR(SUM(IF($J27=S27,$D$10),IF(LEFT($J27,1)=LEFT(S27,1),$D$8),IF(MID($J27,FIND("|",$J27)+1,FIND("-",$J27)-FIND("|",$J27)-1)-MID($J27,FIND("-",$J27)+1,11)=MID(S27,FIND("|",S27)+1,FIND("-",S27)-FIND("|",S27)-1)-MID(S27,FIND("-",S27)+1,11),$D$9)),)</f>
        <v>0</v>
      </c>
      <c r="U27" s="774"/>
      <c r="V27" s="774"/>
      <c r="W27" s="774"/>
      <c r="X27" s="795"/>
      <c r="Y27" s="796">
        <f t="shared" ref="Y27" si="82">IFERROR(SUM(IF($J27=X27,$D$10),IF(LEFT($J27,1)=LEFT(X27,1),$D$8),IF(MID($J27,FIND("|",$J27)+1,FIND("-",$J27)-FIND("|",$J27)-1)-MID($J27,FIND("-",$J27)+1,11)=MID(X27,FIND("|",X27)+1,FIND("-",X27)-FIND("|",X27)-1)-MID(X27,FIND("-",X27)+1,11),$D$9)),)</f>
        <v>0</v>
      </c>
      <c r="Z27" s="774"/>
      <c r="AA27" s="774"/>
      <c r="AB27" s="774"/>
      <c r="AC27" s="795"/>
      <c r="AD27" s="796">
        <f t="shared" ref="AD27" si="83">IFERROR(SUM(IF($J27=AC27,$D$10),IF(LEFT($J27,1)=LEFT(AC27,1),$D$8),IF(MID($J27,FIND("|",$J27)+1,FIND("-",$J27)-FIND("|",$J27)-1)-MID($J27,FIND("-",$J27)+1,11)=MID(AC27,FIND("|",AC27)+1,FIND("-",AC27)-FIND("|",AC27)-1)-MID(AC27,FIND("-",AC27)+1,11),$D$9)),)</f>
        <v>0</v>
      </c>
      <c r="AE27" s="774"/>
      <c r="AF27" s="774"/>
      <c r="AG27" s="774"/>
      <c r="AH27" s="954"/>
      <c r="AI27" s="796">
        <f t="shared" ref="AI27" si="84">IFERROR(SUM(IF($J27=AH27,$D$10),IF(LEFT($J27,1)=LEFT(AH27,1),$D$8),IF(MID($J27,FIND("|",$J27)+1,FIND("-",$J27)-FIND("|",$J27)-1)-MID($J27,FIND("-",$J27)+1,11)=MID(AH27,FIND("|",AH27)+1,FIND("-",AH27)-FIND("|",AH27)-1)-MID(AH27,FIND("-",AH27)+1,11),$D$9)),)</f>
        <v>0</v>
      </c>
      <c r="AJ27" s="774"/>
      <c r="AK27" s="774"/>
      <c r="AL27" s="774"/>
    </row>
    <row r="28" spans="1:38" ht="15" customHeight="1">
      <c r="A28" s="808"/>
      <c r="B28" s="808"/>
      <c r="C28" s="790" t="s">
        <v>297</v>
      </c>
      <c r="D28" s="791">
        <v>0</v>
      </c>
      <c r="E28" s="808"/>
      <c r="F28" s="894">
        <v>44891</v>
      </c>
      <c r="G28" s="803" t="s">
        <v>153</v>
      </c>
      <c r="H28" t="str">
        <f ca="1">CONCATENATE(MUNDIAL!I22,"-",MUNDIAL!N22)</f>
        <v>Polonia-Arabia Saudita</v>
      </c>
      <c r="I28" s="799"/>
      <c r="J28" s="821" t="str">
        <f>CONCATENATE(IF(MUNDIAL!K22&gt;MUNDIAL!L22,1,IF(MUNDIAL!K22&lt;MUNDIAL!L22,2,IF(AND(MUNDIAL!K22=MUNDIAL!L22,MUNDIAL!K22&lt;&gt;"",MUNDIAL!L22&lt;&gt;""),"X",0))),"|",MUNDIAL!K22,"-",MUNDIAL!L22)</f>
        <v>1|2-0</v>
      </c>
      <c r="K28" s="774"/>
      <c r="L28" s="774"/>
      <c r="M28" s="774"/>
      <c r="N28" s="954"/>
      <c r="O28" s="796">
        <f t="shared" si="4"/>
        <v>0</v>
      </c>
      <c r="P28" s="774"/>
      <c r="Q28" s="774"/>
      <c r="R28" s="774"/>
      <c r="S28" s="795"/>
      <c r="T28" s="796">
        <f t="shared" ref="T28" si="85">IFERROR(SUM(IF($J28=S28,$D$10),IF(LEFT($J28,1)=LEFT(S28,1),$D$8),IF(MID($J28,FIND("|",$J28)+1,FIND("-",$J28)-FIND("|",$J28)-1)-MID($J28,FIND("-",$J28)+1,11)=MID(S28,FIND("|",S28)+1,FIND("-",S28)-FIND("|",S28)-1)-MID(S28,FIND("-",S28)+1,11),$D$9)),)</f>
        <v>0</v>
      </c>
      <c r="U28" s="774"/>
      <c r="V28" s="774"/>
      <c r="W28" s="774"/>
      <c r="X28" s="795"/>
      <c r="Y28" s="796">
        <f t="shared" ref="Y28" si="86">IFERROR(SUM(IF($J28=X28,$D$10),IF(LEFT($J28,1)=LEFT(X28,1),$D$8),IF(MID($J28,FIND("|",$J28)+1,FIND("-",$J28)-FIND("|",$J28)-1)-MID($J28,FIND("-",$J28)+1,11)=MID(X28,FIND("|",X28)+1,FIND("-",X28)-FIND("|",X28)-1)-MID(X28,FIND("-",X28)+1,11),$D$9)),)</f>
        <v>0</v>
      </c>
      <c r="Z28" s="774"/>
      <c r="AA28" s="774"/>
      <c r="AB28" s="774"/>
      <c r="AC28" s="795"/>
      <c r="AD28" s="796">
        <f t="shared" ref="AD28" si="87">IFERROR(SUM(IF($J28=AC28,$D$10),IF(LEFT($J28,1)=LEFT(AC28,1),$D$8),IF(MID($J28,FIND("|",$J28)+1,FIND("-",$J28)-FIND("|",$J28)-1)-MID($J28,FIND("-",$J28)+1,11)=MID(AC28,FIND("|",AC28)+1,FIND("-",AC28)-FIND("|",AC28)-1)-MID(AC28,FIND("-",AC28)+1,11),$D$9)),)</f>
        <v>0</v>
      </c>
      <c r="AE28" s="774"/>
      <c r="AF28" s="774"/>
      <c r="AG28" s="774"/>
      <c r="AH28" s="954"/>
      <c r="AI28" s="796">
        <f t="shared" ref="AI28" si="88">IFERROR(SUM(IF($J28=AH28,$D$10),IF(LEFT($J28,1)=LEFT(AH28,1),$D$8),IF(MID($J28,FIND("|",$J28)+1,FIND("-",$J28)-FIND("|",$J28)-1)-MID($J28,FIND("-",$J28)+1,11)=MID(AH28,FIND("|",AH28)+1,FIND("-",AH28)-FIND("|",AH28)-1)-MID(AH28,FIND("-",AH28)+1,11),$D$9)),)</f>
        <v>0</v>
      </c>
      <c r="AJ28" s="774"/>
      <c r="AK28" s="774"/>
      <c r="AL28" s="774"/>
    </row>
    <row r="29" spans="1:38" ht="15" customHeight="1">
      <c r="A29" s="808"/>
      <c r="B29" s="808"/>
      <c r="C29" s="790" t="s">
        <v>347</v>
      </c>
      <c r="D29" s="791">
        <v>0</v>
      </c>
      <c r="E29" s="808"/>
      <c r="F29" s="894">
        <v>44891</v>
      </c>
      <c r="G29" s="803" t="s">
        <v>153</v>
      </c>
      <c r="H29" t="str">
        <f ca="1">CONCATENATE(MUNDIAL!I23,"-",MUNDIAL!N23)</f>
        <v>Argentina-México</v>
      </c>
      <c r="I29" s="799"/>
      <c r="J29" s="821" t="str">
        <f>CONCATENATE(IF(MUNDIAL!K23&gt;MUNDIAL!L23,1,IF(MUNDIAL!K23&lt;MUNDIAL!L23,2,IF(AND(MUNDIAL!K23=MUNDIAL!L23,MUNDIAL!K23&lt;&gt;"",MUNDIAL!L23&lt;&gt;""),"X",0))),"|",MUNDIAL!K23,"-",MUNDIAL!L23)</f>
        <v>1|2-0</v>
      </c>
      <c r="K29" s="774"/>
      <c r="L29" s="774"/>
      <c r="M29" s="774"/>
      <c r="N29" s="954"/>
      <c r="O29" s="796">
        <f t="shared" si="4"/>
        <v>0</v>
      </c>
      <c r="P29" s="774"/>
      <c r="Q29" s="774"/>
      <c r="R29" s="774"/>
      <c r="S29" s="795"/>
      <c r="T29" s="796">
        <f t="shared" ref="T29" si="89">IFERROR(SUM(IF($J29=S29,$D$10),IF(LEFT($J29,1)=LEFT(S29,1),$D$8),IF(MID($J29,FIND("|",$J29)+1,FIND("-",$J29)-FIND("|",$J29)-1)-MID($J29,FIND("-",$J29)+1,11)=MID(S29,FIND("|",S29)+1,FIND("-",S29)-FIND("|",S29)-1)-MID(S29,FIND("-",S29)+1,11),$D$9)),)</f>
        <v>0</v>
      </c>
      <c r="U29" s="774"/>
      <c r="V29" s="774"/>
      <c r="W29" s="774"/>
      <c r="X29" s="795"/>
      <c r="Y29" s="796">
        <f t="shared" ref="Y29" si="90">IFERROR(SUM(IF($J29=X29,$D$10),IF(LEFT($J29,1)=LEFT(X29,1),$D$8),IF(MID($J29,FIND("|",$J29)+1,FIND("-",$J29)-FIND("|",$J29)-1)-MID($J29,FIND("-",$J29)+1,11)=MID(X29,FIND("|",X29)+1,FIND("-",X29)-FIND("|",X29)-1)-MID(X29,FIND("-",X29)+1,11),$D$9)),)</f>
        <v>0</v>
      </c>
      <c r="Z29" s="774"/>
      <c r="AA29" s="774"/>
      <c r="AB29" s="774"/>
      <c r="AC29" s="795"/>
      <c r="AD29" s="796">
        <f t="shared" ref="AD29" si="91">IFERROR(SUM(IF($J29=AC29,$D$10),IF(LEFT($J29,1)=LEFT(AC29,1),$D$8),IF(MID($J29,FIND("|",$J29)+1,FIND("-",$J29)-FIND("|",$J29)-1)-MID($J29,FIND("-",$J29)+1,11)=MID(AC29,FIND("|",AC29)+1,FIND("-",AC29)-FIND("|",AC29)-1)-MID(AC29,FIND("-",AC29)+1,11),$D$9)),)</f>
        <v>0</v>
      </c>
      <c r="AE29" s="774"/>
      <c r="AF29" s="774"/>
      <c r="AG29" s="774"/>
      <c r="AH29" s="954"/>
      <c r="AI29" s="796">
        <f t="shared" ref="AI29" si="92">IFERROR(SUM(IF($J29=AH29,$D$10),IF(LEFT($J29,1)=LEFT(AH29,1),$D$8),IF(MID($J29,FIND("|",$J29)+1,FIND("-",$J29)-FIND("|",$J29)-1)-MID($J29,FIND("-",$J29)+1,11)=MID(AH29,FIND("|",AH29)+1,FIND("-",AH29)-FIND("|",AH29)-1)-MID(AH29,FIND("-",AH29)+1,11),$D$9)),)</f>
        <v>0</v>
      </c>
      <c r="AJ29" s="774"/>
      <c r="AK29" s="774"/>
      <c r="AL29" s="774"/>
    </row>
    <row r="30" spans="1:38" ht="15" customHeight="1">
      <c r="A30" s="808"/>
      <c r="B30" s="808"/>
      <c r="C30" s="790" t="s">
        <v>375</v>
      </c>
      <c r="D30" s="791">
        <v>0</v>
      </c>
      <c r="E30" s="808"/>
      <c r="F30" s="894">
        <v>44891</v>
      </c>
      <c r="G30" s="804" t="s">
        <v>154</v>
      </c>
      <c r="H30" t="str">
        <f ca="1">CONCATENATE(MUNDIAL!I30,"-",MUNDIAL!N30)</f>
        <v>Túnez-Australia</v>
      </c>
      <c r="I30" s="799"/>
      <c r="J30" s="821" t="str">
        <f>CONCATENATE(IF(MUNDIAL!K30&gt;MUNDIAL!L30,1,IF(MUNDIAL!K30&lt;MUNDIAL!L30,2,IF(AND(MUNDIAL!K30=MUNDIAL!L30,MUNDIAL!K30&lt;&gt;"",MUNDIAL!L30&lt;&gt;""),"X",0))),"|",MUNDIAL!K30,"-",MUNDIAL!L30)</f>
        <v>2|0-1</v>
      </c>
      <c r="K30" s="774"/>
      <c r="L30" s="774"/>
      <c r="M30" s="774"/>
      <c r="N30" s="954"/>
      <c r="O30" s="796">
        <f t="shared" si="4"/>
        <v>0</v>
      </c>
      <c r="P30" s="774"/>
      <c r="Q30" s="774"/>
      <c r="R30" s="774"/>
      <c r="S30" s="795"/>
      <c r="T30" s="796">
        <f t="shared" ref="T30" si="93">IFERROR(SUM(IF($J30=S30,$D$10),IF(LEFT($J30,1)=LEFT(S30,1),$D$8),IF(MID($J30,FIND("|",$J30)+1,FIND("-",$J30)-FIND("|",$J30)-1)-MID($J30,FIND("-",$J30)+1,11)=MID(S30,FIND("|",S30)+1,FIND("-",S30)-FIND("|",S30)-1)-MID(S30,FIND("-",S30)+1,11),$D$9)),)</f>
        <v>0</v>
      </c>
      <c r="U30" s="774"/>
      <c r="V30" s="774"/>
      <c r="W30" s="774"/>
      <c r="X30" s="795"/>
      <c r="Y30" s="796">
        <f t="shared" ref="Y30" si="94">IFERROR(SUM(IF($J30=X30,$D$10),IF(LEFT($J30,1)=LEFT(X30,1),$D$8),IF(MID($J30,FIND("|",$J30)+1,FIND("-",$J30)-FIND("|",$J30)-1)-MID($J30,FIND("-",$J30)+1,11)=MID(X30,FIND("|",X30)+1,FIND("-",X30)-FIND("|",X30)-1)-MID(X30,FIND("-",X30)+1,11),$D$9)),)</f>
        <v>0</v>
      </c>
      <c r="Z30" s="774"/>
      <c r="AA30" s="774"/>
      <c r="AB30" s="774"/>
      <c r="AC30" s="795"/>
      <c r="AD30" s="796">
        <f t="shared" ref="AD30" si="95">IFERROR(SUM(IF($J30=AC30,$D$10),IF(LEFT($J30,1)=LEFT(AC30,1),$D$8),IF(MID($J30,FIND("|",$J30)+1,FIND("-",$J30)-FIND("|",$J30)-1)-MID($J30,FIND("-",$J30)+1,11)=MID(AC30,FIND("|",AC30)+1,FIND("-",AC30)-FIND("|",AC30)-1)-MID(AC30,FIND("-",AC30)+1,11),$D$9)),)</f>
        <v>0</v>
      </c>
      <c r="AE30" s="774"/>
      <c r="AF30" s="774"/>
      <c r="AG30" s="774"/>
      <c r="AH30" s="954"/>
      <c r="AI30" s="796">
        <f t="shared" ref="AI30" si="96">IFERROR(SUM(IF($J30=AH30,$D$10),IF(LEFT($J30,1)=LEFT(AH30,1),$D$8),IF(MID($J30,FIND("|",$J30)+1,FIND("-",$J30)-FIND("|",$J30)-1)-MID($J30,FIND("-",$J30)+1,11)=MID(AH30,FIND("|",AH30)+1,FIND("-",AH30)-FIND("|",AH30)-1)-MID(AH30,FIND("-",AH30)+1,11),$D$9)),)</f>
        <v>0</v>
      </c>
      <c r="AJ30" s="774"/>
      <c r="AK30" s="774"/>
      <c r="AL30" s="774"/>
    </row>
    <row r="31" spans="1:38" ht="15" customHeight="1">
      <c r="A31" s="808"/>
      <c r="B31" s="808"/>
      <c r="C31" s="790" t="s">
        <v>348</v>
      </c>
      <c r="D31" s="791">
        <v>0</v>
      </c>
      <c r="E31" s="808"/>
      <c r="F31" s="894">
        <v>44891</v>
      </c>
      <c r="G31" s="804" t="s">
        <v>154</v>
      </c>
      <c r="H31" t="str">
        <f ca="1">CONCATENATE(MUNDIAL!I31,"-",MUNDIAL!N31)</f>
        <v>Francia-Dinamarca</v>
      </c>
      <c r="I31" s="799"/>
      <c r="J31" s="821" t="str">
        <f>CONCATENATE(IF(MUNDIAL!K31&gt;MUNDIAL!L31,1,IF(MUNDIAL!K31&lt;MUNDIAL!L31,2,IF(AND(MUNDIAL!K31=MUNDIAL!L31,MUNDIAL!K31&lt;&gt;"",MUNDIAL!L31&lt;&gt;""),"X",0))),"|",MUNDIAL!K31,"-",MUNDIAL!L31)</f>
        <v>1|2-1</v>
      </c>
      <c r="K31" s="774"/>
      <c r="L31" s="774"/>
      <c r="M31" s="774"/>
      <c r="N31" s="954"/>
      <c r="O31" s="796">
        <f t="shared" si="4"/>
        <v>0</v>
      </c>
      <c r="P31" s="774"/>
      <c r="Q31" s="774"/>
      <c r="R31" s="774"/>
      <c r="S31" s="795"/>
      <c r="T31" s="796">
        <f t="shared" ref="T31" si="97">IFERROR(SUM(IF($J31=S31,$D$10),IF(LEFT($J31,1)=LEFT(S31,1),$D$8),IF(MID($J31,FIND("|",$J31)+1,FIND("-",$J31)-FIND("|",$J31)-1)-MID($J31,FIND("-",$J31)+1,11)=MID(S31,FIND("|",S31)+1,FIND("-",S31)-FIND("|",S31)-1)-MID(S31,FIND("-",S31)+1,11),$D$9)),)</f>
        <v>0</v>
      </c>
      <c r="U31" s="774"/>
      <c r="V31" s="774"/>
      <c r="W31" s="774"/>
      <c r="X31" s="795"/>
      <c r="Y31" s="796">
        <f t="shared" ref="Y31" si="98">IFERROR(SUM(IF($J31=X31,$D$10),IF(LEFT($J31,1)=LEFT(X31,1),$D$8),IF(MID($J31,FIND("|",$J31)+1,FIND("-",$J31)-FIND("|",$J31)-1)-MID($J31,FIND("-",$J31)+1,11)=MID(X31,FIND("|",X31)+1,FIND("-",X31)-FIND("|",X31)-1)-MID(X31,FIND("-",X31)+1,11),$D$9)),)</f>
        <v>0</v>
      </c>
      <c r="Z31" s="774"/>
      <c r="AA31" s="774"/>
      <c r="AB31" s="774"/>
      <c r="AC31" s="795"/>
      <c r="AD31" s="796">
        <f t="shared" ref="AD31" si="99">IFERROR(SUM(IF($J31=AC31,$D$10),IF(LEFT($J31,1)=LEFT(AC31,1),$D$8),IF(MID($J31,FIND("|",$J31)+1,FIND("-",$J31)-FIND("|",$J31)-1)-MID($J31,FIND("-",$J31)+1,11)=MID(AC31,FIND("|",AC31)+1,FIND("-",AC31)-FIND("|",AC31)-1)-MID(AC31,FIND("-",AC31)+1,11),$D$9)),)</f>
        <v>0</v>
      </c>
      <c r="AE31" s="774"/>
      <c r="AF31" s="774"/>
      <c r="AG31" s="774"/>
      <c r="AH31" s="954"/>
      <c r="AI31" s="796">
        <f t="shared" ref="AI31" si="100">IFERROR(SUM(IF($J31=AH31,$D$10),IF(LEFT($J31,1)=LEFT(AH31,1),$D$8),IF(MID($J31,FIND("|",$J31)+1,FIND("-",$J31)-FIND("|",$J31)-1)-MID($J31,FIND("-",$J31)+1,11)=MID(AH31,FIND("|",AH31)+1,FIND("-",AH31)-FIND("|",AH31)-1)-MID(AH31,FIND("-",AH31)+1,11),$D$9)),)</f>
        <v>0</v>
      </c>
      <c r="AJ31" s="774"/>
      <c r="AK31" s="774"/>
      <c r="AL31" s="774"/>
    </row>
    <row r="32" spans="1:38" ht="15" customHeight="1">
      <c r="A32" s="808"/>
      <c r="B32" s="808"/>
      <c r="C32" s="790" t="s">
        <v>298</v>
      </c>
      <c r="D32" s="791">
        <v>0</v>
      </c>
      <c r="E32" s="808"/>
      <c r="F32" s="894">
        <v>44892</v>
      </c>
      <c r="G32" s="805" t="s">
        <v>155</v>
      </c>
      <c r="H32" t="str">
        <f ca="1">CONCATENATE(MUNDIAL!I38,"-",MUNDIAL!N38)</f>
        <v>Japón-Costa Rica</v>
      </c>
      <c r="I32" s="799"/>
      <c r="J32" s="821" t="str">
        <f>CONCATENATE(IF(MUNDIAL!K38&gt;MUNDIAL!L38,1,IF(MUNDIAL!K38&lt;MUNDIAL!L38,2,IF(AND(MUNDIAL!K38=MUNDIAL!L38,MUNDIAL!K38&lt;&gt;"",MUNDIAL!L38&lt;&gt;""),"X",0))),"|",MUNDIAL!K38,"-",MUNDIAL!L38)</f>
        <v>2|0-1</v>
      </c>
      <c r="K32" s="774"/>
      <c r="L32" s="774"/>
      <c r="M32" s="774"/>
      <c r="N32" s="954"/>
      <c r="O32" s="796">
        <f t="shared" si="4"/>
        <v>0</v>
      </c>
      <c r="P32" s="774"/>
      <c r="Q32" s="774"/>
      <c r="R32" s="774"/>
      <c r="S32" s="795"/>
      <c r="T32" s="796">
        <f t="shared" ref="T32" si="101">IFERROR(SUM(IF($J32=S32,$D$10),IF(LEFT($J32,1)=LEFT(S32,1),$D$8),IF(MID($J32,FIND("|",$J32)+1,FIND("-",$J32)-FIND("|",$J32)-1)-MID($J32,FIND("-",$J32)+1,11)=MID(S32,FIND("|",S32)+1,FIND("-",S32)-FIND("|",S32)-1)-MID(S32,FIND("-",S32)+1,11),$D$9)),)</f>
        <v>0</v>
      </c>
      <c r="U32" s="774"/>
      <c r="V32" s="774"/>
      <c r="W32" s="774"/>
      <c r="X32" s="795"/>
      <c r="Y32" s="796">
        <f t="shared" ref="Y32" si="102">IFERROR(SUM(IF($J32=X32,$D$10),IF(LEFT($J32,1)=LEFT(X32,1),$D$8),IF(MID($J32,FIND("|",$J32)+1,FIND("-",$J32)-FIND("|",$J32)-1)-MID($J32,FIND("-",$J32)+1,11)=MID(X32,FIND("|",X32)+1,FIND("-",X32)-FIND("|",X32)-1)-MID(X32,FIND("-",X32)+1,11),$D$9)),)</f>
        <v>0</v>
      </c>
      <c r="Z32" s="774"/>
      <c r="AA32" s="774"/>
      <c r="AB32" s="774"/>
      <c r="AC32" s="795"/>
      <c r="AD32" s="796">
        <f t="shared" ref="AD32" si="103">IFERROR(SUM(IF($J32=AC32,$D$10),IF(LEFT($J32,1)=LEFT(AC32,1),$D$8),IF(MID($J32,FIND("|",$J32)+1,FIND("-",$J32)-FIND("|",$J32)-1)-MID($J32,FIND("-",$J32)+1,11)=MID(AC32,FIND("|",AC32)+1,FIND("-",AC32)-FIND("|",AC32)-1)-MID(AC32,FIND("-",AC32)+1,11),$D$9)),)</f>
        <v>0</v>
      </c>
      <c r="AE32" s="774"/>
      <c r="AF32" s="774"/>
      <c r="AG32" s="774"/>
      <c r="AH32" s="954"/>
      <c r="AI32" s="796">
        <f t="shared" ref="AI32" si="104">IFERROR(SUM(IF($J32=AH32,$D$10),IF(LEFT($J32,1)=LEFT(AH32,1),$D$8),IF(MID($J32,FIND("|",$J32)+1,FIND("-",$J32)-FIND("|",$J32)-1)-MID($J32,FIND("-",$J32)+1,11)=MID(AH32,FIND("|",AH32)+1,FIND("-",AH32)-FIND("|",AH32)-1)-MID(AH32,FIND("-",AH32)+1,11),$D$9)),)</f>
        <v>0</v>
      </c>
      <c r="AJ32" s="774"/>
      <c r="AK32" s="774"/>
      <c r="AL32" s="774"/>
    </row>
    <row r="33" spans="1:38" ht="15" customHeight="1">
      <c r="A33" s="808"/>
      <c r="B33" s="808"/>
      <c r="C33" s="790" t="s">
        <v>376</v>
      </c>
      <c r="D33" s="791">
        <v>0</v>
      </c>
      <c r="E33" s="809"/>
      <c r="F33" s="894">
        <v>44892</v>
      </c>
      <c r="G33" s="805" t="s">
        <v>155</v>
      </c>
      <c r="H33" t="str">
        <f ca="1">CONCATENATE(MUNDIAL!I39,"-",MUNDIAL!N39)</f>
        <v>España-Alemania</v>
      </c>
      <c r="I33" s="799"/>
      <c r="J33" s="821" t="str">
        <f>CONCATENATE(IF(MUNDIAL!K39&gt;MUNDIAL!L39,1,IF(MUNDIAL!K39&lt;MUNDIAL!L39,2,IF(AND(MUNDIAL!K39=MUNDIAL!L39,MUNDIAL!K39&lt;&gt;"",MUNDIAL!L39&lt;&gt;""),"X",0))),"|",MUNDIAL!K39,"-",MUNDIAL!L39)</f>
        <v>X|1-1</v>
      </c>
      <c r="K33" s="774"/>
      <c r="L33" s="774"/>
      <c r="M33" s="774"/>
      <c r="N33" s="954"/>
      <c r="O33" s="796">
        <f t="shared" si="4"/>
        <v>0</v>
      </c>
      <c r="P33" s="774"/>
      <c r="Q33" s="774"/>
      <c r="R33" s="774"/>
      <c r="S33" s="795"/>
      <c r="T33" s="796">
        <f t="shared" ref="T33" si="105">IFERROR(SUM(IF($J33=S33,$D$10),IF(LEFT($J33,1)=LEFT(S33,1),$D$8),IF(MID($J33,FIND("|",$J33)+1,FIND("-",$J33)-FIND("|",$J33)-1)-MID($J33,FIND("-",$J33)+1,11)=MID(S33,FIND("|",S33)+1,FIND("-",S33)-FIND("|",S33)-1)-MID(S33,FIND("-",S33)+1,11),$D$9)),)</f>
        <v>0</v>
      </c>
      <c r="U33" s="774"/>
      <c r="V33" s="774"/>
      <c r="W33" s="774"/>
      <c r="X33" s="795"/>
      <c r="Y33" s="796">
        <f t="shared" ref="Y33" si="106">IFERROR(SUM(IF($J33=X33,$D$10),IF(LEFT($J33,1)=LEFT(X33,1),$D$8),IF(MID($J33,FIND("|",$J33)+1,FIND("-",$J33)-FIND("|",$J33)-1)-MID($J33,FIND("-",$J33)+1,11)=MID(X33,FIND("|",X33)+1,FIND("-",X33)-FIND("|",X33)-1)-MID(X33,FIND("-",X33)+1,11),$D$9)),)</f>
        <v>0</v>
      </c>
      <c r="Z33" s="774"/>
      <c r="AA33" s="774"/>
      <c r="AB33" s="774"/>
      <c r="AC33" s="795"/>
      <c r="AD33" s="796">
        <f t="shared" ref="AD33" si="107">IFERROR(SUM(IF($J33=AC33,$D$10),IF(LEFT($J33,1)=LEFT(AC33,1),$D$8),IF(MID($J33,FIND("|",$J33)+1,FIND("-",$J33)-FIND("|",$J33)-1)-MID($J33,FIND("-",$J33)+1,11)=MID(AC33,FIND("|",AC33)+1,FIND("-",AC33)-FIND("|",AC33)-1)-MID(AC33,FIND("-",AC33)+1,11),$D$9)),)</f>
        <v>0</v>
      </c>
      <c r="AE33" s="774"/>
      <c r="AF33" s="774"/>
      <c r="AG33" s="774"/>
      <c r="AH33" s="954"/>
      <c r="AI33" s="796">
        <f t="shared" ref="AI33" si="108">IFERROR(SUM(IF($J33=AH33,$D$10),IF(LEFT($J33,1)=LEFT(AH33,1),$D$8),IF(MID($J33,FIND("|",$J33)+1,FIND("-",$J33)-FIND("|",$J33)-1)-MID($J33,FIND("-",$J33)+1,11)=MID(AH33,FIND("|",AH33)+1,FIND("-",AH33)-FIND("|",AH33)-1)-MID(AH33,FIND("-",AH33)+1,11),$D$9)),)</f>
        <v>0</v>
      </c>
      <c r="AJ33" s="774"/>
      <c r="AK33" s="774"/>
      <c r="AL33" s="774"/>
    </row>
    <row r="34" spans="1:38" ht="15" customHeight="1">
      <c r="A34" s="808"/>
      <c r="B34" s="808"/>
      <c r="C34" s="790" t="s">
        <v>299</v>
      </c>
      <c r="D34" s="791">
        <v>0</v>
      </c>
      <c r="E34" s="808"/>
      <c r="F34" s="894">
        <v>44892</v>
      </c>
      <c r="G34" s="833" t="s">
        <v>156</v>
      </c>
      <c r="H34" t="str">
        <f ca="1">CONCATENATE(MUNDIAL!I46,"-",MUNDIAL!N46)</f>
        <v>Bélgica-Marruecos</v>
      </c>
      <c r="I34" s="799"/>
      <c r="J34" s="821" t="str">
        <f>CONCATENATE(IF(MUNDIAL!K46&gt;MUNDIAL!L46,1,IF(MUNDIAL!K46&lt;MUNDIAL!L46,2,IF(AND(MUNDIAL!K46=MUNDIAL!L46,MUNDIAL!K46&lt;&gt;"",MUNDIAL!L46&lt;&gt;""),"X",0))),"|",MUNDIAL!K46,"-",MUNDIAL!L46)</f>
        <v>2|0-2</v>
      </c>
      <c r="K34" s="774"/>
      <c r="L34" s="774"/>
      <c r="M34" s="774"/>
      <c r="N34" s="954"/>
      <c r="O34" s="796">
        <f t="shared" si="4"/>
        <v>0</v>
      </c>
      <c r="P34" s="774"/>
      <c r="Q34" s="774"/>
      <c r="R34" s="774"/>
      <c r="S34" s="795"/>
      <c r="T34" s="796">
        <f t="shared" ref="T34" si="109">IFERROR(SUM(IF($J34=S34,$D$10),IF(LEFT($J34,1)=LEFT(S34,1),$D$8),IF(MID($J34,FIND("|",$J34)+1,FIND("-",$J34)-FIND("|",$J34)-1)-MID($J34,FIND("-",$J34)+1,11)=MID(S34,FIND("|",S34)+1,FIND("-",S34)-FIND("|",S34)-1)-MID(S34,FIND("-",S34)+1,11),$D$9)),)</f>
        <v>0</v>
      </c>
      <c r="U34" s="774"/>
      <c r="V34" s="774"/>
      <c r="W34" s="774"/>
      <c r="X34" s="795"/>
      <c r="Y34" s="796">
        <f t="shared" ref="Y34" si="110">IFERROR(SUM(IF($J34=X34,$D$10),IF(LEFT($J34,1)=LEFT(X34,1),$D$8),IF(MID($J34,FIND("|",$J34)+1,FIND("-",$J34)-FIND("|",$J34)-1)-MID($J34,FIND("-",$J34)+1,11)=MID(X34,FIND("|",X34)+1,FIND("-",X34)-FIND("|",X34)-1)-MID(X34,FIND("-",X34)+1,11),$D$9)),)</f>
        <v>0</v>
      </c>
      <c r="Z34" s="774"/>
      <c r="AA34" s="774"/>
      <c r="AB34" s="774"/>
      <c r="AC34" s="795"/>
      <c r="AD34" s="796">
        <f t="shared" ref="AD34" si="111">IFERROR(SUM(IF($J34=AC34,$D$10),IF(LEFT($J34,1)=LEFT(AC34,1),$D$8),IF(MID($J34,FIND("|",$J34)+1,FIND("-",$J34)-FIND("|",$J34)-1)-MID($J34,FIND("-",$J34)+1,11)=MID(AC34,FIND("|",AC34)+1,FIND("-",AC34)-FIND("|",AC34)-1)-MID(AC34,FIND("-",AC34)+1,11),$D$9)),)</f>
        <v>0</v>
      </c>
      <c r="AE34" s="774"/>
      <c r="AF34" s="774"/>
      <c r="AG34" s="774"/>
      <c r="AH34" s="954"/>
      <c r="AI34" s="796">
        <f t="shared" ref="AI34" si="112">IFERROR(SUM(IF($J34=AH34,$D$10),IF(LEFT($J34,1)=LEFT(AH34,1),$D$8),IF(MID($J34,FIND("|",$J34)+1,FIND("-",$J34)-FIND("|",$J34)-1)-MID($J34,FIND("-",$J34)+1,11)=MID(AH34,FIND("|",AH34)+1,FIND("-",AH34)-FIND("|",AH34)-1)-MID(AH34,FIND("-",AH34)+1,11),$D$9)),)</f>
        <v>0</v>
      </c>
      <c r="AJ34" s="774"/>
      <c r="AK34" s="774"/>
      <c r="AL34" s="774"/>
    </row>
    <row r="35" spans="1:38" ht="15" customHeight="1">
      <c r="A35" s="808"/>
      <c r="B35" s="808"/>
      <c r="C35" s="790" t="s">
        <v>34</v>
      </c>
      <c r="D35" s="791">
        <v>0</v>
      </c>
      <c r="E35" s="808"/>
      <c r="F35" s="894">
        <v>44892</v>
      </c>
      <c r="G35" s="833" t="s">
        <v>156</v>
      </c>
      <c r="H35" t="str">
        <f ca="1">CONCATENATE(MUNDIAL!I47,"-",MUNDIAL!N47)</f>
        <v>Croacia-Canadá</v>
      </c>
      <c r="I35" s="799"/>
      <c r="J35" s="821" t="str">
        <f>CONCATENATE(IF(MUNDIAL!K47&gt;MUNDIAL!L47,1,IF(MUNDIAL!K47&lt;MUNDIAL!L47,2,IF(AND(MUNDIAL!K47=MUNDIAL!L47,MUNDIAL!K47&lt;&gt;"",MUNDIAL!L47&lt;&gt;""),"X",0))),"|",MUNDIAL!K47,"-",MUNDIAL!L47)</f>
        <v>1|4-1</v>
      </c>
      <c r="K35" s="774"/>
      <c r="L35" s="774"/>
      <c r="M35" s="774"/>
      <c r="N35" s="954"/>
      <c r="O35" s="796">
        <f t="shared" si="4"/>
        <v>0</v>
      </c>
      <c r="P35" s="774"/>
      <c r="Q35" s="774"/>
      <c r="R35" s="774"/>
      <c r="S35" s="795"/>
      <c r="T35" s="796">
        <f t="shared" ref="T35" si="113">IFERROR(SUM(IF($J35=S35,$D$10),IF(LEFT($J35,1)=LEFT(S35,1),$D$8),IF(MID($J35,FIND("|",$J35)+1,FIND("-",$J35)-FIND("|",$J35)-1)-MID($J35,FIND("-",$J35)+1,11)=MID(S35,FIND("|",S35)+1,FIND("-",S35)-FIND("|",S35)-1)-MID(S35,FIND("-",S35)+1,11),$D$9)),)</f>
        <v>0</v>
      </c>
      <c r="U35" s="774"/>
      <c r="V35" s="774"/>
      <c r="W35" s="774"/>
      <c r="X35" s="795"/>
      <c r="Y35" s="796">
        <f t="shared" ref="Y35" si="114">IFERROR(SUM(IF($J35=X35,$D$10),IF(LEFT($J35,1)=LEFT(X35,1),$D$8),IF(MID($J35,FIND("|",$J35)+1,FIND("-",$J35)-FIND("|",$J35)-1)-MID($J35,FIND("-",$J35)+1,11)=MID(X35,FIND("|",X35)+1,FIND("-",X35)-FIND("|",X35)-1)-MID(X35,FIND("-",X35)+1,11),$D$9)),)</f>
        <v>0</v>
      </c>
      <c r="Z35" s="774"/>
      <c r="AA35" s="774"/>
      <c r="AB35" s="774"/>
      <c r="AC35" s="795"/>
      <c r="AD35" s="796">
        <f t="shared" ref="AD35" si="115">IFERROR(SUM(IF($J35=AC35,$D$10),IF(LEFT($J35,1)=LEFT(AC35,1),$D$8),IF(MID($J35,FIND("|",$J35)+1,FIND("-",$J35)-FIND("|",$J35)-1)-MID($J35,FIND("-",$J35)+1,11)=MID(AC35,FIND("|",AC35)+1,FIND("-",AC35)-FIND("|",AC35)-1)-MID(AC35,FIND("-",AC35)+1,11),$D$9)),)</f>
        <v>0</v>
      </c>
      <c r="AE35" s="774"/>
      <c r="AF35" s="774"/>
      <c r="AG35" s="774"/>
      <c r="AH35" s="954"/>
      <c r="AI35" s="796">
        <f t="shared" ref="AI35" si="116">IFERROR(SUM(IF($J35=AH35,$D$10),IF(LEFT($J35,1)=LEFT(AH35,1),$D$8),IF(MID($J35,FIND("|",$J35)+1,FIND("-",$J35)-FIND("|",$J35)-1)-MID($J35,FIND("-",$J35)+1,11)=MID(AH35,FIND("|",AH35)+1,FIND("-",AH35)-FIND("|",AH35)-1)-MID(AH35,FIND("-",AH35)+1,11),$D$9)),)</f>
        <v>0</v>
      </c>
      <c r="AJ35" s="774"/>
      <c r="AK35" s="774"/>
      <c r="AL35" s="774"/>
    </row>
    <row r="36" spans="1:38" ht="15" customHeight="1">
      <c r="A36" s="808"/>
      <c r="B36" s="808"/>
      <c r="C36" s="790" t="s">
        <v>35</v>
      </c>
      <c r="D36" s="791">
        <v>0</v>
      </c>
      <c r="E36" s="773"/>
      <c r="F36" s="894">
        <v>44893</v>
      </c>
      <c r="G36" s="806" t="s">
        <v>185</v>
      </c>
      <c r="H36" t="str">
        <f ca="1">CONCATENATE(MUNDIAL!I54,"-",MUNDIAL!N54)</f>
        <v>Camerún-Serbia</v>
      </c>
      <c r="I36" s="799"/>
      <c r="J36" s="821" t="str">
        <f>CONCATENATE(IF(MUNDIAL!K54&gt;MUNDIAL!L54,1,IF(MUNDIAL!K54&lt;MUNDIAL!L54,2,IF(AND(MUNDIAL!K54=MUNDIAL!L54,MUNDIAL!K54&lt;&gt;"",MUNDIAL!L54&lt;&gt;""),"X",0))),"|",MUNDIAL!K54,"-",MUNDIAL!L54)</f>
        <v>X|3-3</v>
      </c>
      <c r="K36" s="774"/>
      <c r="L36" s="774"/>
      <c r="M36" s="774"/>
      <c r="N36" s="954"/>
      <c r="O36" s="796">
        <f t="shared" si="4"/>
        <v>0</v>
      </c>
      <c r="P36" s="774"/>
      <c r="Q36" s="774"/>
      <c r="R36" s="774"/>
      <c r="S36" s="795"/>
      <c r="T36" s="796">
        <f t="shared" ref="T36" si="117">IFERROR(SUM(IF($J36=S36,$D$10),IF(LEFT($J36,1)=LEFT(S36,1),$D$8),IF(MID($J36,FIND("|",$J36)+1,FIND("-",$J36)-FIND("|",$J36)-1)-MID($J36,FIND("-",$J36)+1,11)=MID(S36,FIND("|",S36)+1,FIND("-",S36)-FIND("|",S36)-1)-MID(S36,FIND("-",S36)+1,11),$D$9)),)</f>
        <v>0</v>
      </c>
      <c r="U36" s="774"/>
      <c r="V36" s="774"/>
      <c r="W36" s="774"/>
      <c r="X36" s="795"/>
      <c r="Y36" s="796">
        <f t="shared" ref="Y36" si="118">IFERROR(SUM(IF($J36=X36,$D$10),IF(LEFT($J36,1)=LEFT(X36,1),$D$8),IF(MID($J36,FIND("|",$J36)+1,FIND("-",$J36)-FIND("|",$J36)-1)-MID($J36,FIND("-",$J36)+1,11)=MID(X36,FIND("|",X36)+1,FIND("-",X36)-FIND("|",X36)-1)-MID(X36,FIND("-",X36)+1,11),$D$9)),)</f>
        <v>0</v>
      </c>
      <c r="Z36" s="774"/>
      <c r="AA36" s="774"/>
      <c r="AB36" s="774"/>
      <c r="AC36" s="795"/>
      <c r="AD36" s="796">
        <f t="shared" ref="AD36" si="119">IFERROR(SUM(IF($J36=AC36,$D$10),IF(LEFT($J36,1)=LEFT(AC36,1),$D$8),IF(MID($J36,FIND("|",$J36)+1,FIND("-",$J36)-FIND("|",$J36)-1)-MID($J36,FIND("-",$J36)+1,11)=MID(AC36,FIND("|",AC36)+1,FIND("-",AC36)-FIND("|",AC36)-1)-MID(AC36,FIND("-",AC36)+1,11),$D$9)),)</f>
        <v>0</v>
      </c>
      <c r="AE36" s="774"/>
      <c r="AF36" s="774"/>
      <c r="AG36" s="774"/>
      <c r="AH36" s="954"/>
      <c r="AI36" s="796">
        <f t="shared" ref="AI36" si="120">IFERROR(SUM(IF($J36=AH36,$D$10),IF(LEFT($J36,1)=LEFT(AH36,1),$D$8),IF(MID($J36,FIND("|",$J36)+1,FIND("-",$J36)-FIND("|",$J36)-1)-MID($J36,FIND("-",$J36)+1,11)=MID(AH36,FIND("|",AH36)+1,FIND("-",AH36)-FIND("|",AH36)-1)-MID(AH36,FIND("-",AH36)+1,11),$D$9)),)</f>
        <v>0</v>
      </c>
      <c r="AJ36" s="774"/>
      <c r="AK36" s="774"/>
      <c r="AL36" s="774"/>
    </row>
    <row r="37" spans="1:38" ht="15" customHeight="1">
      <c r="A37" s="808"/>
      <c r="B37" s="808"/>
      <c r="C37" s="790" t="s">
        <v>175</v>
      </c>
      <c r="D37" s="791">
        <v>0</v>
      </c>
      <c r="E37" s="773"/>
      <c r="F37" s="894">
        <v>44893</v>
      </c>
      <c r="G37" s="806" t="s">
        <v>185</v>
      </c>
      <c r="H37" t="str">
        <f ca="1">CONCATENATE(MUNDIAL!I55,"-",MUNDIAL!N55)</f>
        <v>Brasil-Suiza</v>
      </c>
      <c r="I37" s="799"/>
      <c r="J37" s="821" t="str">
        <f>CONCATENATE(IF(MUNDIAL!K55&gt;MUNDIAL!L55,1,IF(MUNDIAL!K55&lt;MUNDIAL!L55,2,IF(AND(MUNDIAL!K55=MUNDIAL!L55,MUNDIAL!K55&lt;&gt;"",MUNDIAL!L55&lt;&gt;""),"X",0))),"|",MUNDIAL!K55,"-",MUNDIAL!L55)</f>
        <v>1|1-0</v>
      </c>
      <c r="K37" s="774"/>
      <c r="L37" s="774"/>
      <c r="M37" s="774"/>
      <c r="N37" s="954"/>
      <c r="O37" s="796">
        <f t="shared" si="4"/>
        <v>0</v>
      </c>
      <c r="P37" s="774"/>
      <c r="Q37" s="774"/>
      <c r="R37" s="774"/>
      <c r="S37" s="795"/>
      <c r="T37" s="796">
        <f t="shared" ref="T37" si="121">IFERROR(SUM(IF($J37=S37,$D$10),IF(LEFT($J37,1)=LEFT(S37,1),$D$8),IF(MID($J37,FIND("|",$J37)+1,FIND("-",$J37)-FIND("|",$J37)-1)-MID($J37,FIND("-",$J37)+1,11)=MID(S37,FIND("|",S37)+1,FIND("-",S37)-FIND("|",S37)-1)-MID(S37,FIND("-",S37)+1,11),$D$9)),)</f>
        <v>0</v>
      </c>
      <c r="U37" s="774"/>
      <c r="V37" s="774"/>
      <c r="W37" s="774"/>
      <c r="X37" s="795"/>
      <c r="Y37" s="796">
        <f t="shared" ref="Y37" si="122">IFERROR(SUM(IF($J37=X37,$D$10),IF(LEFT($J37,1)=LEFT(X37,1),$D$8),IF(MID($J37,FIND("|",$J37)+1,FIND("-",$J37)-FIND("|",$J37)-1)-MID($J37,FIND("-",$J37)+1,11)=MID(X37,FIND("|",X37)+1,FIND("-",X37)-FIND("|",X37)-1)-MID(X37,FIND("-",X37)+1,11),$D$9)),)</f>
        <v>0</v>
      </c>
      <c r="Z37" s="774"/>
      <c r="AA37" s="774"/>
      <c r="AB37" s="774"/>
      <c r="AC37" s="795"/>
      <c r="AD37" s="796">
        <f t="shared" ref="AD37" si="123">IFERROR(SUM(IF($J37=AC37,$D$10),IF(LEFT($J37,1)=LEFT(AC37,1),$D$8),IF(MID($J37,FIND("|",$J37)+1,FIND("-",$J37)-FIND("|",$J37)-1)-MID($J37,FIND("-",$J37)+1,11)=MID(AC37,FIND("|",AC37)+1,FIND("-",AC37)-FIND("|",AC37)-1)-MID(AC37,FIND("-",AC37)+1,11),$D$9)),)</f>
        <v>0</v>
      </c>
      <c r="AE37" s="774"/>
      <c r="AF37" s="774"/>
      <c r="AG37" s="774"/>
      <c r="AH37" s="954"/>
      <c r="AI37" s="796">
        <f t="shared" ref="AI37" si="124">IFERROR(SUM(IF($J37=AH37,$D$10),IF(LEFT($J37,1)=LEFT(AH37,1),$D$8),IF(MID($J37,FIND("|",$J37)+1,FIND("-",$J37)-FIND("|",$J37)-1)-MID($J37,FIND("-",$J37)+1,11)=MID(AH37,FIND("|",AH37)+1,FIND("-",AH37)-FIND("|",AH37)-1)-MID(AH37,FIND("-",AH37)+1,11),$D$9)),)</f>
        <v>0</v>
      </c>
      <c r="AJ37" s="774"/>
      <c r="AK37" s="774"/>
      <c r="AL37" s="774"/>
    </row>
    <row r="38" spans="1:38" ht="15" customHeight="1">
      <c r="A38" s="808"/>
      <c r="B38" s="808"/>
      <c r="C38" s="790" t="s">
        <v>325</v>
      </c>
      <c r="D38" s="791">
        <v>0</v>
      </c>
      <c r="E38" s="773"/>
      <c r="F38" s="894">
        <v>44893</v>
      </c>
      <c r="G38" s="834" t="s">
        <v>186</v>
      </c>
      <c r="H38" t="str">
        <f ca="1">CONCATENATE(MUNDIAL!I62,"-",MUNDIAL!N62)</f>
        <v>Corea del Sur-Ghana</v>
      </c>
      <c r="I38" s="799"/>
      <c r="J38" s="821" t="str">
        <f>CONCATENATE(IF(MUNDIAL!K62&gt;MUNDIAL!L62,1,IF(MUNDIAL!K62&lt;MUNDIAL!L62,2,IF(AND(MUNDIAL!K62=MUNDIAL!L62,MUNDIAL!K62&lt;&gt;"",MUNDIAL!L62&lt;&gt;""),"X",0))),"|",MUNDIAL!K62,"-",MUNDIAL!L62)</f>
        <v>2|2-3</v>
      </c>
      <c r="K38" s="774"/>
      <c r="L38" s="774"/>
      <c r="M38" s="774"/>
      <c r="N38" s="954"/>
      <c r="O38" s="796">
        <f t="shared" si="4"/>
        <v>0</v>
      </c>
      <c r="P38" s="774"/>
      <c r="Q38" s="774"/>
      <c r="R38" s="774"/>
      <c r="S38" s="795"/>
      <c r="T38" s="796">
        <f t="shared" ref="T38" si="125">IFERROR(SUM(IF($J38=S38,$D$10),IF(LEFT($J38,1)=LEFT(S38,1),$D$8),IF(MID($J38,FIND("|",$J38)+1,FIND("-",$J38)-FIND("|",$J38)-1)-MID($J38,FIND("-",$J38)+1,11)=MID(S38,FIND("|",S38)+1,FIND("-",S38)-FIND("|",S38)-1)-MID(S38,FIND("-",S38)+1,11),$D$9)),)</f>
        <v>0</v>
      </c>
      <c r="U38" s="774"/>
      <c r="V38" s="774"/>
      <c r="W38" s="774"/>
      <c r="X38" s="795"/>
      <c r="Y38" s="796">
        <f t="shared" ref="Y38" si="126">IFERROR(SUM(IF($J38=X38,$D$10),IF(LEFT($J38,1)=LEFT(X38,1),$D$8),IF(MID($J38,FIND("|",$J38)+1,FIND("-",$J38)-FIND("|",$J38)-1)-MID($J38,FIND("-",$J38)+1,11)=MID(X38,FIND("|",X38)+1,FIND("-",X38)-FIND("|",X38)-1)-MID(X38,FIND("-",X38)+1,11),$D$9)),)</f>
        <v>0</v>
      </c>
      <c r="Z38" s="774"/>
      <c r="AA38" s="774"/>
      <c r="AB38" s="774"/>
      <c r="AC38" s="795"/>
      <c r="AD38" s="796">
        <f t="shared" ref="AD38" si="127">IFERROR(SUM(IF($J38=AC38,$D$10),IF(LEFT($J38,1)=LEFT(AC38,1),$D$8),IF(MID($J38,FIND("|",$J38)+1,FIND("-",$J38)-FIND("|",$J38)-1)-MID($J38,FIND("-",$J38)+1,11)=MID(AC38,FIND("|",AC38)+1,FIND("-",AC38)-FIND("|",AC38)-1)-MID(AC38,FIND("-",AC38)+1,11),$D$9)),)</f>
        <v>0</v>
      </c>
      <c r="AE38" s="774"/>
      <c r="AF38" s="774"/>
      <c r="AG38" s="774"/>
      <c r="AH38" s="954"/>
      <c r="AI38" s="796">
        <f t="shared" ref="AI38" si="128">IFERROR(SUM(IF($J38=AH38,$D$10),IF(LEFT($J38,1)=LEFT(AH38,1),$D$8),IF(MID($J38,FIND("|",$J38)+1,FIND("-",$J38)-FIND("|",$J38)-1)-MID($J38,FIND("-",$J38)+1,11)=MID(AH38,FIND("|",AH38)+1,FIND("-",AH38)-FIND("|",AH38)-1)-MID(AH38,FIND("-",AH38)+1,11),$D$9)),)</f>
        <v>0</v>
      </c>
      <c r="AJ38" s="774"/>
      <c r="AK38" s="774"/>
      <c r="AL38" s="774"/>
    </row>
    <row r="39" spans="1:38" ht="15" customHeight="1">
      <c r="A39" s="808"/>
      <c r="B39" s="808"/>
      <c r="C39" s="790" t="s">
        <v>326</v>
      </c>
      <c r="D39" s="791">
        <v>0</v>
      </c>
      <c r="E39" s="773"/>
      <c r="F39" s="894">
        <v>44893</v>
      </c>
      <c r="G39" s="834" t="s">
        <v>186</v>
      </c>
      <c r="H39" t="str">
        <f ca="1">CONCATENATE(MUNDIAL!I63,"-",MUNDIAL!N63)</f>
        <v>Portugal-Uruguay</v>
      </c>
      <c r="I39" s="799"/>
      <c r="J39" s="821" t="str">
        <f>CONCATENATE(IF(MUNDIAL!K63&gt;MUNDIAL!L63,1,IF(MUNDIAL!K63&lt;MUNDIAL!L63,2,IF(AND(MUNDIAL!K63=MUNDIAL!L63,MUNDIAL!K63&lt;&gt;"",MUNDIAL!L63&lt;&gt;""),"X",0))),"|",MUNDIAL!K63,"-",MUNDIAL!L63)</f>
        <v>1|2-0</v>
      </c>
      <c r="K39" s="774"/>
      <c r="L39" s="774"/>
      <c r="M39" s="774"/>
      <c r="N39" s="954"/>
      <c r="O39" s="796">
        <f t="shared" si="4"/>
        <v>0</v>
      </c>
      <c r="P39" s="774"/>
      <c r="Q39" s="774"/>
      <c r="R39" s="774"/>
      <c r="S39" s="795"/>
      <c r="T39" s="796">
        <f t="shared" ref="T39" si="129">IFERROR(SUM(IF($J39=S39,$D$10),IF(LEFT($J39,1)=LEFT(S39,1),$D$8),IF(MID($J39,FIND("|",$J39)+1,FIND("-",$J39)-FIND("|",$J39)-1)-MID($J39,FIND("-",$J39)+1,11)=MID(S39,FIND("|",S39)+1,FIND("-",S39)-FIND("|",S39)-1)-MID(S39,FIND("-",S39)+1,11),$D$9)),)</f>
        <v>0</v>
      </c>
      <c r="U39" s="774"/>
      <c r="V39" s="774"/>
      <c r="W39" s="774"/>
      <c r="X39" s="795"/>
      <c r="Y39" s="796">
        <f t="shared" ref="Y39" si="130">IFERROR(SUM(IF($J39=X39,$D$10),IF(LEFT($J39,1)=LEFT(X39,1),$D$8),IF(MID($J39,FIND("|",$J39)+1,FIND("-",$J39)-FIND("|",$J39)-1)-MID($J39,FIND("-",$J39)+1,11)=MID(X39,FIND("|",X39)+1,FIND("-",X39)-FIND("|",X39)-1)-MID(X39,FIND("-",X39)+1,11),$D$9)),)</f>
        <v>0</v>
      </c>
      <c r="Z39" s="774"/>
      <c r="AA39" s="774"/>
      <c r="AB39" s="774"/>
      <c r="AC39" s="795"/>
      <c r="AD39" s="796">
        <f t="shared" ref="AD39" si="131">IFERROR(SUM(IF($J39=AC39,$D$10),IF(LEFT($J39,1)=LEFT(AC39,1),$D$8),IF(MID($J39,FIND("|",$J39)+1,FIND("-",$J39)-FIND("|",$J39)-1)-MID($J39,FIND("-",$J39)+1,11)=MID(AC39,FIND("|",AC39)+1,FIND("-",AC39)-FIND("|",AC39)-1)-MID(AC39,FIND("-",AC39)+1,11),$D$9)),)</f>
        <v>0</v>
      </c>
      <c r="AE39" s="774"/>
      <c r="AF39" s="774"/>
      <c r="AG39" s="774"/>
      <c r="AH39" s="954"/>
      <c r="AI39" s="796">
        <f t="shared" ref="AI39" si="132">IFERROR(SUM(IF($J39=AH39,$D$10),IF(LEFT($J39,1)=LEFT(AH39,1),$D$8),IF(MID($J39,FIND("|",$J39)+1,FIND("-",$J39)-FIND("|",$J39)-1)-MID($J39,FIND("-",$J39)+1,11)=MID(AH39,FIND("|",AH39)+1,FIND("-",AH39)-FIND("|",AH39)-1)-MID(AH39,FIND("-",AH39)+1,11),$D$9)),)</f>
        <v>0</v>
      </c>
      <c r="AJ39" s="774"/>
      <c r="AK39" s="774"/>
      <c r="AL39" s="774"/>
    </row>
    <row r="40" spans="1:38" ht="15" customHeight="1">
      <c r="A40" s="810"/>
      <c r="B40" s="811"/>
      <c r="C40" s="790" t="s">
        <v>327</v>
      </c>
      <c r="D40" s="791">
        <v>0</v>
      </c>
      <c r="E40" s="781"/>
      <c r="F40" s="894">
        <v>44894</v>
      </c>
      <c r="G40" s="798" t="s">
        <v>157</v>
      </c>
      <c r="H40" t="str">
        <f ca="1">CONCATENATE(MUNDIAL!I8,"-",MUNDIAL!N8)</f>
        <v>Ecuador-Senegal</v>
      </c>
      <c r="I40" s="799"/>
      <c r="J40" s="821" t="str">
        <f>CONCATENATE(IF(MUNDIAL!K8&gt;MUNDIAL!L8,1,IF(MUNDIAL!K8&lt;MUNDIAL!L8,2,IF(AND(MUNDIAL!K8=MUNDIAL!L8,MUNDIAL!K8&lt;&gt;"",MUNDIAL!L8&lt;&gt;""),"X",0))),"|",MUNDIAL!K8,"-",MUNDIAL!L8)</f>
        <v>2|1-2</v>
      </c>
      <c r="K40" s="812"/>
      <c r="L40" s="812"/>
      <c r="M40" s="812"/>
      <c r="N40" s="954" t="s">
        <v>300</v>
      </c>
      <c r="O40" s="796">
        <f t="shared" si="4"/>
        <v>0</v>
      </c>
      <c r="P40" s="812"/>
      <c r="Q40" s="812"/>
      <c r="R40" s="812"/>
      <c r="S40" s="795" t="s">
        <v>300</v>
      </c>
      <c r="T40" s="796">
        <f t="shared" ref="T40" si="133">IFERROR(SUM(IF($J40=S40,$D$10),IF(LEFT($J40,1)=LEFT(S40,1),$D$8),IF(MID($J40,FIND("|",$J40)+1,FIND("-",$J40)-FIND("|",$J40)-1)-MID($J40,FIND("-",$J40)+1,11)=MID(S40,FIND("|",S40)+1,FIND("-",S40)-FIND("|",S40)-1)-MID(S40,FIND("-",S40)+1,11),$D$9)),)</f>
        <v>0</v>
      </c>
      <c r="U40" s="812"/>
      <c r="V40" s="812"/>
      <c r="W40" s="812"/>
      <c r="X40" s="795" t="s">
        <v>300</v>
      </c>
      <c r="Y40" s="796">
        <f t="shared" ref="Y40" si="134">IFERROR(SUM(IF($J40=X40,$D$10),IF(LEFT($J40,1)=LEFT(X40,1),$D$8),IF(MID($J40,FIND("|",$J40)+1,FIND("-",$J40)-FIND("|",$J40)-1)-MID($J40,FIND("-",$J40)+1,11)=MID(X40,FIND("|",X40)+1,FIND("-",X40)-FIND("|",X40)-1)-MID(X40,FIND("-",X40)+1,11),$D$9)),)</f>
        <v>0</v>
      </c>
      <c r="Z40" s="812"/>
      <c r="AA40" s="812"/>
      <c r="AB40" s="812"/>
      <c r="AC40" s="795" t="s">
        <v>300</v>
      </c>
      <c r="AD40" s="796">
        <f t="shared" ref="AD40" si="135">IFERROR(SUM(IF($J40=AC40,$D$10),IF(LEFT($J40,1)=LEFT(AC40,1),$D$8),IF(MID($J40,FIND("|",$J40)+1,FIND("-",$J40)-FIND("|",$J40)-1)-MID($J40,FIND("-",$J40)+1,11)=MID(AC40,FIND("|",AC40)+1,FIND("-",AC40)-FIND("|",AC40)-1)-MID(AC40,FIND("-",AC40)+1,11),$D$9)),)</f>
        <v>0</v>
      </c>
      <c r="AE40" s="812"/>
      <c r="AF40" s="812"/>
      <c r="AG40" s="812"/>
      <c r="AH40" s="954" t="s">
        <v>300</v>
      </c>
      <c r="AI40" s="796">
        <f t="shared" ref="AI40" si="136">IFERROR(SUM(IF($J40=AH40,$D$10),IF(LEFT($J40,1)=LEFT(AH40,1),$D$8),IF(MID($J40,FIND("|",$J40)+1,FIND("-",$J40)-FIND("|",$J40)-1)-MID($J40,FIND("-",$J40)+1,11)=MID(AH40,FIND("|",AH40)+1,FIND("-",AH40)-FIND("|",AH40)-1)-MID(AH40,FIND("-",AH40)+1,11),$D$9)),)</f>
        <v>0</v>
      </c>
      <c r="AJ40" s="812"/>
      <c r="AK40" s="812"/>
      <c r="AL40" s="812"/>
    </row>
    <row r="41" spans="1:38" ht="15" customHeight="1">
      <c r="A41" s="808"/>
      <c r="B41" s="813"/>
      <c r="C41" s="790" t="s">
        <v>328</v>
      </c>
      <c r="D41" s="791">
        <v>0</v>
      </c>
      <c r="E41" s="808"/>
      <c r="F41" s="894">
        <v>44894</v>
      </c>
      <c r="G41" s="798" t="s">
        <v>157</v>
      </c>
      <c r="H41" t="str">
        <f ca="1">CONCATENATE(MUNDIAL!I9,"-",MUNDIAL!N9)</f>
        <v>Paises Bajos-Catar</v>
      </c>
      <c r="I41" s="799"/>
      <c r="J41" s="821" t="str">
        <f>CONCATENATE(IF(MUNDIAL!K9&gt;MUNDIAL!L9,1,IF(MUNDIAL!K9&lt;MUNDIAL!L9,2,IF(AND(MUNDIAL!K9=MUNDIAL!L9,MUNDIAL!K9&lt;&gt;"",MUNDIAL!L9&lt;&gt;""),"X",0))),"|",MUNDIAL!K9,"-",MUNDIAL!L9)</f>
        <v>1|2-0</v>
      </c>
      <c r="K41" s="774"/>
      <c r="L41" s="774"/>
      <c r="M41" s="774"/>
      <c r="N41" s="954"/>
      <c r="O41" s="796">
        <f t="shared" si="4"/>
        <v>0</v>
      </c>
      <c r="P41" s="774"/>
      <c r="Q41" s="774"/>
      <c r="R41" s="774"/>
      <c r="S41" s="795"/>
      <c r="T41" s="796">
        <f t="shared" ref="T41" si="137">IFERROR(SUM(IF($J41=S41,$D$10),IF(LEFT($J41,1)=LEFT(S41,1),$D$8),IF(MID($J41,FIND("|",$J41)+1,FIND("-",$J41)-FIND("|",$J41)-1)-MID($J41,FIND("-",$J41)+1,11)=MID(S41,FIND("|",S41)+1,FIND("-",S41)-FIND("|",S41)-1)-MID(S41,FIND("-",S41)+1,11),$D$9)),)</f>
        <v>0</v>
      </c>
      <c r="U41" s="774"/>
      <c r="V41" s="774"/>
      <c r="W41" s="774"/>
      <c r="X41" s="795"/>
      <c r="Y41" s="796">
        <f t="shared" ref="Y41" si="138">IFERROR(SUM(IF($J41=X41,$D$10),IF(LEFT($J41,1)=LEFT(X41,1),$D$8),IF(MID($J41,FIND("|",$J41)+1,FIND("-",$J41)-FIND("|",$J41)-1)-MID($J41,FIND("-",$J41)+1,11)=MID(X41,FIND("|",X41)+1,FIND("-",X41)-FIND("|",X41)-1)-MID(X41,FIND("-",X41)+1,11),$D$9)),)</f>
        <v>0</v>
      </c>
      <c r="Z41" s="774"/>
      <c r="AA41" s="774"/>
      <c r="AB41" s="774"/>
      <c r="AC41" s="795"/>
      <c r="AD41" s="796">
        <f t="shared" ref="AD41" si="139">IFERROR(SUM(IF($J41=AC41,$D$10),IF(LEFT($J41,1)=LEFT(AC41,1),$D$8),IF(MID($J41,FIND("|",$J41)+1,FIND("-",$J41)-FIND("|",$J41)-1)-MID($J41,FIND("-",$J41)+1,11)=MID(AC41,FIND("|",AC41)+1,FIND("-",AC41)-FIND("|",AC41)-1)-MID(AC41,FIND("-",AC41)+1,11),$D$9)),)</f>
        <v>0</v>
      </c>
      <c r="AE41" s="774"/>
      <c r="AF41" s="774"/>
      <c r="AG41" s="774"/>
      <c r="AH41" s="954"/>
      <c r="AI41" s="796">
        <f t="shared" ref="AI41" si="140">IFERROR(SUM(IF($J41=AH41,$D$10),IF(LEFT($J41,1)=LEFT(AH41,1),$D$8),IF(MID($J41,FIND("|",$J41)+1,FIND("-",$J41)-FIND("|",$J41)-1)-MID($J41,FIND("-",$J41)+1,11)=MID(AH41,FIND("|",AH41)+1,FIND("-",AH41)-FIND("|",AH41)-1)-MID(AH41,FIND("-",AH41)+1,11),$D$9)),)</f>
        <v>0</v>
      </c>
      <c r="AJ41" s="774"/>
      <c r="AK41" s="774"/>
      <c r="AL41" s="774"/>
    </row>
    <row r="42" spans="1:38" ht="15" customHeight="1">
      <c r="A42" s="808"/>
      <c r="B42" s="813"/>
      <c r="C42" s="790" t="s">
        <v>329</v>
      </c>
      <c r="D42" s="791">
        <v>0</v>
      </c>
      <c r="E42" s="808"/>
      <c r="F42" s="894">
        <v>44894</v>
      </c>
      <c r="G42" s="800" t="s">
        <v>158</v>
      </c>
      <c r="H42" t="str">
        <f ca="1">CONCATENATE(MUNDIAL!I16,"-",MUNDIAL!N16)</f>
        <v>Gales-Inglaterra</v>
      </c>
      <c r="I42" s="799"/>
      <c r="J42" s="821" t="str">
        <f>CONCATENATE(IF(MUNDIAL!K16&gt;MUNDIAL!L16,1,IF(MUNDIAL!K16&lt;MUNDIAL!L16,2,IF(AND(MUNDIAL!K16=MUNDIAL!L16,MUNDIAL!K16&lt;&gt;"",MUNDIAL!L16&lt;&gt;""),"X",0))),"|",MUNDIAL!K16,"-",MUNDIAL!L16)</f>
        <v>2|0-3</v>
      </c>
      <c r="K42" s="774"/>
      <c r="L42" s="774"/>
      <c r="M42" s="774"/>
      <c r="N42" s="954"/>
      <c r="O42" s="796">
        <f t="shared" si="4"/>
        <v>0</v>
      </c>
      <c r="P42" s="774"/>
      <c r="Q42" s="774"/>
      <c r="R42" s="774"/>
      <c r="S42" s="795"/>
      <c r="T42" s="796">
        <f t="shared" ref="T42" si="141">IFERROR(SUM(IF($J42=S42,$D$10),IF(LEFT($J42,1)=LEFT(S42,1),$D$8),IF(MID($J42,FIND("|",$J42)+1,FIND("-",$J42)-FIND("|",$J42)-1)-MID($J42,FIND("-",$J42)+1,11)=MID(S42,FIND("|",S42)+1,FIND("-",S42)-FIND("|",S42)-1)-MID(S42,FIND("-",S42)+1,11),$D$9)),)</f>
        <v>0</v>
      </c>
      <c r="U42" s="774"/>
      <c r="V42" s="774"/>
      <c r="W42" s="774"/>
      <c r="X42" s="795"/>
      <c r="Y42" s="796">
        <f t="shared" ref="Y42" si="142">IFERROR(SUM(IF($J42=X42,$D$10),IF(LEFT($J42,1)=LEFT(X42,1),$D$8),IF(MID($J42,FIND("|",$J42)+1,FIND("-",$J42)-FIND("|",$J42)-1)-MID($J42,FIND("-",$J42)+1,11)=MID(X42,FIND("|",X42)+1,FIND("-",X42)-FIND("|",X42)-1)-MID(X42,FIND("-",X42)+1,11),$D$9)),)</f>
        <v>0</v>
      </c>
      <c r="Z42" s="774"/>
      <c r="AA42" s="774"/>
      <c r="AB42" s="774"/>
      <c r="AC42" s="795"/>
      <c r="AD42" s="796">
        <f t="shared" ref="AD42" si="143">IFERROR(SUM(IF($J42=AC42,$D$10),IF(LEFT($J42,1)=LEFT(AC42,1),$D$8),IF(MID($J42,FIND("|",$J42)+1,FIND("-",$J42)-FIND("|",$J42)-1)-MID($J42,FIND("-",$J42)+1,11)=MID(AC42,FIND("|",AC42)+1,FIND("-",AC42)-FIND("|",AC42)-1)-MID(AC42,FIND("-",AC42)+1,11),$D$9)),)</f>
        <v>0</v>
      </c>
      <c r="AE42" s="774"/>
      <c r="AF42" s="774"/>
      <c r="AG42" s="774"/>
      <c r="AH42" s="954"/>
      <c r="AI42" s="796">
        <f t="shared" ref="AI42" si="144">IFERROR(SUM(IF($J42=AH42,$D$10),IF(LEFT($J42,1)=LEFT(AH42,1),$D$8),IF(MID($J42,FIND("|",$J42)+1,FIND("-",$J42)-FIND("|",$J42)-1)-MID($J42,FIND("-",$J42)+1,11)=MID(AH42,FIND("|",AH42)+1,FIND("-",AH42)-FIND("|",AH42)-1)-MID(AH42,FIND("-",AH42)+1,11),$D$9)),)</f>
        <v>0</v>
      </c>
      <c r="AJ42" s="774"/>
      <c r="AK42" s="774"/>
      <c r="AL42" s="774"/>
    </row>
    <row r="43" spans="1:38" ht="15" customHeight="1">
      <c r="A43" s="808"/>
      <c r="B43" s="813"/>
      <c r="C43" s="790" t="s">
        <v>330</v>
      </c>
      <c r="D43" s="791">
        <v>0</v>
      </c>
      <c r="E43" s="808"/>
      <c r="F43" s="894">
        <v>44894</v>
      </c>
      <c r="G43" s="800" t="s">
        <v>158</v>
      </c>
      <c r="H43" t="str">
        <f ca="1">CONCATENATE(MUNDIAL!I17,"-",MUNDIAL!N17)</f>
        <v>Irán-Estados unidos</v>
      </c>
      <c r="I43" s="799"/>
      <c r="J43" s="821" t="str">
        <f>CONCATENATE(IF(MUNDIAL!K17&gt;MUNDIAL!L17,1,IF(MUNDIAL!K17&lt;MUNDIAL!L17,2,IF(AND(MUNDIAL!K17=MUNDIAL!L17,MUNDIAL!K17&lt;&gt;"",MUNDIAL!L17&lt;&gt;""),"X",0))),"|",MUNDIAL!K17,"-",MUNDIAL!L17)</f>
        <v>2|0-1</v>
      </c>
      <c r="K43" s="774"/>
      <c r="L43" s="774"/>
      <c r="M43" s="774"/>
      <c r="N43" s="954"/>
      <c r="O43" s="796">
        <f t="shared" si="4"/>
        <v>0</v>
      </c>
      <c r="P43" s="774"/>
      <c r="Q43" s="774"/>
      <c r="R43" s="774"/>
      <c r="S43" s="795"/>
      <c r="T43" s="796">
        <f t="shared" ref="T43" si="145">IFERROR(SUM(IF($J43=S43,$D$10),IF(LEFT($J43,1)=LEFT(S43,1),$D$8),IF(MID($J43,FIND("|",$J43)+1,FIND("-",$J43)-FIND("|",$J43)-1)-MID($J43,FIND("-",$J43)+1,11)=MID(S43,FIND("|",S43)+1,FIND("-",S43)-FIND("|",S43)-1)-MID(S43,FIND("-",S43)+1,11),$D$9)),)</f>
        <v>0</v>
      </c>
      <c r="U43" s="774"/>
      <c r="V43" s="774"/>
      <c r="W43" s="774"/>
      <c r="X43" s="795"/>
      <c r="Y43" s="796">
        <f t="shared" ref="Y43" si="146">IFERROR(SUM(IF($J43=X43,$D$10),IF(LEFT($J43,1)=LEFT(X43,1),$D$8),IF(MID($J43,FIND("|",$J43)+1,FIND("-",$J43)-FIND("|",$J43)-1)-MID($J43,FIND("-",$J43)+1,11)=MID(X43,FIND("|",X43)+1,FIND("-",X43)-FIND("|",X43)-1)-MID(X43,FIND("-",X43)+1,11),$D$9)),)</f>
        <v>0</v>
      </c>
      <c r="Z43" s="774"/>
      <c r="AA43" s="774"/>
      <c r="AB43" s="774"/>
      <c r="AC43" s="795"/>
      <c r="AD43" s="796">
        <f t="shared" ref="AD43" si="147">IFERROR(SUM(IF($J43=AC43,$D$10),IF(LEFT($J43,1)=LEFT(AC43,1),$D$8),IF(MID($J43,FIND("|",$J43)+1,FIND("-",$J43)-FIND("|",$J43)-1)-MID($J43,FIND("-",$J43)+1,11)=MID(AC43,FIND("|",AC43)+1,FIND("-",AC43)-FIND("|",AC43)-1)-MID(AC43,FIND("-",AC43)+1,11),$D$9)),)</f>
        <v>0</v>
      </c>
      <c r="AE43" s="774"/>
      <c r="AF43" s="774"/>
      <c r="AG43" s="774"/>
      <c r="AH43" s="954"/>
      <c r="AI43" s="796">
        <f t="shared" ref="AI43" si="148">IFERROR(SUM(IF($J43=AH43,$D$10),IF(LEFT($J43,1)=LEFT(AH43,1),$D$8),IF(MID($J43,FIND("|",$J43)+1,FIND("-",$J43)-FIND("|",$J43)-1)-MID($J43,FIND("-",$J43)+1,11)=MID(AH43,FIND("|",AH43)+1,FIND("-",AH43)-FIND("|",AH43)-1)-MID(AH43,FIND("-",AH43)+1,11),$D$9)),)</f>
        <v>0</v>
      </c>
      <c r="AJ43" s="774"/>
      <c r="AK43" s="774"/>
      <c r="AL43" s="774"/>
    </row>
    <row r="44" spans="1:38" ht="15" customHeight="1">
      <c r="A44" s="808"/>
      <c r="B44" s="813"/>
      <c r="C44" s="781"/>
      <c r="D44" s="781"/>
      <c r="E44" s="808"/>
      <c r="F44" s="894">
        <v>44895</v>
      </c>
      <c r="G44" s="803" t="s">
        <v>159</v>
      </c>
      <c r="H44" t="str">
        <f ca="1">CONCATENATE(MUNDIAL!I24,"-",MUNDIAL!N24)</f>
        <v>Polonia-Argentina</v>
      </c>
      <c r="I44" s="799"/>
      <c r="J44" s="821" t="str">
        <f>CONCATENATE(IF(MUNDIAL!K24&gt;MUNDIAL!L24,1,IF(MUNDIAL!K24&lt;MUNDIAL!L24,2,IF(AND(MUNDIAL!K24=MUNDIAL!L24,MUNDIAL!K24&lt;&gt;"",MUNDIAL!L24&lt;&gt;""),"X",0))),"|",MUNDIAL!K24,"-",MUNDIAL!L24)</f>
        <v>2|0-2</v>
      </c>
      <c r="K44" s="774"/>
      <c r="L44" s="774"/>
      <c r="M44" s="774"/>
      <c r="N44" s="954"/>
      <c r="O44" s="796">
        <f t="shared" si="4"/>
        <v>0</v>
      </c>
      <c r="P44" s="774"/>
      <c r="Q44" s="774"/>
      <c r="R44" s="774"/>
      <c r="S44" s="795"/>
      <c r="T44" s="796">
        <f t="shared" ref="T44" si="149">IFERROR(SUM(IF($J44=S44,$D$10),IF(LEFT($J44,1)=LEFT(S44,1),$D$8),IF(MID($J44,FIND("|",$J44)+1,FIND("-",$J44)-FIND("|",$J44)-1)-MID($J44,FIND("-",$J44)+1,11)=MID(S44,FIND("|",S44)+1,FIND("-",S44)-FIND("|",S44)-1)-MID(S44,FIND("-",S44)+1,11),$D$9)),)</f>
        <v>0</v>
      </c>
      <c r="U44" s="774"/>
      <c r="V44" s="774"/>
      <c r="W44" s="774"/>
      <c r="X44" s="795"/>
      <c r="Y44" s="796">
        <f t="shared" ref="Y44" si="150">IFERROR(SUM(IF($J44=X44,$D$10),IF(LEFT($J44,1)=LEFT(X44,1),$D$8),IF(MID($J44,FIND("|",$J44)+1,FIND("-",$J44)-FIND("|",$J44)-1)-MID($J44,FIND("-",$J44)+1,11)=MID(X44,FIND("|",X44)+1,FIND("-",X44)-FIND("|",X44)-1)-MID(X44,FIND("-",X44)+1,11),$D$9)),)</f>
        <v>0</v>
      </c>
      <c r="Z44" s="774"/>
      <c r="AA44" s="774"/>
      <c r="AB44" s="774"/>
      <c r="AC44" s="795"/>
      <c r="AD44" s="796">
        <f t="shared" ref="AD44" si="151">IFERROR(SUM(IF($J44=AC44,$D$10),IF(LEFT($J44,1)=LEFT(AC44,1),$D$8),IF(MID($J44,FIND("|",$J44)+1,FIND("-",$J44)-FIND("|",$J44)-1)-MID($J44,FIND("-",$J44)+1,11)=MID(AC44,FIND("|",AC44)+1,FIND("-",AC44)-FIND("|",AC44)-1)-MID(AC44,FIND("-",AC44)+1,11),$D$9)),)</f>
        <v>0</v>
      </c>
      <c r="AE44" s="774"/>
      <c r="AF44" s="774"/>
      <c r="AG44" s="774"/>
      <c r="AH44" s="954"/>
      <c r="AI44" s="796">
        <f t="shared" ref="AI44" si="152">IFERROR(SUM(IF($J44=AH44,$D$10),IF(LEFT($J44,1)=LEFT(AH44,1),$D$8),IF(MID($J44,FIND("|",$J44)+1,FIND("-",$J44)-FIND("|",$J44)-1)-MID($J44,FIND("-",$J44)+1,11)=MID(AH44,FIND("|",AH44)+1,FIND("-",AH44)-FIND("|",AH44)-1)-MID(AH44,FIND("-",AH44)+1,11),$D$9)),)</f>
        <v>0</v>
      </c>
      <c r="AJ44" s="774"/>
      <c r="AK44" s="774"/>
      <c r="AL44" s="774"/>
    </row>
    <row r="45" spans="1:38" ht="15" customHeight="1">
      <c r="A45" s="808"/>
      <c r="B45" s="813"/>
      <c r="C45" s="781"/>
      <c r="D45" s="781"/>
      <c r="E45" s="808"/>
      <c r="F45" s="894">
        <v>44895</v>
      </c>
      <c r="G45" s="803" t="s">
        <v>159</v>
      </c>
      <c r="H45" t="str">
        <f ca="1">CONCATENATE(MUNDIAL!I25,"-",MUNDIAL!N25)</f>
        <v>Arabia Saudita-México</v>
      </c>
      <c r="I45" s="799"/>
      <c r="J45" s="821" t="str">
        <f>CONCATENATE(IF(MUNDIAL!K25&gt;MUNDIAL!L25,1,IF(MUNDIAL!K25&lt;MUNDIAL!L25,2,IF(AND(MUNDIAL!K25=MUNDIAL!L25,MUNDIAL!K25&lt;&gt;"",MUNDIAL!L25&lt;&gt;""),"X",0))),"|",MUNDIAL!K25,"-",MUNDIAL!L25)</f>
        <v>2|1-2</v>
      </c>
      <c r="K45" s="774"/>
      <c r="L45" s="774"/>
      <c r="M45" s="774"/>
      <c r="N45" s="954"/>
      <c r="O45" s="796">
        <f t="shared" si="4"/>
        <v>0</v>
      </c>
      <c r="P45" s="774"/>
      <c r="Q45" s="774"/>
      <c r="R45" s="774"/>
      <c r="S45" s="795"/>
      <c r="T45" s="796">
        <f t="shared" ref="T45" si="153">IFERROR(SUM(IF($J45=S45,$D$10),IF(LEFT($J45,1)=LEFT(S45,1),$D$8),IF(MID($J45,FIND("|",$J45)+1,FIND("-",$J45)-FIND("|",$J45)-1)-MID($J45,FIND("-",$J45)+1,11)=MID(S45,FIND("|",S45)+1,FIND("-",S45)-FIND("|",S45)-1)-MID(S45,FIND("-",S45)+1,11),$D$9)),)</f>
        <v>0</v>
      </c>
      <c r="U45" s="774"/>
      <c r="V45" s="774"/>
      <c r="W45" s="774"/>
      <c r="X45" s="795"/>
      <c r="Y45" s="796">
        <f t="shared" ref="Y45" si="154">IFERROR(SUM(IF($J45=X45,$D$10),IF(LEFT($J45,1)=LEFT(X45,1),$D$8),IF(MID($J45,FIND("|",$J45)+1,FIND("-",$J45)-FIND("|",$J45)-1)-MID($J45,FIND("-",$J45)+1,11)=MID(X45,FIND("|",X45)+1,FIND("-",X45)-FIND("|",X45)-1)-MID(X45,FIND("-",X45)+1,11),$D$9)),)</f>
        <v>0</v>
      </c>
      <c r="Z45" s="774"/>
      <c r="AA45" s="774"/>
      <c r="AB45" s="774"/>
      <c r="AC45" s="795"/>
      <c r="AD45" s="796">
        <f t="shared" ref="AD45" si="155">IFERROR(SUM(IF($J45=AC45,$D$10),IF(LEFT($J45,1)=LEFT(AC45,1),$D$8),IF(MID($J45,FIND("|",$J45)+1,FIND("-",$J45)-FIND("|",$J45)-1)-MID($J45,FIND("-",$J45)+1,11)=MID(AC45,FIND("|",AC45)+1,FIND("-",AC45)-FIND("|",AC45)-1)-MID(AC45,FIND("-",AC45)+1,11),$D$9)),)</f>
        <v>0</v>
      </c>
      <c r="AE45" s="774"/>
      <c r="AF45" s="774"/>
      <c r="AG45" s="774"/>
      <c r="AH45" s="954"/>
      <c r="AI45" s="796">
        <f t="shared" ref="AI45" si="156">IFERROR(SUM(IF($J45=AH45,$D$10),IF(LEFT($J45,1)=LEFT(AH45,1),$D$8),IF(MID($J45,FIND("|",$J45)+1,FIND("-",$J45)-FIND("|",$J45)-1)-MID($J45,FIND("-",$J45)+1,11)=MID(AH45,FIND("|",AH45)+1,FIND("-",AH45)-FIND("|",AH45)-1)-MID(AH45,FIND("-",AH45)+1,11),$D$9)),)</f>
        <v>0</v>
      </c>
      <c r="AJ45" s="774"/>
      <c r="AK45" s="774"/>
      <c r="AL45" s="774"/>
    </row>
    <row r="46" spans="1:38" ht="15" customHeight="1">
      <c r="A46" s="808"/>
      <c r="B46" s="813"/>
      <c r="C46" s="1027" t="s">
        <v>439</v>
      </c>
      <c r="D46" s="1028"/>
      <c r="E46" s="808"/>
      <c r="F46" s="894">
        <v>44895</v>
      </c>
      <c r="G46" s="804" t="s">
        <v>160</v>
      </c>
      <c r="H46" t="str">
        <f ca="1">CONCATENATE(MUNDIAL!I32,"-",MUNDIAL!N32)</f>
        <v>Australia-Dinamarca</v>
      </c>
      <c r="I46" s="799"/>
      <c r="J46" s="821" t="str">
        <f>CONCATENATE(IF(MUNDIAL!K32&gt;MUNDIAL!L32,1,IF(MUNDIAL!K32&lt;MUNDIAL!L32,2,IF(AND(MUNDIAL!K32=MUNDIAL!L32,MUNDIAL!K32&lt;&gt;"",MUNDIAL!L32&lt;&gt;""),"X",0))),"|",MUNDIAL!K32,"-",MUNDIAL!L32)</f>
        <v>1|1-0</v>
      </c>
      <c r="K46" s="774"/>
      <c r="L46" s="774"/>
      <c r="M46" s="774"/>
      <c r="N46" s="954"/>
      <c r="O46" s="796">
        <f t="shared" si="4"/>
        <v>0</v>
      </c>
      <c r="P46" s="774"/>
      <c r="Q46" s="774"/>
      <c r="R46" s="774"/>
      <c r="S46" s="795"/>
      <c r="T46" s="796">
        <f t="shared" ref="T46" si="157">IFERROR(SUM(IF($J46=S46,$D$10),IF(LEFT($J46,1)=LEFT(S46,1),$D$8),IF(MID($J46,FIND("|",$J46)+1,FIND("-",$J46)-FIND("|",$J46)-1)-MID($J46,FIND("-",$J46)+1,11)=MID(S46,FIND("|",S46)+1,FIND("-",S46)-FIND("|",S46)-1)-MID(S46,FIND("-",S46)+1,11),$D$9)),)</f>
        <v>0</v>
      </c>
      <c r="U46" s="774"/>
      <c r="V46" s="774"/>
      <c r="W46" s="774"/>
      <c r="X46" s="795"/>
      <c r="Y46" s="796">
        <f t="shared" ref="Y46" si="158">IFERROR(SUM(IF($J46=X46,$D$10),IF(LEFT($J46,1)=LEFT(X46,1),$D$8),IF(MID($J46,FIND("|",$J46)+1,FIND("-",$J46)-FIND("|",$J46)-1)-MID($J46,FIND("-",$J46)+1,11)=MID(X46,FIND("|",X46)+1,FIND("-",X46)-FIND("|",X46)-1)-MID(X46,FIND("-",X46)+1,11),$D$9)),)</f>
        <v>0</v>
      </c>
      <c r="Z46" s="774"/>
      <c r="AA46" s="774"/>
      <c r="AB46" s="774"/>
      <c r="AC46" s="795"/>
      <c r="AD46" s="796">
        <f t="shared" ref="AD46" si="159">IFERROR(SUM(IF($J46=AC46,$D$10),IF(LEFT($J46,1)=LEFT(AC46,1),$D$8),IF(MID($J46,FIND("|",$J46)+1,FIND("-",$J46)-FIND("|",$J46)-1)-MID($J46,FIND("-",$J46)+1,11)=MID(AC46,FIND("|",AC46)+1,FIND("-",AC46)-FIND("|",AC46)-1)-MID(AC46,FIND("-",AC46)+1,11),$D$9)),)</f>
        <v>0</v>
      </c>
      <c r="AE46" s="774"/>
      <c r="AF46" s="774"/>
      <c r="AG46" s="774"/>
      <c r="AH46" s="954"/>
      <c r="AI46" s="796">
        <f t="shared" ref="AI46" si="160">IFERROR(SUM(IF($J46=AH46,$D$10),IF(LEFT($J46,1)=LEFT(AH46,1),$D$8),IF(MID($J46,FIND("|",$J46)+1,FIND("-",$J46)-FIND("|",$J46)-1)-MID($J46,FIND("-",$J46)+1,11)=MID(AH46,FIND("|",AH46)+1,FIND("-",AH46)-FIND("|",AH46)-1)-MID(AH46,FIND("-",AH46)+1,11),$D$9)),)</f>
        <v>0</v>
      </c>
      <c r="AJ46" s="774"/>
      <c r="AK46" s="774"/>
      <c r="AL46" s="774"/>
    </row>
    <row r="47" spans="1:38" ht="15" customHeight="1">
      <c r="A47" s="808"/>
      <c r="B47" s="813"/>
      <c r="C47" s="1029" t="s">
        <v>438</v>
      </c>
      <c r="D47" s="1030"/>
      <c r="E47" s="808"/>
      <c r="F47" s="894">
        <v>44895</v>
      </c>
      <c r="G47" s="804" t="s">
        <v>160</v>
      </c>
      <c r="H47" t="str">
        <f ca="1">CONCATENATE(MUNDIAL!I33,"-",MUNDIAL!N33)</f>
        <v>Túnez-Francia</v>
      </c>
      <c r="I47" s="799"/>
      <c r="J47" s="821" t="str">
        <f>CONCATENATE(IF(MUNDIAL!K33&gt;MUNDIAL!L33,1,IF(MUNDIAL!K33&lt;MUNDIAL!L33,2,IF(AND(MUNDIAL!K33=MUNDIAL!L33,MUNDIAL!K33&lt;&gt;"",MUNDIAL!L33&lt;&gt;""),"X",0))),"|",MUNDIAL!K33,"-",MUNDIAL!L33)</f>
        <v>X|1-1</v>
      </c>
      <c r="K47" s="774"/>
      <c r="L47" s="774"/>
      <c r="M47" s="774"/>
      <c r="N47" s="954"/>
      <c r="O47" s="796">
        <f t="shared" si="4"/>
        <v>0</v>
      </c>
      <c r="P47" s="774"/>
      <c r="Q47" s="774"/>
      <c r="R47" s="774"/>
      <c r="S47" s="795"/>
      <c r="T47" s="796">
        <f t="shared" ref="T47" si="161">IFERROR(SUM(IF($J47=S47,$D$10),IF(LEFT($J47,1)=LEFT(S47,1),$D$8),IF(MID($J47,FIND("|",$J47)+1,FIND("-",$J47)-FIND("|",$J47)-1)-MID($J47,FIND("-",$J47)+1,11)=MID(S47,FIND("|",S47)+1,FIND("-",S47)-FIND("|",S47)-1)-MID(S47,FIND("-",S47)+1,11),$D$9)),)</f>
        <v>0</v>
      </c>
      <c r="U47" s="774"/>
      <c r="V47" s="774"/>
      <c r="W47" s="774"/>
      <c r="X47" s="795"/>
      <c r="Y47" s="796">
        <f t="shared" ref="Y47" si="162">IFERROR(SUM(IF($J47=X47,$D$10),IF(LEFT($J47,1)=LEFT(X47,1),$D$8),IF(MID($J47,FIND("|",$J47)+1,FIND("-",$J47)-FIND("|",$J47)-1)-MID($J47,FIND("-",$J47)+1,11)=MID(X47,FIND("|",X47)+1,FIND("-",X47)-FIND("|",X47)-1)-MID(X47,FIND("-",X47)+1,11),$D$9)),)</f>
        <v>0</v>
      </c>
      <c r="Z47" s="774"/>
      <c r="AA47" s="774"/>
      <c r="AB47" s="774"/>
      <c r="AC47" s="795"/>
      <c r="AD47" s="796">
        <f t="shared" ref="AD47" si="163">IFERROR(SUM(IF($J47=AC47,$D$10),IF(LEFT($J47,1)=LEFT(AC47,1),$D$8),IF(MID($J47,FIND("|",$J47)+1,FIND("-",$J47)-FIND("|",$J47)-1)-MID($J47,FIND("-",$J47)+1,11)=MID(AC47,FIND("|",AC47)+1,FIND("-",AC47)-FIND("|",AC47)-1)-MID(AC47,FIND("-",AC47)+1,11),$D$9)),)</f>
        <v>0</v>
      </c>
      <c r="AE47" s="774"/>
      <c r="AF47" s="774"/>
      <c r="AG47" s="774"/>
      <c r="AH47" s="954"/>
      <c r="AI47" s="796">
        <f t="shared" ref="AI47" si="164">IFERROR(SUM(IF($J47=AH47,$D$10),IF(LEFT($J47,1)=LEFT(AH47,1),$D$8),IF(MID($J47,FIND("|",$J47)+1,FIND("-",$J47)-FIND("|",$J47)-1)-MID($J47,FIND("-",$J47)+1,11)=MID(AH47,FIND("|",AH47)+1,FIND("-",AH47)-FIND("|",AH47)-1)-MID(AH47,FIND("-",AH47)+1,11),$D$9)),)</f>
        <v>0</v>
      </c>
      <c r="AJ47" s="774"/>
      <c r="AK47" s="774"/>
      <c r="AL47" s="774"/>
    </row>
    <row r="48" spans="1:38" ht="15" customHeight="1">
      <c r="A48" s="808"/>
      <c r="B48" s="813"/>
      <c r="C48" s="1031"/>
      <c r="D48" s="1032"/>
      <c r="E48" s="808"/>
      <c r="F48" s="894">
        <v>44896</v>
      </c>
      <c r="G48" s="805" t="s">
        <v>161</v>
      </c>
      <c r="H48" t="str">
        <f ca="1">CONCATENATE(MUNDIAL!I40,"-",MUNDIAL!N40)</f>
        <v>Japón-España</v>
      </c>
      <c r="I48" s="799"/>
      <c r="J48" s="821" t="str">
        <f>CONCATENATE(IF(MUNDIAL!K40&gt;MUNDIAL!L40,1,IF(MUNDIAL!K40&lt;MUNDIAL!L40,2,IF(AND(MUNDIAL!K40=MUNDIAL!L40,MUNDIAL!K40&lt;&gt;"",MUNDIAL!L40&lt;&gt;""),"X",0))),"|",MUNDIAL!K40,"-",MUNDIAL!L40)</f>
        <v>1|2-1</v>
      </c>
      <c r="K48" s="774"/>
      <c r="L48" s="774"/>
      <c r="M48" s="774"/>
      <c r="N48" s="954"/>
      <c r="O48" s="796">
        <f t="shared" si="4"/>
        <v>0</v>
      </c>
      <c r="P48" s="774"/>
      <c r="Q48" s="774"/>
      <c r="R48" s="774"/>
      <c r="S48" s="795"/>
      <c r="T48" s="796">
        <f t="shared" ref="T48" si="165">IFERROR(SUM(IF($J48=S48,$D$10),IF(LEFT($J48,1)=LEFT(S48,1),$D$8),IF(MID($J48,FIND("|",$J48)+1,FIND("-",$J48)-FIND("|",$J48)-1)-MID($J48,FIND("-",$J48)+1,11)=MID(S48,FIND("|",S48)+1,FIND("-",S48)-FIND("|",S48)-1)-MID(S48,FIND("-",S48)+1,11),$D$9)),)</f>
        <v>0</v>
      </c>
      <c r="U48" s="774"/>
      <c r="V48" s="774"/>
      <c r="W48" s="774"/>
      <c r="X48" s="795"/>
      <c r="Y48" s="796">
        <f t="shared" ref="Y48" si="166">IFERROR(SUM(IF($J48=X48,$D$10),IF(LEFT($J48,1)=LEFT(X48,1),$D$8),IF(MID($J48,FIND("|",$J48)+1,FIND("-",$J48)-FIND("|",$J48)-1)-MID($J48,FIND("-",$J48)+1,11)=MID(X48,FIND("|",X48)+1,FIND("-",X48)-FIND("|",X48)-1)-MID(X48,FIND("-",X48)+1,11),$D$9)),)</f>
        <v>0</v>
      </c>
      <c r="Z48" s="774"/>
      <c r="AA48" s="774"/>
      <c r="AB48" s="774"/>
      <c r="AC48" s="795"/>
      <c r="AD48" s="796">
        <f t="shared" ref="AD48" si="167">IFERROR(SUM(IF($J48=AC48,$D$10),IF(LEFT($J48,1)=LEFT(AC48,1),$D$8),IF(MID($J48,FIND("|",$J48)+1,FIND("-",$J48)-FIND("|",$J48)-1)-MID($J48,FIND("-",$J48)+1,11)=MID(AC48,FIND("|",AC48)+1,FIND("-",AC48)-FIND("|",AC48)-1)-MID(AC48,FIND("-",AC48)+1,11),$D$9)),)</f>
        <v>0</v>
      </c>
      <c r="AE48" s="774"/>
      <c r="AF48" s="774"/>
      <c r="AG48" s="774"/>
      <c r="AH48" s="954"/>
      <c r="AI48" s="796">
        <f t="shared" ref="AI48" si="168">IFERROR(SUM(IF($J48=AH48,$D$10),IF(LEFT($J48,1)=LEFT(AH48,1),$D$8),IF(MID($J48,FIND("|",$J48)+1,FIND("-",$J48)-FIND("|",$J48)-1)-MID($J48,FIND("-",$J48)+1,11)=MID(AH48,FIND("|",AH48)+1,FIND("-",AH48)-FIND("|",AH48)-1)-MID(AH48,FIND("-",AH48)+1,11),$D$9)),)</f>
        <v>0</v>
      </c>
      <c r="AJ48" s="774"/>
      <c r="AK48" s="774"/>
      <c r="AL48" s="774"/>
    </row>
    <row r="49" spans="1:38" ht="15" customHeight="1">
      <c r="A49" s="808"/>
      <c r="B49" s="813"/>
      <c r="C49" s="808"/>
      <c r="D49" s="808"/>
      <c r="E49" s="808"/>
      <c r="F49" s="894">
        <v>44896</v>
      </c>
      <c r="G49" s="805" t="s">
        <v>161</v>
      </c>
      <c r="H49" t="str">
        <f ca="1">CONCATENATE(MUNDIAL!I41,"-",MUNDIAL!N41)</f>
        <v>Costa Rica-Alemania</v>
      </c>
      <c r="I49" s="799"/>
      <c r="J49" s="821" t="str">
        <f>CONCATENATE(IF(MUNDIAL!K41&gt;MUNDIAL!L41,1,IF(MUNDIAL!K41&lt;MUNDIAL!L41,2,IF(AND(MUNDIAL!K41=MUNDIAL!L41,MUNDIAL!K41&lt;&gt;"",MUNDIAL!L41&lt;&gt;""),"X",0))),"|",MUNDIAL!K41,"-",MUNDIAL!L41)</f>
        <v>2|2-4</v>
      </c>
      <c r="K49" s="774"/>
      <c r="L49" s="774"/>
      <c r="M49" s="774"/>
      <c r="N49" s="954"/>
      <c r="O49" s="796">
        <f t="shared" si="4"/>
        <v>0</v>
      </c>
      <c r="P49" s="774"/>
      <c r="Q49" s="774"/>
      <c r="R49" s="774"/>
      <c r="S49" s="795"/>
      <c r="T49" s="796">
        <f t="shared" ref="T49" si="169">IFERROR(SUM(IF($J49=S49,$D$10),IF(LEFT($J49,1)=LEFT(S49,1),$D$8),IF(MID($J49,FIND("|",$J49)+1,FIND("-",$J49)-FIND("|",$J49)-1)-MID($J49,FIND("-",$J49)+1,11)=MID(S49,FIND("|",S49)+1,FIND("-",S49)-FIND("|",S49)-1)-MID(S49,FIND("-",S49)+1,11),$D$9)),)</f>
        <v>0</v>
      </c>
      <c r="U49" s="774"/>
      <c r="V49" s="774"/>
      <c r="W49" s="774"/>
      <c r="X49" s="795"/>
      <c r="Y49" s="796">
        <f t="shared" ref="Y49" si="170">IFERROR(SUM(IF($J49=X49,$D$10),IF(LEFT($J49,1)=LEFT(X49,1),$D$8),IF(MID($J49,FIND("|",$J49)+1,FIND("-",$J49)-FIND("|",$J49)-1)-MID($J49,FIND("-",$J49)+1,11)=MID(X49,FIND("|",X49)+1,FIND("-",X49)-FIND("|",X49)-1)-MID(X49,FIND("-",X49)+1,11),$D$9)),)</f>
        <v>0</v>
      </c>
      <c r="Z49" s="774"/>
      <c r="AA49" s="774"/>
      <c r="AB49" s="774"/>
      <c r="AC49" s="795"/>
      <c r="AD49" s="796">
        <f t="shared" ref="AD49" si="171">IFERROR(SUM(IF($J49=AC49,$D$10),IF(LEFT($J49,1)=LEFT(AC49,1),$D$8),IF(MID($J49,FIND("|",$J49)+1,FIND("-",$J49)-FIND("|",$J49)-1)-MID($J49,FIND("-",$J49)+1,11)=MID(AC49,FIND("|",AC49)+1,FIND("-",AC49)-FIND("|",AC49)-1)-MID(AC49,FIND("-",AC49)+1,11),$D$9)),)</f>
        <v>0</v>
      </c>
      <c r="AE49" s="774"/>
      <c r="AF49" s="774"/>
      <c r="AG49" s="774"/>
      <c r="AH49" s="954"/>
      <c r="AI49" s="796">
        <f t="shared" ref="AI49" si="172">IFERROR(SUM(IF($J49=AH49,$D$10),IF(LEFT($J49,1)=LEFT(AH49,1),$D$8),IF(MID($J49,FIND("|",$J49)+1,FIND("-",$J49)-FIND("|",$J49)-1)-MID($J49,FIND("-",$J49)+1,11)=MID(AH49,FIND("|",AH49)+1,FIND("-",AH49)-FIND("|",AH49)-1)-MID(AH49,FIND("-",AH49)+1,11),$D$9)),)</f>
        <v>0</v>
      </c>
      <c r="AJ49" s="774"/>
      <c r="AK49" s="774"/>
      <c r="AL49" s="774"/>
    </row>
    <row r="50" spans="1:38" ht="15" customHeight="1">
      <c r="A50" s="808"/>
      <c r="B50" s="813"/>
      <c r="C50" s="782"/>
      <c r="D50" s="808"/>
      <c r="E50" s="808"/>
      <c r="F50" s="894">
        <v>44896</v>
      </c>
      <c r="G50" s="833" t="s">
        <v>162</v>
      </c>
      <c r="H50" t="str">
        <f ca="1">CONCATENATE(MUNDIAL!I48,"-",MUNDIAL!N48)</f>
        <v>Croacia-Bélgica</v>
      </c>
      <c r="I50" s="799"/>
      <c r="J50" s="821" t="str">
        <f>CONCATENATE(IF(MUNDIAL!K48&gt;MUNDIAL!L48,1,IF(MUNDIAL!K48&lt;MUNDIAL!L48,2,IF(AND(MUNDIAL!K48=MUNDIAL!L48,MUNDIAL!K48&lt;&gt;"",MUNDIAL!L48&lt;&gt;""),"X",0))),"|",MUNDIAL!K48,"-",MUNDIAL!L48)</f>
        <v>X|0-0</v>
      </c>
      <c r="K50" s="774"/>
      <c r="L50" s="774"/>
      <c r="M50" s="774"/>
      <c r="N50" s="954"/>
      <c r="O50" s="796">
        <f t="shared" si="4"/>
        <v>0</v>
      </c>
      <c r="P50" s="774"/>
      <c r="Q50" s="774"/>
      <c r="R50" s="774"/>
      <c r="S50" s="795"/>
      <c r="T50" s="796">
        <f t="shared" ref="T50" si="173">IFERROR(SUM(IF($J50=S50,$D$10),IF(LEFT($J50,1)=LEFT(S50,1),$D$8),IF(MID($J50,FIND("|",$J50)+1,FIND("-",$J50)-FIND("|",$J50)-1)-MID($J50,FIND("-",$J50)+1,11)=MID(S50,FIND("|",S50)+1,FIND("-",S50)-FIND("|",S50)-1)-MID(S50,FIND("-",S50)+1,11),$D$9)),)</f>
        <v>0</v>
      </c>
      <c r="U50" s="774"/>
      <c r="V50" s="774"/>
      <c r="W50" s="774"/>
      <c r="X50" s="795"/>
      <c r="Y50" s="796">
        <f t="shared" ref="Y50" si="174">IFERROR(SUM(IF($J50=X50,$D$10),IF(LEFT($J50,1)=LEFT(X50,1),$D$8),IF(MID($J50,FIND("|",$J50)+1,FIND("-",$J50)-FIND("|",$J50)-1)-MID($J50,FIND("-",$J50)+1,11)=MID(X50,FIND("|",X50)+1,FIND("-",X50)-FIND("|",X50)-1)-MID(X50,FIND("-",X50)+1,11),$D$9)),)</f>
        <v>0</v>
      </c>
      <c r="Z50" s="774"/>
      <c r="AA50" s="774"/>
      <c r="AB50" s="774"/>
      <c r="AC50" s="795"/>
      <c r="AD50" s="796">
        <f t="shared" ref="AD50" si="175">IFERROR(SUM(IF($J50=AC50,$D$10),IF(LEFT($J50,1)=LEFT(AC50,1),$D$8),IF(MID($J50,FIND("|",$J50)+1,FIND("-",$J50)-FIND("|",$J50)-1)-MID($J50,FIND("-",$J50)+1,11)=MID(AC50,FIND("|",AC50)+1,FIND("-",AC50)-FIND("|",AC50)-1)-MID(AC50,FIND("-",AC50)+1,11),$D$9)),)</f>
        <v>0</v>
      </c>
      <c r="AE50" s="774"/>
      <c r="AF50" s="774"/>
      <c r="AG50" s="774"/>
      <c r="AH50" s="954"/>
      <c r="AI50" s="796">
        <f t="shared" ref="AI50" si="176">IFERROR(SUM(IF($J50=AH50,$D$10),IF(LEFT($J50,1)=LEFT(AH50,1),$D$8),IF(MID($J50,FIND("|",$J50)+1,FIND("-",$J50)-FIND("|",$J50)-1)-MID($J50,FIND("-",$J50)+1,11)=MID(AH50,FIND("|",AH50)+1,FIND("-",AH50)-FIND("|",AH50)-1)-MID(AH50,FIND("-",AH50)+1,11),$D$9)),)</f>
        <v>0</v>
      </c>
      <c r="AJ50" s="774"/>
      <c r="AK50" s="774"/>
      <c r="AL50" s="774"/>
    </row>
    <row r="51" spans="1:38" ht="15" customHeight="1">
      <c r="A51" s="808"/>
      <c r="B51" s="813"/>
      <c r="C51" s="782"/>
      <c r="D51" s="808"/>
      <c r="E51" s="808"/>
      <c r="F51" s="894">
        <v>44896</v>
      </c>
      <c r="G51" s="833" t="s">
        <v>162</v>
      </c>
      <c r="H51" t="str">
        <f ca="1">CONCATENATE(MUNDIAL!I49,"-",MUNDIAL!N49)</f>
        <v>Canadá-Marruecos</v>
      </c>
      <c r="I51" s="799"/>
      <c r="J51" s="821" t="str">
        <f>CONCATENATE(IF(MUNDIAL!K49&gt;MUNDIAL!L49,1,IF(MUNDIAL!K49&lt;MUNDIAL!L49,2,IF(AND(MUNDIAL!K49=MUNDIAL!L49,MUNDIAL!K49&lt;&gt;"",MUNDIAL!L49&lt;&gt;""),"X",0))),"|",MUNDIAL!K49,"-",MUNDIAL!L49)</f>
        <v>2|1-2</v>
      </c>
      <c r="K51" s="774"/>
      <c r="L51" s="774"/>
      <c r="M51" s="774"/>
      <c r="N51" s="954"/>
      <c r="O51" s="796">
        <f t="shared" si="4"/>
        <v>0</v>
      </c>
      <c r="P51" s="774"/>
      <c r="Q51" s="774"/>
      <c r="R51" s="774"/>
      <c r="S51" s="795"/>
      <c r="T51" s="796">
        <f t="shared" ref="T51" si="177">IFERROR(SUM(IF($J51=S51,$D$10),IF(LEFT($J51,1)=LEFT(S51,1),$D$8),IF(MID($J51,FIND("|",$J51)+1,FIND("-",$J51)-FIND("|",$J51)-1)-MID($J51,FIND("-",$J51)+1,11)=MID(S51,FIND("|",S51)+1,FIND("-",S51)-FIND("|",S51)-1)-MID(S51,FIND("-",S51)+1,11),$D$9)),)</f>
        <v>0</v>
      </c>
      <c r="U51" s="774"/>
      <c r="V51" s="774"/>
      <c r="W51" s="774"/>
      <c r="X51" s="795"/>
      <c r="Y51" s="796">
        <f t="shared" ref="Y51" si="178">IFERROR(SUM(IF($J51=X51,$D$10),IF(LEFT($J51,1)=LEFT(X51,1),$D$8),IF(MID($J51,FIND("|",$J51)+1,FIND("-",$J51)-FIND("|",$J51)-1)-MID($J51,FIND("-",$J51)+1,11)=MID(X51,FIND("|",X51)+1,FIND("-",X51)-FIND("|",X51)-1)-MID(X51,FIND("-",X51)+1,11),$D$9)),)</f>
        <v>0</v>
      </c>
      <c r="Z51" s="774"/>
      <c r="AA51" s="774"/>
      <c r="AB51" s="774"/>
      <c r="AC51" s="795"/>
      <c r="AD51" s="796">
        <f t="shared" ref="AD51" si="179">IFERROR(SUM(IF($J51=AC51,$D$10),IF(LEFT($J51,1)=LEFT(AC51,1),$D$8),IF(MID($J51,FIND("|",$J51)+1,FIND("-",$J51)-FIND("|",$J51)-1)-MID($J51,FIND("-",$J51)+1,11)=MID(AC51,FIND("|",AC51)+1,FIND("-",AC51)-FIND("|",AC51)-1)-MID(AC51,FIND("-",AC51)+1,11),$D$9)),)</f>
        <v>0</v>
      </c>
      <c r="AE51" s="774"/>
      <c r="AF51" s="774"/>
      <c r="AG51" s="774"/>
      <c r="AH51" s="954"/>
      <c r="AI51" s="796">
        <f t="shared" ref="AI51" si="180">IFERROR(SUM(IF($J51=AH51,$D$10),IF(LEFT($J51,1)=LEFT(AH51,1),$D$8),IF(MID($J51,FIND("|",$J51)+1,FIND("-",$J51)-FIND("|",$J51)-1)-MID($J51,FIND("-",$J51)+1,11)=MID(AH51,FIND("|",AH51)+1,FIND("-",AH51)-FIND("|",AH51)-1)-MID(AH51,FIND("-",AH51)+1,11),$D$9)),)</f>
        <v>0</v>
      </c>
      <c r="AJ51" s="774"/>
      <c r="AK51" s="774"/>
      <c r="AL51" s="774"/>
    </row>
    <row r="52" spans="1:38" ht="15" customHeight="1">
      <c r="A52" s="808"/>
      <c r="B52" s="813"/>
      <c r="C52" s="782"/>
      <c r="D52" s="808"/>
      <c r="E52" s="808"/>
      <c r="F52" s="894">
        <v>44897</v>
      </c>
      <c r="G52" s="806" t="s">
        <v>187</v>
      </c>
      <c r="H52" t="str">
        <f ca="1">CONCATENATE(MUNDIAL!I56,"-",MUNDIAL!N56)</f>
        <v>Serbia-Suiza</v>
      </c>
      <c r="I52" s="799"/>
      <c r="J52" s="821" t="str">
        <f>CONCATENATE(IF(MUNDIAL!K56&gt;MUNDIAL!L56,1,IF(MUNDIAL!K56&lt;MUNDIAL!L56,2,IF(AND(MUNDIAL!K56=MUNDIAL!L56,MUNDIAL!K56&lt;&gt;"",MUNDIAL!L56&lt;&gt;""),"X",0))),"|",MUNDIAL!K56,"-",MUNDIAL!L56)</f>
        <v>2|2-3</v>
      </c>
      <c r="K52" s="774"/>
      <c r="L52" s="774"/>
      <c r="M52" s="774"/>
      <c r="N52" s="954"/>
      <c r="O52" s="796">
        <f t="shared" si="4"/>
        <v>0</v>
      </c>
      <c r="P52" s="774"/>
      <c r="Q52" s="774"/>
      <c r="R52" s="774"/>
      <c r="S52" s="795"/>
      <c r="T52" s="796">
        <f t="shared" ref="T52" si="181">IFERROR(SUM(IF($J52=S52,$D$10),IF(LEFT($J52,1)=LEFT(S52,1),$D$8),IF(MID($J52,FIND("|",$J52)+1,FIND("-",$J52)-FIND("|",$J52)-1)-MID($J52,FIND("-",$J52)+1,11)=MID(S52,FIND("|",S52)+1,FIND("-",S52)-FIND("|",S52)-1)-MID(S52,FIND("-",S52)+1,11),$D$9)),)</f>
        <v>0</v>
      </c>
      <c r="U52" s="774"/>
      <c r="V52" s="774"/>
      <c r="W52" s="774"/>
      <c r="X52" s="795"/>
      <c r="Y52" s="796">
        <f t="shared" ref="Y52" si="182">IFERROR(SUM(IF($J52=X52,$D$10),IF(LEFT($J52,1)=LEFT(X52,1),$D$8),IF(MID($J52,FIND("|",$J52)+1,FIND("-",$J52)-FIND("|",$J52)-1)-MID($J52,FIND("-",$J52)+1,11)=MID(X52,FIND("|",X52)+1,FIND("-",X52)-FIND("|",X52)-1)-MID(X52,FIND("-",X52)+1,11),$D$9)),)</f>
        <v>0</v>
      </c>
      <c r="Z52" s="774"/>
      <c r="AA52" s="774"/>
      <c r="AB52" s="774"/>
      <c r="AC52" s="795"/>
      <c r="AD52" s="796">
        <f t="shared" ref="AD52" si="183">IFERROR(SUM(IF($J52=AC52,$D$10),IF(LEFT($J52,1)=LEFT(AC52,1),$D$8),IF(MID($J52,FIND("|",$J52)+1,FIND("-",$J52)-FIND("|",$J52)-1)-MID($J52,FIND("-",$J52)+1,11)=MID(AC52,FIND("|",AC52)+1,FIND("-",AC52)-FIND("|",AC52)-1)-MID(AC52,FIND("-",AC52)+1,11),$D$9)),)</f>
        <v>0</v>
      </c>
      <c r="AE52" s="774"/>
      <c r="AF52" s="774"/>
      <c r="AG52" s="774"/>
      <c r="AH52" s="954"/>
      <c r="AI52" s="796">
        <f t="shared" ref="AI52" si="184">IFERROR(SUM(IF($J52=AH52,$D$10),IF(LEFT($J52,1)=LEFT(AH52,1),$D$8),IF(MID($J52,FIND("|",$J52)+1,FIND("-",$J52)-FIND("|",$J52)-1)-MID($J52,FIND("-",$J52)+1,11)=MID(AH52,FIND("|",AH52)+1,FIND("-",AH52)-FIND("|",AH52)-1)-MID(AH52,FIND("-",AH52)+1,11),$D$9)),)</f>
        <v>0</v>
      </c>
      <c r="AJ52" s="774"/>
      <c r="AK52" s="774"/>
      <c r="AL52" s="774"/>
    </row>
    <row r="53" spans="1:38" ht="15" customHeight="1">
      <c r="A53" s="808"/>
      <c r="B53" s="813"/>
      <c r="C53" s="907"/>
      <c r="D53" s="808"/>
      <c r="E53" s="808"/>
      <c r="F53" s="894">
        <v>44897</v>
      </c>
      <c r="G53" s="806" t="s">
        <v>187</v>
      </c>
      <c r="H53" t="str">
        <f ca="1">CONCATENATE(MUNDIAL!I57,"-",MUNDIAL!N57)</f>
        <v>Camerún-Brasil</v>
      </c>
      <c r="I53" s="799"/>
      <c r="J53" s="821" t="str">
        <f>CONCATENATE(IF(MUNDIAL!K57&gt;MUNDIAL!L57,1,IF(MUNDIAL!K57&lt;MUNDIAL!L57,2,IF(AND(MUNDIAL!K57=MUNDIAL!L57,MUNDIAL!K57&lt;&gt;"",MUNDIAL!L57&lt;&gt;""),"X",0))),"|",MUNDIAL!K57,"-",MUNDIAL!L57)</f>
        <v>1|1-0</v>
      </c>
      <c r="K53" s="774"/>
      <c r="L53" s="774"/>
      <c r="M53" s="774"/>
      <c r="N53" s="954"/>
      <c r="O53" s="796">
        <f t="shared" si="4"/>
        <v>0</v>
      </c>
      <c r="P53" s="774"/>
      <c r="Q53" s="774"/>
      <c r="R53" s="774"/>
      <c r="S53" s="795"/>
      <c r="T53" s="796">
        <f t="shared" ref="T53" si="185">IFERROR(SUM(IF($J53=S53,$D$10),IF(LEFT($J53,1)=LEFT(S53,1),$D$8),IF(MID($J53,FIND("|",$J53)+1,FIND("-",$J53)-FIND("|",$J53)-1)-MID($J53,FIND("-",$J53)+1,11)=MID(S53,FIND("|",S53)+1,FIND("-",S53)-FIND("|",S53)-1)-MID(S53,FIND("-",S53)+1,11),$D$9)),)</f>
        <v>0</v>
      </c>
      <c r="U53" s="774"/>
      <c r="V53" s="774"/>
      <c r="W53" s="774"/>
      <c r="X53" s="795"/>
      <c r="Y53" s="796">
        <f t="shared" ref="Y53" si="186">IFERROR(SUM(IF($J53=X53,$D$10),IF(LEFT($J53,1)=LEFT(X53,1),$D$8),IF(MID($J53,FIND("|",$J53)+1,FIND("-",$J53)-FIND("|",$J53)-1)-MID($J53,FIND("-",$J53)+1,11)=MID(X53,FIND("|",X53)+1,FIND("-",X53)-FIND("|",X53)-1)-MID(X53,FIND("-",X53)+1,11),$D$9)),)</f>
        <v>0</v>
      </c>
      <c r="Z53" s="774"/>
      <c r="AA53" s="774"/>
      <c r="AB53" s="774"/>
      <c r="AC53" s="795"/>
      <c r="AD53" s="796">
        <f t="shared" ref="AD53" si="187">IFERROR(SUM(IF($J53=AC53,$D$10),IF(LEFT($J53,1)=LEFT(AC53,1),$D$8),IF(MID($J53,FIND("|",$J53)+1,FIND("-",$J53)-FIND("|",$J53)-1)-MID($J53,FIND("-",$J53)+1,11)=MID(AC53,FIND("|",AC53)+1,FIND("-",AC53)-FIND("|",AC53)-1)-MID(AC53,FIND("-",AC53)+1,11),$D$9)),)</f>
        <v>0</v>
      </c>
      <c r="AE53" s="774"/>
      <c r="AF53" s="774"/>
      <c r="AG53" s="774"/>
      <c r="AH53" s="954"/>
      <c r="AI53" s="796">
        <f t="shared" ref="AI53" si="188">IFERROR(SUM(IF($J53=AH53,$D$10),IF(LEFT($J53,1)=LEFT(AH53,1),$D$8),IF(MID($J53,FIND("|",$J53)+1,FIND("-",$J53)-FIND("|",$J53)-1)-MID($J53,FIND("-",$J53)+1,11)=MID(AH53,FIND("|",AH53)+1,FIND("-",AH53)-FIND("|",AH53)-1)-MID(AH53,FIND("-",AH53)+1,11),$D$9)),)</f>
        <v>0</v>
      </c>
      <c r="AJ53" s="774"/>
      <c r="AK53" s="774"/>
      <c r="AL53" s="774"/>
    </row>
    <row r="54" spans="1:38" ht="15" customHeight="1">
      <c r="A54" s="808"/>
      <c r="B54" s="813"/>
      <c r="C54" s="808"/>
      <c r="D54" s="808"/>
      <c r="E54" s="808"/>
      <c r="F54" s="894">
        <v>44897</v>
      </c>
      <c r="G54" s="834" t="s">
        <v>188</v>
      </c>
      <c r="H54" t="str">
        <f ca="1">CONCATENATE(MUNDIAL!I64,"-",MUNDIAL!N64)</f>
        <v>Ghana-Uruguay</v>
      </c>
      <c r="I54" s="799"/>
      <c r="J54" s="821" t="str">
        <f>CONCATENATE(IF(MUNDIAL!K64&gt;MUNDIAL!L64,1,IF(MUNDIAL!K64&lt;MUNDIAL!L64,2,IF(AND(MUNDIAL!K64=MUNDIAL!L64,MUNDIAL!K64&lt;&gt;"",MUNDIAL!L64&lt;&gt;""),"X",0))),"|",MUNDIAL!K64,"-",MUNDIAL!L64)</f>
        <v>2|0-2</v>
      </c>
      <c r="K54" s="774"/>
      <c r="L54" s="774"/>
      <c r="M54" s="774"/>
      <c r="N54" s="954"/>
      <c r="O54" s="796">
        <f t="shared" si="4"/>
        <v>0</v>
      </c>
      <c r="P54" s="774"/>
      <c r="Q54" s="774"/>
      <c r="R54" s="774"/>
      <c r="S54" s="795"/>
      <c r="T54" s="796">
        <f t="shared" ref="T54" si="189">IFERROR(SUM(IF($J54=S54,$D$10),IF(LEFT($J54,1)=LEFT(S54,1),$D$8),IF(MID($J54,FIND("|",$J54)+1,FIND("-",$J54)-FIND("|",$J54)-1)-MID($J54,FIND("-",$J54)+1,11)=MID(S54,FIND("|",S54)+1,FIND("-",S54)-FIND("|",S54)-1)-MID(S54,FIND("-",S54)+1,11),$D$9)),)</f>
        <v>0</v>
      </c>
      <c r="U54" s="774"/>
      <c r="V54" s="774"/>
      <c r="W54" s="774"/>
      <c r="X54" s="795"/>
      <c r="Y54" s="796">
        <f t="shared" ref="Y54" si="190">IFERROR(SUM(IF($J54=X54,$D$10),IF(LEFT($J54,1)=LEFT(X54,1),$D$8),IF(MID($J54,FIND("|",$J54)+1,FIND("-",$J54)-FIND("|",$J54)-1)-MID($J54,FIND("-",$J54)+1,11)=MID(X54,FIND("|",X54)+1,FIND("-",X54)-FIND("|",X54)-1)-MID(X54,FIND("-",X54)+1,11),$D$9)),)</f>
        <v>0</v>
      </c>
      <c r="Z54" s="774"/>
      <c r="AA54" s="774"/>
      <c r="AB54" s="774"/>
      <c r="AC54" s="795"/>
      <c r="AD54" s="796">
        <f t="shared" ref="AD54" si="191">IFERROR(SUM(IF($J54=AC54,$D$10),IF(LEFT($J54,1)=LEFT(AC54,1),$D$8),IF(MID($J54,FIND("|",$J54)+1,FIND("-",$J54)-FIND("|",$J54)-1)-MID($J54,FIND("-",$J54)+1,11)=MID(AC54,FIND("|",AC54)+1,FIND("-",AC54)-FIND("|",AC54)-1)-MID(AC54,FIND("-",AC54)+1,11),$D$9)),)</f>
        <v>0</v>
      </c>
      <c r="AE54" s="774"/>
      <c r="AF54" s="774"/>
      <c r="AG54" s="774"/>
      <c r="AH54" s="954"/>
      <c r="AI54" s="796">
        <f t="shared" ref="AI54" si="192">IFERROR(SUM(IF($J54=AH54,$D$10),IF(LEFT($J54,1)=LEFT(AH54,1),$D$8),IF(MID($J54,FIND("|",$J54)+1,FIND("-",$J54)-FIND("|",$J54)-1)-MID($J54,FIND("-",$J54)+1,11)=MID(AH54,FIND("|",AH54)+1,FIND("-",AH54)-FIND("|",AH54)-1)-MID(AH54,FIND("-",AH54)+1,11),$D$9)),)</f>
        <v>0</v>
      </c>
      <c r="AJ54" s="774"/>
      <c r="AK54" s="774"/>
      <c r="AL54" s="774"/>
    </row>
    <row r="55" spans="1:38" ht="15" customHeight="1">
      <c r="A55" s="808"/>
      <c r="B55" s="813"/>
      <c r="C55" s="808"/>
      <c r="D55" s="808"/>
      <c r="E55" s="808"/>
      <c r="F55" s="894">
        <v>44897</v>
      </c>
      <c r="G55" s="835" t="s">
        <v>188</v>
      </c>
      <c r="H55" s="814" t="str">
        <f ca="1">CONCATENATE(MUNDIAL!I65,"-",MUNDIAL!N65)</f>
        <v>Corea del Sur-Portugal</v>
      </c>
      <c r="I55" s="815"/>
      <c r="J55" s="823" t="str">
        <f>CONCATENATE(IF(MUNDIAL!K65&gt;MUNDIAL!L65,1,IF(MUNDIAL!K65&lt;MUNDIAL!L65,2,IF(AND(MUNDIAL!K65=MUNDIAL!L65,MUNDIAL!K65&lt;&gt;"",MUNDIAL!L65&lt;&gt;""),"X",0))),"|",MUNDIAL!K65,"-",MUNDIAL!L65)</f>
        <v>1|2-1</v>
      </c>
      <c r="K55" s="774"/>
      <c r="L55" s="774"/>
      <c r="M55" s="774"/>
      <c r="N55" s="954"/>
      <c r="O55" s="796">
        <f t="shared" si="4"/>
        <v>0</v>
      </c>
      <c r="P55" s="774"/>
      <c r="Q55" s="774"/>
      <c r="R55" s="774"/>
      <c r="S55" s="795"/>
      <c r="T55" s="796">
        <f t="shared" ref="T55" si="193">IFERROR(SUM(IF($J55=S55,$D$10),IF(LEFT($J55,1)=LEFT(S55,1),$D$8),IF(MID($J55,FIND("|",$J55)+1,FIND("-",$J55)-FIND("|",$J55)-1)-MID($J55,FIND("-",$J55)+1,11)=MID(S55,FIND("|",S55)+1,FIND("-",S55)-FIND("|",S55)-1)-MID(S55,FIND("-",S55)+1,11),$D$9)),)</f>
        <v>0</v>
      </c>
      <c r="U55" s="774"/>
      <c r="V55" s="774"/>
      <c r="W55" s="774"/>
      <c r="X55" s="795"/>
      <c r="Y55" s="796">
        <f t="shared" ref="Y55" si="194">IFERROR(SUM(IF($J55=X55,$D$10),IF(LEFT($J55,1)=LEFT(X55,1),$D$8),IF(MID($J55,FIND("|",$J55)+1,FIND("-",$J55)-FIND("|",$J55)-1)-MID($J55,FIND("-",$J55)+1,11)=MID(X55,FIND("|",X55)+1,FIND("-",X55)-FIND("|",X55)-1)-MID(X55,FIND("-",X55)+1,11),$D$9)),)</f>
        <v>0</v>
      </c>
      <c r="Z55" s="774"/>
      <c r="AA55" s="774"/>
      <c r="AB55" s="774"/>
      <c r="AC55" s="795"/>
      <c r="AD55" s="796">
        <f t="shared" ref="AD55" si="195">IFERROR(SUM(IF($J55=AC55,$D$10),IF(LEFT($J55,1)=LEFT(AC55,1),$D$8),IF(MID($J55,FIND("|",$J55)+1,FIND("-",$J55)-FIND("|",$J55)-1)-MID($J55,FIND("-",$J55)+1,11)=MID(AC55,FIND("|",AC55)+1,FIND("-",AC55)-FIND("|",AC55)-1)-MID(AC55,FIND("-",AC55)+1,11),$D$9)),)</f>
        <v>0</v>
      </c>
      <c r="AE55" s="774"/>
      <c r="AF55" s="774"/>
      <c r="AG55" s="774"/>
      <c r="AH55" s="954"/>
      <c r="AI55" s="796">
        <f t="shared" ref="AI55" si="196">IFERROR(SUM(IF($J55=AH55,$D$10),IF(LEFT($J55,1)=LEFT(AH55,1),$D$8),IF(MID($J55,FIND("|",$J55)+1,FIND("-",$J55)-FIND("|",$J55)-1)-MID($J55,FIND("-",$J55)+1,11)=MID(AH55,FIND("|",AH55)+1,FIND("-",AH55)-FIND("|",AH55)-1)-MID(AH55,FIND("-",AH55)+1,11),$D$9)),)</f>
        <v>0</v>
      </c>
      <c r="AJ55" s="774"/>
      <c r="AK55" s="774"/>
      <c r="AL55" s="774"/>
    </row>
    <row r="56" spans="1:38">
      <c r="A56" s="774"/>
      <c r="B56" s="774"/>
      <c r="C56" s="808"/>
      <c r="D56" s="808"/>
      <c r="E56" s="774"/>
      <c r="F56" s="894"/>
      <c r="G56" s="774"/>
      <c r="H56" s="774"/>
      <c r="I56" s="774"/>
      <c r="J56" s="152"/>
      <c r="K56" s="774"/>
      <c r="L56" s="774"/>
      <c r="M56" s="774"/>
      <c r="N56" s="957"/>
      <c r="O56" s="782" t="str">
        <f>CONCATENATE(SUM(O8:O55),"/",SUM($D$8:$D$10)*COUNT(O8:O55))</f>
        <v>0/0</v>
      </c>
      <c r="P56" s="774"/>
      <c r="Q56" s="774"/>
      <c r="R56" s="774"/>
      <c r="S56" s="816"/>
      <c r="T56" s="782" t="str">
        <f t="shared" ref="T56" si="197">CONCATENATE(SUM(T8:T55),"/",SUM($D$8:$D$10)*COUNT(T8:T55))</f>
        <v>0/0</v>
      </c>
      <c r="U56" s="774"/>
      <c r="V56" s="774"/>
      <c r="W56" s="774"/>
      <c r="X56" s="816"/>
      <c r="Y56" s="782" t="str">
        <f t="shared" ref="Y56" si="198">CONCATENATE(SUM(Y8:Y55),"/",SUM($D$8:$D$10)*COUNT(Y8:Y55))</f>
        <v>0/0</v>
      </c>
      <c r="Z56" s="774"/>
      <c r="AA56" s="774"/>
      <c r="AB56" s="774"/>
      <c r="AC56" s="816"/>
      <c r="AD56" s="782" t="str">
        <f t="shared" ref="AD56" si="199">CONCATENATE(SUM(AD8:AD55),"/",SUM($D$8:$D$10)*COUNT(AD8:AD55))</f>
        <v>0/0</v>
      </c>
      <c r="AE56" s="774"/>
      <c r="AF56" s="774"/>
      <c r="AG56" s="774"/>
      <c r="AH56" s="957"/>
      <c r="AI56" s="782" t="str">
        <f t="shared" ref="AI56" si="200">CONCATENATE(SUM(AI8:AI55),"/",SUM($D$8:$D$10)*COUNT(AI8:AI55))</f>
        <v>0/0</v>
      </c>
      <c r="AJ56" s="774"/>
      <c r="AK56" s="774"/>
      <c r="AL56" s="774"/>
    </row>
    <row r="57" spans="1:38" ht="16">
      <c r="A57" s="774"/>
      <c r="B57" s="774"/>
      <c r="C57" s="808"/>
      <c r="D57" s="808"/>
      <c r="E57" s="774"/>
      <c r="F57" s="894"/>
      <c r="G57" s="817"/>
      <c r="H57" s="883" t="s">
        <v>301</v>
      </c>
      <c r="I57" s="883"/>
      <c r="J57" s="885"/>
      <c r="K57" s="774"/>
      <c r="L57" s="774"/>
      <c r="M57" s="774"/>
      <c r="N57" s="957"/>
      <c r="O57" s="774"/>
      <c r="P57" s="774"/>
      <c r="Q57" s="774"/>
      <c r="R57" s="774"/>
      <c r="S57" s="816"/>
      <c r="T57" s="774"/>
      <c r="U57" s="774"/>
      <c r="V57" s="774"/>
      <c r="W57" s="774"/>
      <c r="X57" s="816"/>
      <c r="Y57" s="774"/>
      <c r="Z57" s="774"/>
      <c r="AA57" s="774"/>
      <c r="AB57" s="774"/>
      <c r="AC57" s="816"/>
      <c r="AD57" s="774"/>
      <c r="AE57" s="774"/>
      <c r="AF57" s="774"/>
      <c r="AG57" s="774"/>
      <c r="AH57" s="957"/>
      <c r="AI57" s="774"/>
      <c r="AJ57" s="774"/>
      <c r="AK57" s="774"/>
      <c r="AL57" s="774"/>
    </row>
    <row r="58" spans="1:38" ht="15" customHeight="1">
      <c r="A58" s="774"/>
      <c r="B58" s="774"/>
      <c r="C58" s="808"/>
      <c r="D58" s="808"/>
      <c r="E58" s="774"/>
      <c r="F58" s="894">
        <v>44894</v>
      </c>
      <c r="G58" s="1025" t="s">
        <v>0</v>
      </c>
      <c r="H58" s="818" t="s">
        <v>87</v>
      </c>
      <c r="I58" s="819"/>
      <c r="J58" s="819" t="str">
        <f ca="1">IF(SUM(MUNDIAL!$T$6:$T$9)=12,MUNDIAL!R6,"1A")</f>
        <v>Paises Bajos</v>
      </c>
      <c r="K58" s="774"/>
      <c r="L58" s="774"/>
      <c r="M58" s="774"/>
      <c r="N58" s="953"/>
      <c r="O58">
        <f t="shared" ref="O58:O86" ca="1" si="201">IF($J58=N58,$D$11,0)</f>
        <v>0</v>
      </c>
      <c r="P58" s="774"/>
      <c r="Q58" s="774"/>
      <c r="R58" s="774"/>
      <c r="S58" s="820"/>
      <c r="T58">
        <f t="shared" ref="T58" ca="1" si="202">IF($J58=S58,$D$11,0)</f>
        <v>0</v>
      </c>
      <c r="U58" s="774"/>
      <c r="V58" s="774"/>
      <c r="W58" s="774"/>
      <c r="X58" s="820"/>
      <c r="Y58">
        <f t="shared" ref="Y58" ca="1" si="203">IF($J58=X58,$D$11,0)</f>
        <v>0</v>
      </c>
      <c r="Z58" s="774"/>
      <c r="AA58" s="774"/>
      <c r="AB58" s="774"/>
      <c r="AC58" s="820"/>
      <c r="AD58">
        <f t="shared" ref="AD58" ca="1" si="204">IF($J58=AC58,$D$11,0)</f>
        <v>0</v>
      </c>
      <c r="AE58" s="774"/>
      <c r="AF58" s="774"/>
      <c r="AG58" s="774"/>
      <c r="AH58" s="953"/>
      <c r="AI58">
        <f t="shared" ref="AI58" ca="1" si="205">IF($J58=AH58,$D$11,0)</f>
        <v>0</v>
      </c>
      <c r="AJ58" s="774"/>
      <c r="AK58" s="774"/>
      <c r="AL58" s="774"/>
    </row>
    <row r="59" spans="1:38" ht="15" customHeight="1">
      <c r="A59" s="774"/>
      <c r="B59" s="774"/>
      <c r="C59" s="808"/>
      <c r="D59" s="808"/>
      <c r="E59" s="774"/>
      <c r="F59" s="894">
        <v>44894</v>
      </c>
      <c r="G59" s="1026"/>
      <c r="H59" s="9" t="s">
        <v>88</v>
      </c>
      <c r="I59" s="821"/>
      <c r="J59" s="821" t="str">
        <f ca="1">IF(SUM(MUNDIAL!$T$6:$T$9)=12,MUNDIAL!R7,"2A")</f>
        <v>Senegal</v>
      </c>
      <c r="K59" s="774"/>
      <c r="L59" s="774"/>
      <c r="M59" s="774"/>
      <c r="N59" s="953"/>
      <c r="O59">
        <f ca="1">IF($J59=N59,$D$12,0)</f>
        <v>0</v>
      </c>
      <c r="P59" s="774"/>
      <c r="Q59" s="774"/>
      <c r="R59" s="774"/>
      <c r="S59" s="820"/>
      <c r="T59">
        <f ca="1">IF($J59=S59,$D$12,0)</f>
        <v>0</v>
      </c>
      <c r="U59" s="774"/>
      <c r="V59" s="774"/>
      <c r="W59" s="774"/>
      <c r="X59" s="820"/>
      <c r="Y59">
        <f ca="1">IF($J59=X59,$D$12,0)</f>
        <v>0</v>
      </c>
      <c r="Z59" s="774"/>
      <c r="AA59" s="774"/>
      <c r="AB59" s="774"/>
      <c r="AC59" s="820"/>
      <c r="AD59">
        <f ca="1">IF($J59=AC59,$D$12,0)</f>
        <v>0</v>
      </c>
      <c r="AE59" s="774"/>
      <c r="AF59" s="774"/>
      <c r="AG59" s="774"/>
      <c r="AH59" s="953"/>
      <c r="AI59">
        <f ca="1">IF($J59=AH59,$D$12,0)</f>
        <v>0</v>
      </c>
      <c r="AJ59" s="774"/>
      <c r="AK59" s="774"/>
      <c r="AL59" s="774"/>
    </row>
    <row r="60" spans="1:38" ht="15" customHeight="1">
      <c r="A60" s="774"/>
      <c r="B60" s="774"/>
      <c r="C60" s="774"/>
      <c r="D60" s="774"/>
      <c r="E60" s="774"/>
      <c r="F60" s="894">
        <v>44894</v>
      </c>
      <c r="G60" s="1026"/>
      <c r="H60" s="9" t="s">
        <v>89</v>
      </c>
      <c r="I60" s="821"/>
      <c r="J60" s="821" t="str">
        <f ca="1">IF(SUM(MUNDIAL!$T$6:$T$9)=12,MUNDIAL!R8,"3A")</f>
        <v>Ecuador</v>
      </c>
      <c r="K60" s="774"/>
      <c r="L60" s="774"/>
      <c r="M60" s="774"/>
      <c r="N60" s="953"/>
      <c r="O60">
        <f ca="1">IF($J60=N60,$D$13,0)</f>
        <v>0</v>
      </c>
      <c r="P60" s="774"/>
      <c r="Q60" s="774"/>
      <c r="R60" s="774"/>
      <c r="S60" s="820"/>
      <c r="T60">
        <f ca="1">IF($J60=S60,$D$13,0)</f>
        <v>0</v>
      </c>
      <c r="U60" s="774"/>
      <c r="V60" s="774"/>
      <c r="W60" s="774"/>
      <c r="X60" s="820"/>
      <c r="Y60">
        <f ca="1">IF($J60=X60,$D$13,0)</f>
        <v>0</v>
      </c>
      <c r="Z60" s="774"/>
      <c r="AA60" s="774"/>
      <c r="AB60" s="774"/>
      <c r="AC60" s="820"/>
      <c r="AD60">
        <f ca="1">IF($J60=AC60,$D$13,0)</f>
        <v>0</v>
      </c>
      <c r="AE60" s="774"/>
      <c r="AF60" s="774"/>
      <c r="AG60" s="774"/>
      <c r="AH60" s="953"/>
      <c r="AI60">
        <f ca="1">IF($J60=AH60,$D$13,0)</f>
        <v>0</v>
      </c>
      <c r="AJ60" s="774"/>
      <c r="AK60" s="774"/>
      <c r="AL60" s="774"/>
    </row>
    <row r="61" spans="1:38" ht="15" customHeight="1">
      <c r="A61" s="774"/>
      <c r="B61" s="774"/>
      <c r="C61" s="774"/>
      <c r="D61" s="774"/>
      <c r="E61" s="774"/>
      <c r="F61" s="894">
        <v>44894</v>
      </c>
      <c r="G61" s="1026"/>
      <c r="H61" s="9" t="s">
        <v>90</v>
      </c>
      <c r="I61" s="821"/>
      <c r="J61" s="821" t="str">
        <f ca="1">IF(SUM(MUNDIAL!$T$6:$T$9)=12,MUNDIAL!R9,"4A")</f>
        <v>Catar</v>
      </c>
      <c r="K61" s="774"/>
      <c r="L61" s="774"/>
      <c r="M61" s="774"/>
      <c r="N61" s="953"/>
      <c r="O61">
        <f ca="1">IF($J61=N61,$D$14,0)</f>
        <v>0</v>
      </c>
      <c r="P61" s="774"/>
      <c r="Q61" s="774"/>
      <c r="R61" s="774"/>
      <c r="S61" s="820"/>
      <c r="T61">
        <f ca="1">IF($J61=S61,$D$14,0)</f>
        <v>0</v>
      </c>
      <c r="U61" s="774"/>
      <c r="V61" s="774"/>
      <c r="W61" s="774"/>
      <c r="X61" s="820"/>
      <c r="Y61">
        <f ca="1">IF($J61=X61,$D$14,0)</f>
        <v>0</v>
      </c>
      <c r="Z61" s="774"/>
      <c r="AA61" s="774"/>
      <c r="AB61" s="774"/>
      <c r="AC61" s="820"/>
      <c r="AD61">
        <f ca="1">IF($J61=AC61,$D$14,0)</f>
        <v>0</v>
      </c>
      <c r="AE61" s="774"/>
      <c r="AF61" s="774"/>
      <c r="AG61" s="774"/>
      <c r="AH61" s="953"/>
      <c r="AI61">
        <f ca="1">IF($J61=AH61,$D$14,0)</f>
        <v>0</v>
      </c>
      <c r="AJ61" s="774"/>
      <c r="AK61" s="774"/>
      <c r="AL61" s="774"/>
    </row>
    <row r="62" spans="1:38" ht="15" customHeight="1">
      <c r="A62" s="774"/>
      <c r="B62" s="774"/>
      <c r="C62" s="774"/>
      <c r="D62" s="774"/>
      <c r="E62" s="774"/>
      <c r="F62" s="894">
        <v>44894</v>
      </c>
      <c r="G62" s="1039" t="s">
        <v>1</v>
      </c>
      <c r="H62" s="9" t="s">
        <v>91</v>
      </c>
      <c r="I62" s="821"/>
      <c r="J62" s="821" t="str">
        <f ca="1">IF(SUM(MUNDIAL!$T$14:$T$17)=12,MUNDIAL!R14,"1B")</f>
        <v>Inglaterra</v>
      </c>
      <c r="K62" s="774"/>
      <c r="L62" s="774"/>
      <c r="M62" s="774"/>
      <c r="N62" s="953"/>
      <c r="O62">
        <f t="shared" ca="1" si="201"/>
        <v>0</v>
      </c>
      <c r="P62" s="774"/>
      <c r="Q62" s="774"/>
      <c r="R62" s="774"/>
      <c r="S62" s="820"/>
      <c r="T62">
        <f t="shared" ref="T62" ca="1" si="206">IF($J62=S62,$D$11,0)</f>
        <v>0</v>
      </c>
      <c r="U62" s="774"/>
      <c r="V62" s="774"/>
      <c r="W62" s="774"/>
      <c r="X62" s="820"/>
      <c r="Y62">
        <f t="shared" ref="Y62" ca="1" si="207">IF($J62=X62,$D$11,0)</f>
        <v>0</v>
      </c>
      <c r="Z62" s="774"/>
      <c r="AA62" s="774"/>
      <c r="AB62" s="774"/>
      <c r="AC62" s="820"/>
      <c r="AD62">
        <f t="shared" ref="AD62" ca="1" si="208">IF($J62=AC62,$D$11,0)</f>
        <v>0</v>
      </c>
      <c r="AE62" s="774"/>
      <c r="AF62" s="774"/>
      <c r="AG62" s="774"/>
      <c r="AH62" s="953"/>
      <c r="AI62">
        <f t="shared" ref="AI62" ca="1" si="209">IF($J62=AH62,$D$11,0)</f>
        <v>0</v>
      </c>
      <c r="AJ62" s="774"/>
      <c r="AK62" s="774"/>
      <c r="AL62" s="774"/>
    </row>
    <row r="63" spans="1:38" ht="15" customHeight="1">
      <c r="A63" s="774"/>
      <c r="B63" s="774"/>
      <c r="C63" s="774"/>
      <c r="D63" s="774"/>
      <c r="E63" s="774"/>
      <c r="F63" s="894">
        <v>44894</v>
      </c>
      <c r="G63" s="1039"/>
      <c r="H63" s="9" t="s">
        <v>92</v>
      </c>
      <c r="I63" s="821"/>
      <c r="J63" s="821" t="str">
        <f ca="1">IF(SUM(MUNDIAL!$T$14:$T$17)=12,MUNDIAL!R15,"2B")</f>
        <v>Estados unidos</v>
      </c>
      <c r="K63" s="774"/>
      <c r="L63" s="774"/>
      <c r="M63" s="774"/>
      <c r="N63" s="953"/>
      <c r="O63">
        <f ca="1">IF($J63=N63,$D$12,0)</f>
        <v>0</v>
      </c>
      <c r="P63" s="774"/>
      <c r="Q63" s="774"/>
      <c r="R63" s="774"/>
      <c r="S63" s="820"/>
      <c r="T63">
        <f ca="1">IF($J63=S63,$D$12,0)</f>
        <v>0</v>
      </c>
      <c r="U63" s="774"/>
      <c r="V63" s="774"/>
      <c r="W63" s="774"/>
      <c r="X63" s="820"/>
      <c r="Y63">
        <f ca="1">IF($J63=X63,$D$12,0)</f>
        <v>0</v>
      </c>
      <c r="Z63" s="774"/>
      <c r="AA63" s="774"/>
      <c r="AB63" s="774"/>
      <c r="AC63" s="820"/>
      <c r="AD63">
        <f ca="1">IF($J63=AC63,$D$12,0)</f>
        <v>0</v>
      </c>
      <c r="AE63" s="774"/>
      <c r="AF63" s="774"/>
      <c r="AG63" s="774"/>
      <c r="AH63" s="953"/>
      <c r="AI63">
        <f ca="1">IF($J63=AH63,$D$12,0)</f>
        <v>0</v>
      </c>
      <c r="AJ63" s="774"/>
      <c r="AK63" s="774"/>
      <c r="AL63" s="774"/>
    </row>
    <row r="64" spans="1:38" ht="15" customHeight="1">
      <c r="A64" s="774"/>
      <c r="B64" s="774"/>
      <c r="C64" s="774"/>
      <c r="D64" s="774"/>
      <c r="E64" s="774"/>
      <c r="F64" s="894">
        <v>44894</v>
      </c>
      <c r="G64" s="1039"/>
      <c r="H64" s="9" t="s">
        <v>93</v>
      </c>
      <c r="I64" s="821"/>
      <c r="J64" s="821" t="str">
        <f ca="1">IF(SUM(MUNDIAL!$T$14:$T$17)=12,MUNDIAL!R16,"3B")</f>
        <v>Irán</v>
      </c>
      <c r="K64" s="774"/>
      <c r="L64" s="774"/>
      <c r="M64" s="774"/>
      <c r="N64" s="953"/>
      <c r="O64">
        <f ca="1">IF($J64=N64,$D$13,0)</f>
        <v>0</v>
      </c>
      <c r="P64" s="774"/>
      <c r="Q64" s="774"/>
      <c r="R64" s="774"/>
      <c r="S64" s="820"/>
      <c r="T64">
        <f ca="1">IF($J64=S64,$D$13,0)</f>
        <v>0</v>
      </c>
      <c r="U64" s="774"/>
      <c r="V64" s="774"/>
      <c r="W64" s="774"/>
      <c r="X64" s="820"/>
      <c r="Y64">
        <f ca="1">IF($J64=X64,$D$13,0)</f>
        <v>0</v>
      </c>
      <c r="Z64" s="774"/>
      <c r="AA64" s="774"/>
      <c r="AB64" s="774"/>
      <c r="AC64" s="820"/>
      <c r="AD64">
        <f ca="1">IF($J64=AC64,$D$13,0)</f>
        <v>0</v>
      </c>
      <c r="AE64" s="774"/>
      <c r="AF64" s="774"/>
      <c r="AG64" s="774"/>
      <c r="AH64" s="953"/>
      <c r="AI64">
        <f ca="1">IF($J64=AH64,$D$13,0)</f>
        <v>0</v>
      </c>
      <c r="AJ64" s="774"/>
      <c r="AK64" s="774"/>
      <c r="AL64" s="774"/>
    </row>
    <row r="65" spans="1:38" ht="15" customHeight="1">
      <c r="A65" s="774"/>
      <c r="B65" s="774"/>
      <c r="C65" s="774"/>
      <c r="D65" s="774"/>
      <c r="E65" s="774"/>
      <c r="F65" s="894">
        <v>44894</v>
      </c>
      <c r="G65" s="1039"/>
      <c r="H65" s="9" t="s">
        <v>94</v>
      </c>
      <c r="I65" s="821"/>
      <c r="J65" s="821" t="str">
        <f ca="1">IF(SUM(MUNDIAL!$T$14:$T$17)=12,MUNDIAL!R17,"4B")</f>
        <v>Gales</v>
      </c>
      <c r="K65" s="774"/>
      <c r="L65" s="774"/>
      <c r="M65" s="774"/>
      <c r="N65" s="953"/>
      <c r="O65">
        <f ca="1">IF($J65=N65,$D$14,0)</f>
        <v>0</v>
      </c>
      <c r="P65" s="774"/>
      <c r="Q65" s="774"/>
      <c r="R65" s="774"/>
      <c r="S65" s="820"/>
      <c r="T65">
        <f ca="1">IF($J65=S65,$D$14,0)</f>
        <v>0</v>
      </c>
      <c r="U65" s="774"/>
      <c r="V65" s="774"/>
      <c r="W65" s="774"/>
      <c r="X65" s="820"/>
      <c r="Y65">
        <f ca="1">IF($J65=X65,$D$14,0)</f>
        <v>0</v>
      </c>
      <c r="Z65" s="774"/>
      <c r="AA65" s="774"/>
      <c r="AB65" s="774"/>
      <c r="AC65" s="820"/>
      <c r="AD65">
        <f ca="1">IF($J65=AC65,$D$14,0)</f>
        <v>0</v>
      </c>
      <c r="AE65" s="774"/>
      <c r="AF65" s="774"/>
      <c r="AG65" s="774"/>
      <c r="AH65" s="953"/>
      <c r="AI65">
        <f ca="1">IF($J65=AH65,$D$14,0)</f>
        <v>0</v>
      </c>
      <c r="AJ65" s="774"/>
      <c r="AK65" s="774"/>
      <c r="AL65" s="774"/>
    </row>
    <row r="66" spans="1:38" ht="15" customHeight="1">
      <c r="A66" s="774"/>
      <c r="B66" s="774"/>
      <c r="C66" s="774"/>
      <c r="D66" s="774"/>
      <c r="E66" s="774"/>
      <c r="F66" s="894">
        <v>44895</v>
      </c>
      <c r="G66" s="1040" t="s">
        <v>2</v>
      </c>
      <c r="H66" s="9" t="s">
        <v>95</v>
      </c>
      <c r="I66" s="821"/>
      <c r="J66" s="821" t="str">
        <f ca="1">IF(SUM(MUNDIAL!$T$22:$T$25)=12,MUNDIAL!R22,"1C")</f>
        <v>Argentina</v>
      </c>
      <c r="K66" s="774"/>
      <c r="L66" s="774"/>
      <c r="M66" s="774"/>
      <c r="N66" s="953"/>
      <c r="O66">
        <f t="shared" ca="1" si="201"/>
        <v>0</v>
      </c>
      <c r="P66" s="774"/>
      <c r="Q66" s="774"/>
      <c r="R66" s="774"/>
      <c r="S66" s="820"/>
      <c r="T66">
        <f t="shared" ref="T66" ca="1" si="210">IF($J66=S66,$D$11,0)</f>
        <v>0</v>
      </c>
      <c r="U66" s="774"/>
      <c r="V66" s="774"/>
      <c r="W66" s="774"/>
      <c r="X66" s="820"/>
      <c r="Y66">
        <f t="shared" ref="Y66" ca="1" si="211">IF($J66=X66,$D$11,0)</f>
        <v>0</v>
      </c>
      <c r="Z66" s="774"/>
      <c r="AA66" s="774"/>
      <c r="AB66" s="774"/>
      <c r="AC66" s="820"/>
      <c r="AD66">
        <f t="shared" ref="AD66" ca="1" si="212">IF($J66=AC66,$D$11,0)</f>
        <v>0</v>
      </c>
      <c r="AE66" s="774"/>
      <c r="AF66" s="774"/>
      <c r="AG66" s="774"/>
      <c r="AH66" s="953"/>
      <c r="AI66">
        <f t="shared" ref="AI66" ca="1" si="213">IF($J66=AH66,$D$11,0)</f>
        <v>0</v>
      </c>
      <c r="AJ66" s="774"/>
      <c r="AK66" s="774"/>
      <c r="AL66" s="774"/>
    </row>
    <row r="67" spans="1:38" ht="15" customHeight="1">
      <c r="A67" s="774"/>
      <c r="B67" s="774"/>
      <c r="C67" s="785"/>
      <c r="D67" s="785"/>
      <c r="E67" s="774"/>
      <c r="F67" s="894">
        <v>44895</v>
      </c>
      <c r="G67" s="1040"/>
      <c r="H67" s="9" t="s">
        <v>96</v>
      </c>
      <c r="I67" s="821"/>
      <c r="J67" s="821" t="str">
        <f ca="1">IF(SUM(MUNDIAL!$T$22:$T$25)=12,MUNDIAL!R23,"2C")</f>
        <v>Polonia</v>
      </c>
      <c r="K67" s="774"/>
      <c r="L67" s="774"/>
      <c r="M67" s="774"/>
      <c r="N67" s="953"/>
      <c r="O67">
        <f ca="1">IF($J67=N67,$D$12,0)</f>
        <v>0</v>
      </c>
      <c r="P67" s="774"/>
      <c r="Q67" s="774"/>
      <c r="R67" s="774"/>
      <c r="S67" s="820"/>
      <c r="T67">
        <f ca="1">IF($J67=S67,$D$12,0)</f>
        <v>0</v>
      </c>
      <c r="U67" s="774"/>
      <c r="V67" s="774"/>
      <c r="W67" s="774"/>
      <c r="X67" s="820"/>
      <c r="Y67">
        <f ca="1">IF($J67=X67,$D$12,0)</f>
        <v>0</v>
      </c>
      <c r="Z67" s="774"/>
      <c r="AA67" s="774"/>
      <c r="AB67" s="774"/>
      <c r="AC67" s="820"/>
      <c r="AD67">
        <f ca="1">IF($J67=AC67,$D$12,0)</f>
        <v>0</v>
      </c>
      <c r="AE67" s="774"/>
      <c r="AF67" s="774"/>
      <c r="AG67" s="774"/>
      <c r="AH67" s="953"/>
      <c r="AI67">
        <f ca="1">IF($J67=AH67,$D$12,0)</f>
        <v>0</v>
      </c>
      <c r="AJ67" s="774"/>
      <c r="AK67" s="774"/>
      <c r="AL67" s="774"/>
    </row>
    <row r="68" spans="1:38" ht="15" customHeight="1">
      <c r="A68" s="774"/>
      <c r="B68" s="774"/>
      <c r="C68" s="774"/>
      <c r="D68" s="774"/>
      <c r="E68" s="774"/>
      <c r="F68" s="894">
        <v>44895</v>
      </c>
      <c r="G68" s="1040"/>
      <c r="H68" s="9" t="s">
        <v>97</v>
      </c>
      <c r="I68" s="821"/>
      <c r="J68" s="821" t="str">
        <f ca="1">IF(SUM(MUNDIAL!$T$22:$T$25)=12,MUNDIAL!R24,"3C")</f>
        <v>México</v>
      </c>
      <c r="K68" s="774"/>
      <c r="L68" s="774"/>
      <c r="M68" s="774"/>
      <c r="N68" s="953"/>
      <c r="O68">
        <f ca="1">IF($J68=N68,$D$13,0)</f>
        <v>0</v>
      </c>
      <c r="P68" s="774"/>
      <c r="Q68" s="774"/>
      <c r="R68" s="774"/>
      <c r="S68" s="820"/>
      <c r="T68">
        <f ca="1">IF($J68=S68,$D$13,0)</f>
        <v>0</v>
      </c>
      <c r="U68" s="774"/>
      <c r="V68" s="774"/>
      <c r="W68" s="774"/>
      <c r="X68" s="820"/>
      <c r="Y68">
        <f ca="1">IF($J68=X68,$D$13,0)</f>
        <v>0</v>
      </c>
      <c r="Z68" s="774"/>
      <c r="AA68" s="774"/>
      <c r="AB68" s="774"/>
      <c r="AC68" s="820"/>
      <c r="AD68">
        <f ca="1">IF($J68=AC68,$D$13,0)</f>
        <v>0</v>
      </c>
      <c r="AE68" s="774"/>
      <c r="AF68" s="774"/>
      <c r="AG68" s="774"/>
      <c r="AH68" s="953"/>
      <c r="AI68">
        <f ca="1">IF($J68=AH68,$D$13,0)</f>
        <v>0</v>
      </c>
      <c r="AJ68" s="774"/>
      <c r="AK68" s="774"/>
      <c r="AL68" s="774"/>
    </row>
    <row r="69" spans="1:38" ht="15" customHeight="1">
      <c r="A69" s="774"/>
      <c r="B69" s="774"/>
      <c r="C69" s="774"/>
      <c r="D69" s="774"/>
      <c r="E69" s="774"/>
      <c r="F69" s="894">
        <v>44895</v>
      </c>
      <c r="G69" s="1040"/>
      <c r="H69" s="9" t="s">
        <v>98</v>
      </c>
      <c r="I69" s="821"/>
      <c r="J69" s="821" t="str">
        <f ca="1">IF(SUM(MUNDIAL!$T$22:$T$25)=12,MUNDIAL!R25,"4C")</f>
        <v>Arabia Saudita</v>
      </c>
      <c r="K69" s="774"/>
      <c r="L69" s="774"/>
      <c r="M69" s="774"/>
      <c r="N69" s="953"/>
      <c r="O69">
        <f ca="1">IF($J69=N69,$D$14,0)</f>
        <v>0</v>
      </c>
      <c r="P69" s="774"/>
      <c r="Q69" s="774"/>
      <c r="R69" s="774"/>
      <c r="S69" s="820"/>
      <c r="T69">
        <f ca="1">IF($J69=S69,$D$14,0)</f>
        <v>0</v>
      </c>
      <c r="U69" s="774"/>
      <c r="V69" s="774"/>
      <c r="W69" s="774"/>
      <c r="X69" s="820"/>
      <c r="Y69">
        <f ca="1">IF($J69=X69,$D$14,0)</f>
        <v>0</v>
      </c>
      <c r="Z69" s="774"/>
      <c r="AA69" s="774"/>
      <c r="AB69" s="774"/>
      <c r="AC69" s="820"/>
      <c r="AD69">
        <f ca="1">IF($J69=AC69,$D$14,0)</f>
        <v>0</v>
      </c>
      <c r="AE69" s="774"/>
      <c r="AF69" s="774"/>
      <c r="AG69" s="774"/>
      <c r="AH69" s="953"/>
      <c r="AI69">
        <f ca="1">IF($J69=AH69,$D$14,0)</f>
        <v>0</v>
      </c>
      <c r="AJ69" s="774"/>
      <c r="AK69" s="774"/>
      <c r="AL69" s="774"/>
    </row>
    <row r="70" spans="1:38" ht="15" customHeight="1">
      <c r="A70" s="774"/>
      <c r="B70" s="774"/>
      <c r="C70" s="774"/>
      <c r="D70" s="774"/>
      <c r="E70" s="774"/>
      <c r="F70" s="894">
        <v>44895</v>
      </c>
      <c r="G70" s="1041" t="s">
        <v>105</v>
      </c>
      <c r="H70" s="9" t="s">
        <v>126</v>
      </c>
      <c r="I70" s="821"/>
      <c r="J70" s="821" t="str">
        <f ca="1">IF(SUM(MUNDIAL!$T$30:$T$33)=12,MUNDIAL!R30,"1D")</f>
        <v>Francia</v>
      </c>
      <c r="K70" s="774"/>
      <c r="L70" s="774"/>
      <c r="M70" s="774"/>
      <c r="N70" s="953"/>
      <c r="O70">
        <f t="shared" ca="1" si="201"/>
        <v>0</v>
      </c>
      <c r="P70" s="774"/>
      <c r="Q70" s="774"/>
      <c r="R70" s="774"/>
      <c r="S70" s="820"/>
      <c r="T70">
        <f t="shared" ref="T70" ca="1" si="214">IF($J70=S70,$D$11,0)</f>
        <v>0</v>
      </c>
      <c r="U70" s="774"/>
      <c r="V70" s="774"/>
      <c r="W70" s="774"/>
      <c r="X70" s="820"/>
      <c r="Y70">
        <f t="shared" ref="Y70" ca="1" si="215">IF($J70=X70,$D$11,0)</f>
        <v>0</v>
      </c>
      <c r="Z70" s="774"/>
      <c r="AA70" s="774"/>
      <c r="AB70" s="774"/>
      <c r="AC70" s="820"/>
      <c r="AD70">
        <f t="shared" ref="AD70" ca="1" si="216">IF($J70=AC70,$D$11,0)</f>
        <v>0</v>
      </c>
      <c r="AE70" s="774"/>
      <c r="AF70" s="774"/>
      <c r="AG70" s="774"/>
      <c r="AH70" s="953"/>
      <c r="AI70">
        <f t="shared" ref="AI70" ca="1" si="217">IF($J70=AH70,$D$11,0)</f>
        <v>0</v>
      </c>
      <c r="AJ70" s="774"/>
      <c r="AK70" s="774"/>
      <c r="AL70" s="774"/>
    </row>
    <row r="71" spans="1:38" ht="15" customHeight="1">
      <c r="A71" s="774"/>
      <c r="B71" s="774"/>
      <c r="C71" s="774"/>
      <c r="D71" s="774"/>
      <c r="E71" s="774"/>
      <c r="F71" s="894">
        <v>44895</v>
      </c>
      <c r="G71" s="1041"/>
      <c r="H71" s="9" t="s">
        <v>127</v>
      </c>
      <c r="I71" s="821"/>
      <c r="J71" s="821" t="str">
        <f ca="1">IF(SUM(MUNDIAL!$T$30:$T$33)=12,MUNDIAL!R31,"2D")</f>
        <v>Australia</v>
      </c>
      <c r="K71" s="774"/>
      <c r="L71" s="774"/>
      <c r="M71" s="774"/>
      <c r="N71" s="953"/>
      <c r="O71">
        <f ca="1">IF($J71=N71,$D$12,0)</f>
        <v>0</v>
      </c>
      <c r="P71" s="774"/>
      <c r="Q71" s="774"/>
      <c r="R71" s="774"/>
      <c r="S71" s="820"/>
      <c r="T71">
        <f ca="1">IF($J71=S71,$D$12,0)</f>
        <v>0</v>
      </c>
      <c r="U71" s="774"/>
      <c r="V71" s="774"/>
      <c r="W71" s="774"/>
      <c r="X71" s="820"/>
      <c r="Y71">
        <f ca="1">IF($J71=X71,$D$12,0)</f>
        <v>0</v>
      </c>
      <c r="Z71" s="774"/>
      <c r="AA71" s="774"/>
      <c r="AB71" s="774"/>
      <c r="AC71" s="820"/>
      <c r="AD71">
        <f ca="1">IF($J71=AC71,$D$12,0)</f>
        <v>0</v>
      </c>
      <c r="AE71" s="774"/>
      <c r="AF71" s="774"/>
      <c r="AG71" s="774"/>
      <c r="AH71" s="953"/>
      <c r="AI71">
        <f ca="1">IF($J71=AH71,$D$12,0)</f>
        <v>0</v>
      </c>
      <c r="AJ71" s="774"/>
      <c r="AK71" s="774"/>
      <c r="AL71" s="774"/>
    </row>
    <row r="72" spans="1:38" ht="15" customHeight="1">
      <c r="A72" s="774"/>
      <c r="B72" s="774"/>
      <c r="C72" s="774"/>
      <c r="D72" s="774"/>
      <c r="E72" s="774"/>
      <c r="F72" s="894">
        <v>44895</v>
      </c>
      <c r="G72" s="1041"/>
      <c r="H72" s="9" t="s">
        <v>128</v>
      </c>
      <c r="I72" s="821"/>
      <c r="J72" s="821" t="str">
        <f ca="1">IF(SUM(MUNDIAL!$T$30:$T$33)=12,MUNDIAL!R32,"3D")</f>
        <v>Túnez</v>
      </c>
      <c r="K72" s="774"/>
      <c r="L72" s="774"/>
      <c r="M72" s="774"/>
      <c r="N72" s="953"/>
      <c r="O72">
        <f ca="1">IF($J72=N72,$D$13,0)</f>
        <v>0</v>
      </c>
      <c r="P72" s="774"/>
      <c r="Q72" s="774"/>
      <c r="R72" s="774"/>
      <c r="S72" s="820"/>
      <c r="T72">
        <f ca="1">IF($J72=S72,$D$13,0)</f>
        <v>0</v>
      </c>
      <c r="U72" s="774"/>
      <c r="V72" s="774"/>
      <c r="W72" s="774"/>
      <c r="X72" s="820"/>
      <c r="Y72">
        <f ca="1">IF($J72=X72,$D$13,0)</f>
        <v>0</v>
      </c>
      <c r="Z72" s="774"/>
      <c r="AA72" s="774"/>
      <c r="AB72" s="774"/>
      <c r="AC72" s="820"/>
      <c r="AD72">
        <f ca="1">IF($J72=AC72,$D$13,0)</f>
        <v>0</v>
      </c>
      <c r="AE72" s="774"/>
      <c r="AF72" s="774"/>
      <c r="AG72" s="774"/>
      <c r="AH72" s="953"/>
      <c r="AI72">
        <f ca="1">IF($J72=AH72,$D$13,0)</f>
        <v>0</v>
      </c>
      <c r="AJ72" s="774"/>
      <c r="AK72" s="774"/>
      <c r="AL72" s="774"/>
    </row>
    <row r="73" spans="1:38" ht="15" customHeight="1">
      <c r="A73" s="774"/>
      <c r="B73" s="774"/>
      <c r="C73" s="774"/>
      <c r="D73" s="774"/>
      <c r="E73" s="774"/>
      <c r="F73" s="894">
        <v>44895</v>
      </c>
      <c r="G73" s="1041"/>
      <c r="H73" s="9" t="s">
        <v>129</v>
      </c>
      <c r="I73" s="821"/>
      <c r="J73" s="821" t="str">
        <f ca="1">IF(SUM(MUNDIAL!$T$30:$T$33)=12,MUNDIAL!R33,"4D")</f>
        <v>Dinamarca</v>
      </c>
      <c r="K73" s="774"/>
      <c r="L73" s="774"/>
      <c r="M73" s="774"/>
      <c r="N73" s="953"/>
      <c r="O73">
        <f ca="1">IF($J73=N73,$D$14,0)</f>
        <v>0</v>
      </c>
      <c r="P73" s="774"/>
      <c r="Q73" s="774"/>
      <c r="R73" s="774"/>
      <c r="S73" s="820"/>
      <c r="T73">
        <f ca="1">IF($J73=S73,$D$14,0)</f>
        <v>0</v>
      </c>
      <c r="U73" s="774"/>
      <c r="V73" s="774"/>
      <c r="W73" s="774"/>
      <c r="X73" s="820"/>
      <c r="Y73">
        <f ca="1">IF($J73=X73,$D$14,0)</f>
        <v>0</v>
      </c>
      <c r="Z73" s="774"/>
      <c r="AA73" s="774"/>
      <c r="AB73" s="774"/>
      <c r="AC73" s="820"/>
      <c r="AD73">
        <f ca="1">IF($J73=AC73,$D$14,0)</f>
        <v>0</v>
      </c>
      <c r="AE73" s="774"/>
      <c r="AF73" s="774"/>
      <c r="AG73" s="774"/>
      <c r="AH73" s="953"/>
      <c r="AI73">
        <f ca="1">IF($J73=AH73,$D$14,0)</f>
        <v>0</v>
      </c>
      <c r="AJ73" s="774"/>
      <c r="AK73" s="774"/>
      <c r="AL73" s="774"/>
    </row>
    <row r="74" spans="1:38" ht="15" customHeight="1">
      <c r="A74" s="774"/>
      <c r="B74" s="774"/>
      <c r="C74" s="774"/>
      <c r="D74" s="774"/>
      <c r="E74" s="774"/>
      <c r="F74" s="894">
        <v>44896</v>
      </c>
      <c r="G74" s="1047" t="s">
        <v>3</v>
      </c>
      <c r="H74" s="9" t="s">
        <v>130</v>
      </c>
      <c r="I74" s="821"/>
      <c r="J74" s="821" t="str">
        <f ca="1">IF(SUM(MUNDIAL!$T$38:$T$41)=12,MUNDIAL!R38,"1E")</f>
        <v>Japón</v>
      </c>
      <c r="K74" s="774"/>
      <c r="L74" s="774"/>
      <c r="M74" s="774"/>
      <c r="N74" s="953"/>
      <c r="O74">
        <f t="shared" ca="1" si="201"/>
        <v>0</v>
      </c>
      <c r="P74" s="774"/>
      <c r="Q74" s="774"/>
      <c r="R74" s="774"/>
      <c r="S74" s="820"/>
      <c r="T74">
        <f t="shared" ref="T74" ca="1" si="218">IF($J74=S74,$D$11,0)</f>
        <v>0</v>
      </c>
      <c r="U74" s="774"/>
      <c r="V74" s="774"/>
      <c r="W74" s="774"/>
      <c r="X74" s="820"/>
      <c r="Y74">
        <f t="shared" ref="Y74" ca="1" si="219">IF($J74=X74,$D$11,0)</f>
        <v>0</v>
      </c>
      <c r="Z74" s="774"/>
      <c r="AA74" s="774"/>
      <c r="AB74" s="774"/>
      <c r="AC74" s="820"/>
      <c r="AD74">
        <f t="shared" ref="AD74" ca="1" si="220">IF($J74=AC74,$D$11,0)</f>
        <v>0</v>
      </c>
      <c r="AE74" s="774"/>
      <c r="AF74" s="774"/>
      <c r="AG74" s="774"/>
      <c r="AH74" s="953"/>
      <c r="AI74">
        <f t="shared" ref="AI74" ca="1" si="221">IF($J74=AH74,$D$11,0)</f>
        <v>0</v>
      </c>
      <c r="AJ74" s="774"/>
      <c r="AK74" s="774"/>
      <c r="AL74" s="774"/>
    </row>
    <row r="75" spans="1:38" ht="15" customHeight="1">
      <c r="A75" s="774"/>
      <c r="B75" s="774"/>
      <c r="C75" s="774"/>
      <c r="D75" s="774"/>
      <c r="E75" s="774"/>
      <c r="F75" s="894">
        <v>44896</v>
      </c>
      <c r="G75" s="1047"/>
      <c r="H75" s="9" t="s">
        <v>131</v>
      </c>
      <c r="I75" s="821"/>
      <c r="J75" s="821" t="str">
        <f ca="1">IF(SUM(MUNDIAL!$T$38:$T$41)=12,MUNDIAL!R39,"2E")</f>
        <v>España</v>
      </c>
      <c r="K75" s="774"/>
      <c r="L75" s="774"/>
      <c r="M75" s="774"/>
      <c r="N75" s="953"/>
      <c r="O75">
        <f ca="1">IF($J75=N75,$D$12,0)</f>
        <v>0</v>
      </c>
      <c r="P75" s="774"/>
      <c r="Q75" s="774"/>
      <c r="R75" s="774"/>
      <c r="S75" s="820"/>
      <c r="T75">
        <f ca="1">IF($J75=S75,$D$12,0)</f>
        <v>0</v>
      </c>
      <c r="U75" s="774"/>
      <c r="V75" s="774"/>
      <c r="W75" s="774"/>
      <c r="X75" s="820"/>
      <c r="Y75">
        <f ca="1">IF($J75=X75,$D$12,0)</f>
        <v>0</v>
      </c>
      <c r="Z75" s="774"/>
      <c r="AA75" s="774"/>
      <c r="AB75" s="774"/>
      <c r="AC75" s="820"/>
      <c r="AD75">
        <f ca="1">IF($J75=AC75,$D$12,0)</f>
        <v>0</v>
      </c>
      <c r="AE75" s="774"/>
      <c r="AF75" s="774"/>
      <c r="AG75" s="774"/>
      <c r="AH75" s="953"/>
      <c r="AI75">
        <f ca="1">IF($J75=AH75,$D$12,0)</f>
        <v>0</v>
      </c>
      <c r="AJ75" s="774"/>
      <c r="AK75" s="774"/>
      <c r="AL75" s="774"/>
    </row>
    <row r="76" spans="1:38" ht="15" customHeight="1">
      <c r="A76" s="774"/>
      <c r="B76" s="774"/>
      <c r="C76" s="774"/>
      <c r="D76" s="774"/>
      <c r="E76" s="774"/>
      <c r="F76" s="894">
        <v>44896</v>
      </c>
      <c r="G76" s="1047"/>
      <c r="H76" s="9" t="s">
        <v>132</v>
      </c>
      <c r="I76" s="821"/>
      <c r="J76" s="821" t="str">
        <f ca="1">IF(SUM(MUNDIAL!$T$38:$T$41)=12,MUNDIAL!R40,"3E")</f>
        <v>Alemania</v>
      </c>
      <c r="K76" s="774"/>
      <c r="L76" s="774"/>
      <c r="M76" s="774"/>
      <c r="N76" s="953"/>
      <c r="O76">
        <f ca="1">IF($J76=N76,$D$13,0)</f>
        <v>0</v>
      </c>
      <c r="P76" s="774"/>
      <c r="Q76" s="774"/>
      <c r="R76" s="774"/>
      <c r="S76" s="820"/>
      <c r="T76">
        <f ca="1">IF($J76=S76,$D$13,0)</f>
        <v>0</v>
      </c>
      <c r="U76" s="774"/>
      <c r="V76" s="774"/>
      <c r="W76" s="774"/>
      <c r="X76" s="820"/>
      <c r="Y76">
        <f ca="1">IF($J76=X76,$D$13,0)</f>
        <v>0</v>
      </c>
      <c r="Z76" s="774"/>
      <c r="AA76" s="774"/>
      <c r="AB76" s="774"/>
      <c r="AC76" s="820"/>
      <c r="AD76">
        <f ca="1">IF($J76=AC76,$D$13,0)</f>
        <v>0</v>
      </c>
      <c r="AE76" s="774"/>
      <c r="AF76" s="774"/>
      <c r="AG76" s="774"/>
      <c r="AH76" s="953"/>
      <c r="AI76">
        <f ca="1">IF($J76=AH76,$D$13,0)</f>
        <v>0</v>
      </c>
      <c r="AJ76" s="774"/>
      <c r="AK76" s="774"/>
      <c r="AL76" s="774"/>
    </row>
    <row r="77" spans="1:38" ht="15" customHeight="1">
      <c r="A77" s="774"/>
      <c r="B77" s="774"/>
      <c r="C77" s="774"/>
      <c r="D77" s="774"/>
      <c r="E77" s="774"/>
      <c r="F77" s="894">
        <v>44896</v>
      </c>
      <c r="G77" s="1047"/>
      <c r="H77" s="9" t="s">
        <v>133</v>
      </c>
      <c r="I77" s="821"/>
      <c r="J77" s="821" t="str">
        <f ca="1">IF(SUM(MUNDIAL!$T$38:$T$41)=12,MUNDIAL!R41,"4E")</f>
        <v>Costa Rica</v>
      </c>
      <c r="K77" s="774"/>
      <c r="L77" s="774"/>
      <c r="M77" s="774"/>
      <c r="N77" s="953"/>
      <c r="O77">
        <f ca="1">IF($J77=N77,$D$14,0)</f>
        <v>0</v>
      </c>
      <c r="P77" s="774"/>
      <c r="Q77" s="774"/>
      <c r="R77" s="774"/>
      <c r="S77" s="820"/>
      <c r="T77">
        <f ca="1">IF($J77=S77,$D$14,0)</f>
        <v>0</v>
      </c>
      <c r="U77" s="774"/>
      <c r="V77" s="774"/>
      <c r="W77" s="774"/>
      <c r="X77" s="820"/>
      <c r="Y77">
        <f ca="1">IF($J77=X77,$D$14,0)</f>
        <v>0</v>
      </c>
      <c r="Z77" s="774"/>
      <c r="AA77" s="774"/>
      <c r="AB77" s="774"/>
      <c r="AC77" s="820"/>
      <c r="AD77">
        <f ca="1">IF($J77=AC77,$D$14,0)</f>
        <v>0</v>
      </c>
      <c r="AE77" s="774"/>
      <c r="AF77" s="774"/>
      <c r="AG77" s="774"/>
      <c r="AH77" s="953"/>
      <c r="AI77">
        <f ca="1">IF($J77=AH77,$D$14,0)</f>
        <v>0</v>
      </c>
      <c r="AJ77" s="774"/>
      <c r="AK77" s="774"/>
      <c r="AL77" s="774"/>
    </row>
    <row r="78" spans="1:38" ht="15" customHeight="1">
      <c r="A78" s="774"/>
      <c r="B78" s="774"/>
      <c r="C78" s="774"/>
      <c r="D78" s="774"/>
      <c r="E78" s="774"/>
      <c r="F78" s="894">
        <v>44896</v>
      </c>
      <c r="G78" s="1048" t="s">
        <v>4</v>
      </c>
      <c r="H78" s="9" t="s">
        <v>134</v>
      </c>
      <c r="I78" s="821"/>
      <c r="J78" s="821" t="str">
        <f ca="1">IF(SUM(MUNDIAL!$T$46:$T$49)=12,MUNDIAL!R46,"1F")</f>
        <v>Marruecos</v>
      </c>
      <c r="K78" s="774"/>
      <c r="L78" s="774"/>
      <c r="M78" s="774"/>
      <c r="N78" s="953"/>
      <c r="O78">
        <f t="shared" ca="1" si="201"/>
        <v>0</v>
      </c>
      <c r="P78" s="774"/>
      <c r="Q78" s="774"/>
      <c r="R78" s="774"/>
      <c r="S78" s="820"/>
      <c r="T78">
        <f t="shared" ref="T78" ca="1" si="222">IF($J78=S78,$D$11,0)</f>
        <v>0</v>
      </c>
      <c r="U78" s="774"/>
      <c r="V78" s="774"/>
      <c r="W78" s="774"/>
      <c r="X78" s="820"/>
      <c r="Y78">
        <f t="shared" ref="Y78" ca="1" si="223">IF($J78=X78,$D$11,0)</f>
        <v>0</v>
      </c>
      <c r="Z78" s="774"/>
      <c r="AA78" s="774"/>
      <c r="AB78" s="774"/>
      <c r="AC78" s="820"/>
      <c r="AD78">
        <f t="shared" ref="AD78" ca="1" si="224">IF($J78=AC78,$D$11,0)</f>
        <v>0</v>
      </c>
      <c r="AE78" s="774"/>
      <c r="AF78" s="774"/>
      <c r="AG78" s="774"/>
      <c r="AH78" s="953"/>
      <c r="AI78">
        <f t="shared" ref="AI78" ca="1" si="225">IF($J78=AH78,$D$11,0)</f>
        <v>0</v>
      </c>
      <c r="AJ78" s="774"/>
      <c r="AK78" s="774"/>
      <c r="AL78" s="774"/>
    </row>
    <row r="79" spans="1:38" ht="15" customHeight="1">
      <c r="A79" s="774"/>
      <c r="B79" s="774"/>
      <c r="C79" s="774"/>
      <c r="D79" s="774"/>
      <c r="E79" s="774"/>
      <c r="F79" s="894">
        <v>44896</v>
      </c>
      <c r="G79" s="1048"/>
      <c r="H79" s="9" t="s">
        <v>135</v>
      </c>
      <c r="I79" s="821"/>
      <c r="J79" s="821" t="str">
        <f ca="1">IF(SUM(MUNDIAL!$T$46:$T$49)=12,MUNDIAL!R47,"2F")</f>
        <v>Croacia</v>
      </c>
      <c r="K79" s="774"/>
      <c r="L79" s="774"/>
      <c r="M79" s="774"/>
      <c r="N79" s="953"/>
      <c r="O79">
        <f ca="1">IF($J79=N79,$D$12,0)</f>
        <v>0</v>
      </c>
      <c r="P79" s="774"/>
      <c r="Q79" s="774"/>
      <c r="R79" s="774"/>
      <c r="S79" s="820"/>
      <c r="T79">
        <f ca="1">IF($J79=S79,$D$12,0)</f>
        <v>0</v>
      </c>
      <c r="U79" s="774"/>
      <c r="V79" s="774"/>
      <c r="W79" s="774"/>
      <c r="X79" s="820"/>
      <c r="Y79">
        <f ca="1">IF($J79=X79,$D$12,0)</f>
        <v>0</v>
      </c>
      <c r="Z79" s="774"/>
      <c r="AA79" s="774"/>
      <c r="AB79" s="774"/>
      <c r="AC79" s="820"/>
      <c r="AD79">
        <f ca="1">IF($J79=AC79,$D$12,0)</f>
        <v>0</v>
      </c>
      <c r="AE79" s="774"/>
      <c r="AF79" s="774"/>
      <c r="AG79" s="774"/>
      <c r="AH79" s="953"/>
      <c r="AI79">
        <f ca="1">IF($J79=AH79,$D$12,0)</f>
        <v>0</v>
      </c>
      <c r="AJ79" s="774"/>
      <c r="AK79" s="774"/>
      <c r="AL79" s="774"/>
    </row>
    <row r="80" spans="1:38" ht="15" customHeight="1">
      <c r="A80" s="774"/>
      <c r="B80" s="774"/>
      <c r="C80" s="774"/>
      <c r="D80" s="774"/>
      <c r="E80" s="774"/>
      <c r="F80" s="894">
        <v>44896</v>
      </c>
      <c r="G80" s="1048"/>
      <c r="H80" s="9" t="s">
        <v>136</v>
      </c>
      <c r="I80" s="821"/>
      <c r="J80" s="821" t="str">
        <f ca="1">IF(SUM(MUNDIAL!$T$46:$T$49)=12,MUNDIAL!R48,"3F")</f>
        <v>Bélgica</v>
      </c>
      <c r="K80" s="774"/>
      <c r="L80" s="774"/>
      <c r="M80" s="774"/>
      <c r="N80" s="953"/>
      <c r="O80">
        <f ca="1">IF($J80=N80,$D$13,0)</f>
        <v>0</v>
      </c>
      <c r="P80" s="774"/>
      <c r="Q80" s="774"/>
      <c r="R80" s="774"/>
      <c r="S80" s="820"/>
      <c r="T80">
        <f ca="1">IF($J80=S80,$D$13,0)</f>
        <v>0</v>
      </c>
      <c r="U80" s="774"/>
      <c r="V80" s="774"/>
      <c r="W80" s="774"/>
      <c r="X80" s="820"/>
      <c r="Y80">
        <f ca="1">IF($J80=X80,$D$13,0)</f>
        <v>0</v>
      </c>
      <c r="Z80" s="774"/>
      <c r="AA80" s="774"/>
      <c r="AB80" s="774"/>
      <c r="AC80" s="820"/>
      <c r="AD80">
        <f ca="1">IF($J80=AC80,$D$13,0)</f>
        <v>0</v>
      </c>
      <c r="AE80" s="774"/>
      <c r="AF80" s="774"/>
      <c r="AG80" s="774"/>
      <c r="AH80" s="953"/>
      <c r="AI80">
        <f ca="1">IF($J80=AH80,$D$13,0)</f>
        <v>0</v>
      </c>
      <c r="AJ80" s="774"/>
      <c r="AK80" s="774"/>
      <c r="AL80" s="774"/>
    </row>
    <row r="81" spans="1:38" ht="15" customHeight="1">
      <c r="A81" s="774"/>
      <c r="B81" s="774"/>
      <c r="C81" s="774"/>
      <c r="D81" s="774"/>
      <c r="E81" s="774"/>
      <c r="F81" s="894">
        <v>44896</v>
      </c>
      <c r="G81" s="1048"/>
      <c r="H81" s="9" t="s">
        <v>137</v>
      </c>
      <c r="I81" s="821"/>
      <c r="J81" s="821" t="str">
        <f ca="1">IF(SUM(MUNDIAL!$T$46:$T$49)=12,MUNDIAL!R49,"4F")</f>
        <v>Canadá</v>
      </c>
      <c r="K81" s="774"/>
      <c r="L81" s="774"/>
      <c r="M81" s="774"/>
      <c r="N81" s="953"/>
      <c r="O81">
        <f ca="1">IF($J81=N81,$D$14,0)</f>
        <v>0</v>
      </c>
      <c r="P81" s="774"/>
      <c r="Q81" s="774"/>
      <c r="R81" s="774"/>
      <c r="S81" s="820"/>
      <c r="T81">
        <f ca="1">IF($J81=S81,$D$14,0)</f>
        <v>0</v>
      </c>
      <c r="U81" s="774"/>
      <c r="V81" s="774"/>
      <c r="W81" s="774"/>
      <c r="X81" s="820"/>
      <c r="Y81">
        <f ca="1">IF($J81=X81,$D$14,0)</f>
        <v>0</v>
      </c>
      <c r="Z81" s="774"/>
      <c r="AA81" s="774"/>
      <c r="AB81" s="774"/>
      <c r="AC81" s="820"/>
      <c r="AD81">
        <f ca="1">IF($J81=AC81,$D$14,0)</f>
        <v>0</v>
      </c>
      <c r="AE81" s="774"/>
      <c r="AF81" s="774"/>
      <c r="AG81" s="774"/>
      <c r="AH81" s="953"/>
      <c r="AI81">
        <f ca="1">IF($J81=AH81,$D$14,0)</f>
        <v>0</v>
      </c>
      <c r="AJ81" s="774"/>
      <c r="AK81" s="774"/>
      <c r="AL81" s="774"/>
    </row>
    <row r="82" spans="1:38" ht="15" customHeight="1">
      <c r="A82" s="774"/>
      <c r="B82" s="774"/>
      <c r="C82" s="774"/>
      <c r="D82" s="774"/>
      <c r="E82" s="774"/>
      <c r="F82" s="894">
        <v>44897</v>
      </c>
      <c r="G82" s="1042" t="s">
        <v>7</v>
      </c>
      <c r="H82" s="9" t="s">
        <v>316</v>
      </c>
      <c r="I82" s="821"/>
      <c r="J82" s="821" t="str">
        <f ca="1">IF(SUM(MUNDIAL!$T$54:$T$57)=12,MUNDIAL!R54,"1G")</f>
        <v>Brasil</v>
      </c>
      <c r="K82" s="774"/>
      <c r="L82" s="774"/>
      <c r="M82" s="774"/>
      <c r="N82" s="953"/>
      <c r="O82">
        <f t="shared" ca="1" si="201"/>
        <v>0</v>
      </c>
      <c r="P82" s="774"/>
      <c r="Q82" s="774"/>
      <c r="R82" s="774"/>
      <c r="S82" s="820"/>
      <c r="T82">
        <f t="shared" ref="T82" ca="1" si="226">IF($J82=S82,$D$11,0)</f>
        <v>0</v>
      </c>
      <c r="U82" s="774"/>
      <c r="V82" s="774"/>
      <c r="W82" s="774"/>
      <c r="X82" s="820"/>
      <c r="Y82">
        <f t="shared" ref="Y82" ca="1" si="227">IF($J82=X82,$D$11,0)</f>
        <v>0</v>
      </c>
      <c r="Z82" s="774"/>
      <c r="AA82" s="774"/>
      <c r="AB82" s="774"/>
      <c r="AC82" s="820"/>
      <c r="AD82">
        <f t="shared" ref="AD82" ca="1" si="228">IF($J82=AC82,$D$11,0)</f>
        <v>0</v>
      </c>
      <c r="AE82" s="774"/>
      <c r="AF82" s="774"/>
      <c r="AG82" s="774"/>
      <c r="AH82" s="953"/>
      <c r="AI82">
        <f t="shared" ref="AI82" ca="1" si="229">IF($J82=AH82,$D$11,0)</f>
        <v>0</v>
      </c>
      <c r="AJ82" s="774"/>
      <c r="AK82" s="774"/>
      <c r="AL82" s="774"/>
    </row>
    <row r="83" spans="1:38" ht="15" customHeight="1">
      <c r="A83" s="774"/>
      <c r="B83" s="774"/>
      <c r="C83" s="774"/>
      <c r="D83" s="774"/>
      <c r="E83" s="774"/>
      <c r="F83" s="894">
        <v>44897</v>
      </c>
      <c r="G83" s="1042"/>
      <c r="H83" s="9" t="s">
        <v>317</v>
      </c>
      <c r="I83" s="821"/>
      <c r="J83" s="821" t="str">
        <f ca="1">IF(SUM(MUNDIAL!$T$54:$T$57)=12,MUNDIAL!R55,"2G")</f>
        <v>Suiza</v>
      </c>
      <c r="K83" s="774"/>
      <c r="L83" s="774"/>
      <c r="M83" s="774"/>
      <c r="N83" s="953"/>
      <c r="O83">
        <f ca="1">IF($J83=N83,$D$12,0)</f>
        <v>0</v>
      </c>
      <c r="P83" s="774"/>
      <c r="Q83" s="774"/>
      <c r="R83" s="774"/>
      <c r="S83" s="820"/>
      <c r="T83">
        <f ca="1">IF($J83=S83,$D$12,0)</f>
        <v>0</v>
      </c>
      <c r="U83" s="774"/>
      <c r="V83" s="774"/>
      <c r="W83" s="774"/>
      <c r="X83" s="820"/>
      <c r="Y83">
        <f ca="1">IF($J83=X83,$D$12,0)</f>
        <v>0</v>
      </c>
      <c r="Z83" s="774"/>
      <c r="AA83" s="774"/>
      <c r="AB83" s="774"/>
      <c r="AC83" s="820"/>
      <c r="AD83">
        <f ca="1">IF($J83=AC83,$D$12,0)</f>
        <v>0</v>
      </c>
      <c r="AE83" s="774"/>
      <c r="AF83" s="774"/>
      <c r="AG83" s="774"/>
      <c r="AH83" s="953"/>
      <c r="AI83">
        <f ca="1">IF($J83=AH83,$D$12,0)</f>
        <v>0</v>
      </c>
      <c r="AJ83" s="774"/>
      <c r="AK83" s="774"/>
      <c r="AL83" s="774"/>
    </row>
    <row r="84" spans="1:38" ht="15" customHeight="1">
      <c r="A84" s="774"/>
      <c r="B84" s="774"/>
      <c r="C84" s="774"/>
      <c r="D84" s="774"/>
      <c r="E84" s="774"/>
      <c r="F84" s="894">
        <v>44897</v>
      </c>
      <c r="G84" s="1042"/>
      <c r="H84" s="9" t="s">
        <v>318</v>
      </c>
      <c r="I84" s="821"/>
      <c r="J84" s="821" t="str">
        <f ca="1">IF(SUM(MUNDIAL!$T$54:$T$57)=12,MUNDIAL!R56,"3G")</f>
        <v>Camerún</v>
      </c>
      <c r="K84" s="774"/>
      <c r="L84" s="774"/>
      <c r="M84" s="774"/>
      <c r="N84" s="953"/>
      <c r="O84">
        <f ca="1">IF($J84=N84,$D$13,0)</f>
        <v>0</v>
      </c>
      <c r="P84" s="774"/>
      <c r="Q84" s="774"/>
      <c r="R84" s="774"/>
      <c r="S84" s="820"/>
      <c r="T84">
        <f ca="1">IF($J84=S84,$D$13,0)</f>
        <v>0</v>
      </c>
      <c r="U84" s="774"/>
      <c r="V84" s="774"/>
      <c r="W84" s="774"/>
      <c r="X84" s="820"/>
      <c r="Y84">
        <f ca="1">IF($J84=X84,$D$13,0)</f>
        <v>0</v>
      </c>
      <c r="Z84" s="774"/>
      <c r="AA84" s="774"/>
      <c r="AB84" s="774"/>
      <c r="AC84" s="820"/>
      <c r="AD84">
        <f ca="1">IF($J84=AC84,$D$13,0)</f>
        <v>0</v>
      </c>
      <c r="AE84" s="774"/>
      <c r="AF84" s="774"/>
      <c r="AG84" s="774"/>
      <c r="AH84" s="953"/>
      <c r="AI84">
        <f ca="1">IF($J84=AH84,$D$13,0)</f>
        <v>0</v>
      </c>
      <c r="AJ84" s="774"/>
      <c r="AK84" s="774"/>
      <c r="AL84" s="774"/>
    </row>
    <row r="85" spans="1:38" ht="15" customHeight="1">
      <c r="A85" s="774"/>
      <c r="B85" s="774"/>
      <c r="C85" s="774"/>
      <c r="D85" s="774"/>
      <c r="E85" s="774"/>
      <c r="F85" s="894">
        <v>44897</v>
      </c>
      <c r="G85" s="1042"/>
      <c r="H85" s="9" t="s">
        <v>319</v>
      </c>
      <c r="I85" s="821"/>
      <c r="J85" s="821" t="str">
        <f ca="1">IF(SUM(MUNDIAL!$T$54:$T$57)=12,MUNDIAL!R57,"4G")</f>
        <v>Serbia</v>
      </c>
      <c r="K85" s="774"/>
      <c r="L85" s="774"/>
      <c r="M85" s="774"/>
      <c r="N85" s="953"/>
      <c r="O85">
        <f ca="1">IF($J85=N85,$D$14,0)</f>
        <v>0</v>
      </c>
      <c r="P85" s="774"/>
      <c r="Q85" s="774"/>
      <c r="R85" s="774"/>
      <c r="S85" s="820"/>
      <c r="T85">
        <f ca="1">IF($J85=S85,$D$14,0)</f>
        <v>0</v>
      </c>
      <c r="U85" s="774"/>
      <c r="V85" s="774"/>
      <c r="W85" s="774"/>
      <c r="X85" s="820"/>
      <c r="Y85">
        <f ca="1">IF($J85=X85,$D$14,0)</f>
        <v>0</v>
      </c>
      <c r="Z85" s="774"/>
      <c r="AA85" s="774"/>
      <c r="AB85" s="774"/>
      <c r="AC85" s="820"/>
      <c r="AD85">
        <f ca="1">IF($J85=AC85,$D$14,0)</f>
        <v>0</v>
      </c>
      <c r="AE85" s="774"/>
      <c r="AF85" s="774"/>
      <c r="AG85" s="774"/>
      <c r="AH85" s="953"/>
      <c r="AI85">
        <f ca="1">IF($J85=AH85,$D$14,0)</f>
        <v>0</v>
      </c>
      <c r="AJ85" s="774"/>
      <c r="AK85" s="774"/>
      <c r="AL85" s="774"/>
    </row>
    <row r="86" spans="1:38" ht="15" customHeight="1">
      <c r="A86" s="774"/>
      <c r="B86" s="774"/>
      <c r="C86" s="774"/>
      <c r="D86" s="774"/>
      <c r="E86" s="774"/>
      <c r="F86" s="894">
        <v>44897</v>
      </c>
      <c r="G86" s="1043" t="s">
        <v>167</v>
      </c>
      <c r="H86" s="9" t="s">
        <v>320</v>
      </c>
      <c r="I86" s="821"/>
      <c r="J86" s="821" t="str">
        <f ca="1">IF(SUM(MUNDIAL!$T$62:$T$65)=12,MUNDIAL!R62,"1H")</f>
        <v>Portugal</v>
      </c>
      <c r="K86" s="774"/>
      <c r="L86" s="774"/>
      <c r="M86" s="774"/>
      <c r="N86" s="953"/>
      <c r="O86">
        <f t="shared" ca="1" si="201"/>
        <v>0</v>
      </c>
      <c r="P86" s="774"/>
      <c r="Q86" s="774"/>
      <c r="R86" s="774"/>
      <c r="S86" s="820"/>
      <c r="T86">
        <f t="shared" ref="T86" ca="1" si="230">IF($J86=S86,$D$11,0)</f>
        <v>0</v>
      </c>
      <c r="U86" s="774"/>
      <c r="V86" s="774"/>
      <c r="W86" s="774"/>
      <c r="X86" s="820"/>
      <c r="Y86">
        <f t="shared" ref="Y86" ca="1" si="231">IF($J86=X86,$D$11,0)</f>
        <v>0</v>
      </c>
      <c r="Z86" s="774"/>
      <c r="AA86" s="774"/>
      <c r="AB86" s="774"/>
      <c r="AC86" s="820"/>
      <c r="AD86">
        <f t="shared" ref="AD86" ca="1" si="232">IF($J86=AC86,$D$11,0)</f>
        <v>0</v>
      </c>
      <c r="AE86" s="774"/>
      <c r="AF86" s="774"/>
      <c r="AG86" s="774"/>
      <c r="AH86" s="953"/>
      <c r="AI86">
        <f t="shared" ref="AI86" ca="1" si="233">IF($J86=AH86,$D$11,0)</f>
        <v>0</v>
      </c>
      <c r="AJ86" s="774"/>
      <c r="AK86" s="774"/>
      <c r="AL86" s="774"/>
    </row>
    <row r="87" spans="1:38" ht="15" customHeight="1">
      <c r="A87" s="774"/>
      <c r="B87" s="774"/>
      <c r="C87" s="774"/>
      <c r="D87" s="774"/>
      <c r="E87" s="774"/>
      <c r="F87" s="894">
        <v>44897</v>
      </c>
      <c r="G87" s="1043"/>
      <c r="H87" s="9" t="s">
        <v>321</v>
      </c>
      <c r="I87" s="821"/>
      <c r="J87" s="821" t="str">
        <f ca="1">IF(SUM(MUNDIAL!$T$62:$T$65)=12,MUNDIAL!R63,"2H")</f>
        <v>Corea del Sur</v>
      </c>
      <c r="K87" s="774"/>
      <c r="L87" s="774"/>
      <c r="M87" s="774"/>
      <c r="N87" s="953"/>
      <c r="O87">
        <f ca="1">IF($J87=N87,$D$12,0)</f>
        <v>0</v>
      </c>
      <c r="P87" s="774"/>
      <c r="Q87" s="774"/>
      <c r="R87" s="774"/>
      <c r="S87" s="820"/>
      <c r="T87">
        <f ca="1">IF($J87=S87,$D$12,0)</f>
        <v>0</v>
      </c>
      <c r="U87" s="774"/>
      <c r="V87" s="774"/>
      <c r="W87" s="774"/>
      <c r="X87" s="820"/>
      <c r="Y87">
        <f ca="1">IF($J87=X87,$D$12,0)</f>
        <v>0</v>
      </c>
      <c r="Z87" s="774"/>
      <c r="AA87" s="774"/>
      <c r="AB87" s="774"/>
      <c r="AC87" s="820"/>
      <c r="AD87">
        <f ca="1">IF($J87=AC87,$D$12,0)</f>
        <v>0</v>
      </c>
      <c r="AE87" s="774"/>
      <c r="AF87" s="774"/>
      <c r="AG87" s="774"/>
      <c r="AH87" s="953"/>
      <c r="AI87">
        <f ca="1">IF($J87=AH87,$D$12,0)</f>
        <v>0</v>
      </c>
      <c r="AJ87" s="774"/>
      <c r="AK87" s="774"/>
      <c r="AL87" s="774"/>
    </row>
    <row r="88" spans="1:38" ht="15" customHeight="1">
      <c r="A88" s="774"/>
      <c r="B88" s="774"/>
      <c r="C88" s="774"/>
      <c r="D88" s="774"/>
      <c r="E88" s="774"/>
      <c r="F88" s="894">
        <v>44897</v>
      </c>
      <c r="G88" s="1043"/>
      <c r="H88" s="9" t="s">
        <v>322</v>
      </c>
      <c r="I88" s="821"/>
      <c r="J88" s="821" t="str">
        <f ca="1">IF(SUM(MUNDIAL!$T$62:$T$65)=12,MUNDIAL!R64,"3H")</f>
        <v>Uruguay</v>
      </c>
      <c r="K88" s="774"/>
      <c r="L88" s="774"/>
      <c r="M88" s="774"/>
      <c r="N88" s="953"/>
      <c r="O88">
        <f ca="1">IF($J88=N88,$D$13,0)</f>
        <v>0</v>
      </c>
      <c r="P88" s="774"/>
      <c r="Q88" s="774"/>
      <c r="R88" s="774"/>
      <c r="S88" s="820"/>
      <c r="T88">
        <f ca="1">IF($J88=S88,$D$13,0)</f>
        <v>0</v>
      </c>
      <c r="U88" s="774"/>
      <c r="V88" s="774"/>
      <c r="W88" s="774"/>
      <c r="X88" s="820"/>
      <c r="Y88">
        <f ca="1">IF($J88=X88,$D$13,0)</f>
        <v>0</v>
      </c>
      <c r="Z88" s="774"/>
      <c r="AA88" s="774"/>
      <c r="AB88" s="774"/>
      <c r="AC88" s="820"/>
      <c r="AD88">
        <f ca="1">IF($J88=AC88,$D$13,0)</f>
        <v>0</v>
      </c>
      <c r="AE88" s="774"/>
      <c r="AF88" s="774"/>
      <c r="AG88" s="774"/>
      <c r="AH88" s="953"/>
      <c r="AI88">
        <f ca="1">IF($J88=AH88,$D$13,0)</f>
        <v>0</v>
      </c>
      <c r="AJ88" s="774"/>
      <c r="AK88" s="774"/>
      <c r="AL88" s="774"/>
    </row>
    <row r="89" spans="1:38" ht="15" customHeight="1">
      <c r="A89" s="774"/>
      <c r="B89" s="774"/>
      <c r="C89" s="774"/>
      <c r="D89" s="774"/>
      <c r="E89" s="774"/>
      <c r="F89" s="894">
        <v>44897</v>
      </c>
      <c r="G89" s="1044"/>
      <c r="H89" s="822" t="s">
        <v>323</v>
      </c>
      <c r="I89" s="823"/>
      <c r="J89" s="823" t="str">
        <f ca="1">IF(SUM(MUNDIAL!$T$62:$T$65)=12,MUNDIAL!R65,"4H")</f>
        <v>Ghana</v>
      </c>
      <c r="K89" s="774"/>
      <c r="L89" s="774"/>
      <c r="M89" s="774"/>
      <c r="N89" s="953"/>
      <c r="O89">
        <f ca="1">IF($J89=N89,$D$14,0)</f>
        <v>0</v>
      </c>
      <c r="P89" s="774"/>
      <c r="Q89" s="774"/>
      <c r="R89" s="774"/>
      <c r="S89" s="820"/>
      <c r="T89">
        <f ca="1">IF($J89=S89,$D$14,0)</f>
        <v>0</v>
      </c>
      <c r="U89" s="774"/>
      <c r="V89" s="774"/>
      <c r="W89" s="774"/>
      <c r="X89" s="820"/>
      <c r="Y89">
        <f ca="1">IF($J89=X89,$D$14,0)</f>
        <v>0</v>
      </c>
      <c r="Z89" s="774"/>
      <c r="AA89" s="774"/>
      <c r="AB89" s="774"/>
      <c r="AC89" s="820"/>
      <c r="AD89">
        <f ca="1">IF($J89=AC89,$D$14,0)</f>
        <v>0</v>
      </c>
      <c r="AE89" s="774"/>
      <c r="AF89" s="774"/>
      <c r="AG89" s="774"/>
      <c r="AH89" s="953"/>
      <c r="AI89">
        <f ca="1">IF($J89=AH89,$D$14,0)</f>
        <v>0</v>
      </c>
      <c r="AJ89" s="774"/>
      <c r="AK89" s="774"/>
      <c r="AL89" s="774"/>
    </row>
    <row r="90" spans="1:38">
      <c r="A90" s="774"/>
      <c r="B90" s="774"/>
      <c r="C90" s="774"/>
      <c r="D90" s="774"/>
      <c r="E90" s="774"/>
      <c r="F90" s="894"/>
      <c r="G90" s="774"/>
      <c r="H90" s="774"/>
      <c r="I90" s="774"/>
      <c r="J90" s="152"/>
      <c r="K90" s="774"/>
      <c r="L90" s="774"/>
      <c r="M90" s="774"/>
      <c r="N90" s="957"/>
      <c r="O90" s="782" t="str">
        <f ca="1">CONCATENATE(SUM(O58:O89),"/",SUM($D$11:$D$14)*8)</f>
        <v>0/0</v>
      </c>
      <c r="P90" s="774"/>
      <c r="Q90" s="774"/>
      <c r="R90" s="774"/>
      <c r="S90" s="816"/>
      <c r="T90" s="782" t="str">
        <f ca="1">CONCATENATE(SUM(T58:T89),"/",SUM($D$11:$D$14)*8)</f>
        <v>0/0</v>
      </c>
      <c r="U90" s="774"/>
      <c r="V90" s="774"/>
      <c r="W90" s="774"/>
      <c r="X90" s="816"/>
      <c r="Y90" s="782" t="str">
        <f ca="1">CONCATENATE(SUM(Y58:Y89),"/",SUM($D$11:$D$14)*8)</f>
        <v>0/0</v>
      </c>
      <c r="Z90" s="774"/>
      <c r="AA90" s="774"/>
      <c r="AB90" s="774"/>
      <c r="AC90" s="816"/>
      <c r="AD90" s="782" t="str">
        <f ca="1">CONCATENATE(SUM(AD58:AD89),"/",SUM($D$11:$D$14)*8)</f>
        <v>0/0</v>
      </c>
      <c r="AE90" s="774"/>
      <c r="AF90" s="774"/>
      <c r="AG90" s="774"/>
      <c r="AH90" s="957"/>
      <c r="AI90" s="782" t="str">
        <f ca="1">CONCATENATE(SUM(AI58:AI89),"/",SUM($D$11:$D$14)*8)</f>
        <v>0/0</v>
      </c>
      <c r="AJ90" s="774"/>
      <c r="AK90" s="774"/>
      <c r="AL90" s="774"/>
    </row>
    <row r="91" spans="1:38" ht="16">
      <c r="A91" s="774"/>
      <c r="B91" s="774"/>
      <c r="C91" s="774"/>
      <c r="D91" s="774"/>
      <c r="E91" s="774"/>
      <c r="F91" s="894"/>
      <c r="G91" s="817"/>
      <c r="H91" s="882" t="s">
        <v>302</v>
      </c>
      <c r="I91" s="882"/>
      <c r="J91" s="904"/>
      <c r="K91" s="774"/>
      <c r="L91" s="774"/>
      <c r="M91" s="774"/>
      <c r="N91" s="957"/>
      <c r="O91" s="774"/>
      <c r="P91" s="774"/>
      <c r="Q91" s="774"/>
      <c r="R91" s="774"/>
      <c r="S91" s="816"/>
      <c r="T91" s="774"/>
      <c r="U91" s="774"/>
      <c r="V91" s="774"/>
      <c r="W91" s="774"/>
      <c r="X91" s="816"/>
      <c r="Y91" s="774"/>
      <c r="Z91" s="774"/>
      <c r="AA91" s="774"/>
      <c r="AB91" s="774"/>
      <c r="AC91" s="816"/>
      <c r="AD91" s="774"/>
      <c r="AE91" s="774"/>
      <c r="AF91" s="774"/>
      <c r="AG91" s="774"/>
      <c r="AH91" s="957"/>
      <c r="AI91" s="774"/>
      <c r="AJ91" s="774"/>
      <c r="AK91" s="774"/>
      <c r="AL91" s="774"/>
    </row>
    <row r="92" spans="1:38" ht="15" customHeight="1">
      <c r="A92" s="774"/>
      <c r="B92" s="774"/>
      <c r="C92" s="774"/>
      <c r="D92" s="774"/>
      <c r="E92" s="774"/>
      <c r="F92" s="894">
        <v>44894</v>
      </c>
      <c r="G92" s="1036" t="s">
        <v>121</v>
      </c>
      <c r="H92" s="818" t="s">
        <v>406</v>
      </c>
      <c r="I92" s="819"/>
      <c r="J92" s="819" t="str">
        <f ca="1">MUNDIAL!I69</f>
        <v>Paises Bajos</v>
      </c>
      <c r="K92" s="774"/>
      <c r="L92" s="774"/>
      <c r="M92" s="774"/>
      <c r="N92" s="953"/>
      <c r="O92">
        <f t="shared" ref="O92:O107" ca="1" si="234">COUNTIF($J$92:$J$107,N92)*$D$15</f>
        <v>0</v>
      </c>
      <c r="P92" s="774"/>
      <c r="Q92" s="774"/>
      <c r="R92" s="774"/>
      <c r="S92" s="820"/>
      <c r="T92">
        <f t="shared" ref="T92" ca="1" si="235">COUNTIF($J$92:$J$107,S92)*$D$15</f>
        <v>0</v>
      </c>
      <c r="U92" s="774"/>
      <c r="V92" s="774"/>
      <c r="W92" s="774"/>
      <c r="X92" s="820"/>
      <c r="Y92">
        <f t="shared" ref="Y92" ca="1" si="236">COUNTIF($J$92:$J$107,X92)*$D$15</f>
        <v>0</v>
      </c>
      <c r="Z92" s="774"/>
      <c r="AA92" s="774"/>
      <c r="AB92" s="774"/>
      <c r="AC92" s="820"/>
      <c r="AD92">
        <f t="shared" ref="AD92" ca="1" si="237">COUNTIF($J$92:$J$107,AC92)*$D$15</f>
        <v>0</v>
      </c>
      <c r="AE92" s="774"/>
      <c r="AF92" s="774"/>
      <c r="AG92" s="774"/>
      <c r="AH92" s="953"/>
      <c r="AI92">
        <f t="shared" ref="AI92" ca="1" si="238">COUNTIF($J$92:$J$107,AH92)*$D$15</f>
        <v>0</v>
      </c>
      <c r="AJ92" s="774"/>
      <c r="AK92" s="774"/>
      <c r="AL92" s="774"/>
    </row>
    <row r="93" spans="1:38" ht="15" customHeight="1">
      <c r="A93" s="774"/>
      <c r="B93" s="774"/>
      <c r="C93" s="774"/>
      <c r="D93" s="774"/>
      <c r="E93" s="774"/>
      <c r="F93" s="894">
        <v>44895</v>
      </c>
      <c r="G93" s="1052"/>
      <c r="H93" s="9" t="s">
        <v>407</v>
      </c>
      <c r="I93" s="821"/>
      <c r="J93" s="821" t="str">
        <f ca="1">MUNDIAL!I70</f>
        <v>Argentina</v>
      </c>
      <c r="K93" s="774"/>
      <c r="L93" s="774"/>
      <c r="M93" s="774"/>
      <c r="N93" s="953"/>
      <c r="O93">
        <f ca="1">COUNTIF($J$92:$J$107,N93)*$D$15</f>
        <v>0</v>
      </c>
      <c r="P93" s="774"/>
      <c r="Q93" s="774"/>
      <c r="R93" s="774"/>
      <c r="S93" s="820"/>
      <c r="T93">
        <f t="shared" ref="T93" ca="1" si="239">COUNTIF($J$92:$J$107,S93)*$D$15</f>
        <v>0</v>
      </c>
      <c r="U93" s="774"/>
      <c r="V93" s="774"/>
      <c r="W93" s="774"/>
      <c r="X93" s="820"/>
      <c r="Y93">
        <f t="shared" ref="Y93" ca="1" si="240">COUNTIF($J$92:$J$107,X93)*$D$15</f>
        <v>0</v>
      </c>
      <c r="Z93" s="774"/>
      <c r="AA93" s="774"/>
      <c r="AB93" s="774"/>
      <c r="AC93" s="820"/>
      <c r="AD93">
        <f t="shared" ref="AD93" ca="1" si="241">COUNTIF($J$92:$J$107,AC93)*$D$15</f>
        <v>0</v>
      </c>
      <c r="AE93" s="774"/>
      <c r="AF93" s="774"/>
      <c r="AG93" s="774"/>
      <c r="AH93" s="953"/>
      <c r="AI93">
        <f t="shared" ref="AI93" ca="1" si="242">COUNTIF($J$92:$J$107,AH93)*$D$15</f>
        <v>0</v>
      </c>
      <c r="AJ93" s="774"/>
      <c r="AK93" s="774"/>
      <c r="AL93" s="774"/>
    </row>
    <row r="94" spans="1:38" ht="15" customHeight="1">
      <c r="A94" s="774"/>
      <c r="B94" s="774"/>
      <c r="C94" s="774"/>
      <c r="D94" s="774"/>
      <c r="E94" s="774"/>
      <c r="F94" s="894">
        <v>44895</v>
      </c>
      <c r="G94" s="1052"/>
      <c r="H94" s="9" t="s">
        <v>408</v>
      </c>
      <c r="I94" s="821"/>
      <c r="J94" s="821" t="str">
        <f ca="1">MUNDIAL!I71</f>
        <v>Francia</v>
      </c>
      <c r="K94" s="774"/>
      <c r="L94" s="774"/>
      <c r="M94" s="774"/>
      <c r="N94" s="953"/>
      <c r="O94">
        <f t="shared" ca="1" si="234"/>
        <v>0</v>
      </c>
      <c r="P94" s="774"/>
      <c r="Q94" s="774"/>
      <c r="R94" s="774"/>
      <c r="S94" s="820"/>
      <c r="T94">
        <f t="shared" ref="T94" ca="1" si="243">COUNTIF($J$92:$J$107,S94)*$D$15</f>
        <v>0</v>
      </c>
      <c r="U94" s="774"/>
      <c r="V94" s="774"/>
      <c r="W94" s="774"/>
      <c r="X94" s="820"/>
      <c r="Y94">
        <f t="shared" ref="Y94" ca="1" si="244">COUNTIF($J$92:$J$107,X94)*$D$15</f>
        <v>0</v>
      </c>
      <c r="Z94" s="774"/>
      <c r="AA94" s="774"/>
      <c r="AB94" s="774"/>
      <c r="AC94" s="820"/>
      <c r="AD94">
        <f t="shared" ref="AD94" ca="1" si="245">COUNTIF($J$92:$J$107,AC94)*$D$15</f>
        <v>0</v>
      </c>
      <c r="AE94" s="774"/>
      <c r="AF94" s="774"/>
      <c r="AG94" s="774"/>
      <c r="AH94" s="953"/>
      <c r="AI94">
        <f t="shared" ref="AI94" ca="1" si="246">COUNTIF($J$92:$J$107,AH94)*$D$15</f>
        <v>0</v>
      </c>
      <c r="AJ94" s="774"/>
      <c r="AK94" s="774"/>
      <c r="AL94" s="774"/>
    </row>
    <row r="95" spans="1:38" ht="15" customHeight="1">
      <c r="A95" s="774"/>
      <c r="B95" s="774"/>
      <c r="C95" s="774"/>
      <c r="D95" s="774"/>
      <c r="E95" s="774"/>
      <c r="F95" s="894">
        <v>44894</v>
      </c>
      <c r="G95" s="1052"/>
      <c r="H95" s="9" t="s">
        <v>409</v>
      </c>
      <c r="I95" s="821"/>
      <c r="J95" s="821" t="str">
        <f ca="1">MUNDIAL!I72</f>
        <v>Inglaterra</v>
      </c>
      <c r="K95" s="774"/>
      <c r="L95" s="774"/>
      <c r="M95" s="774"/>
      <c r="N95" s="953"/>
      <c r="O95">
        <f ca="1">COUNTIF($J$92:$J$107,N95)*$D$15</f>
        <v>0</v>
      </c>
      <c r="P95" s="774"/>
      <c r="Q95" s="774"/>
      <c r="R95" s="774"/>
      <c r="S95" s="820"/>
      <c r="T95">
        <f t="shared" ref="T95" ca="1" si="247">COUNTIF($J$92:$J$107,S95)*$D$15</f>
        <v>0</v>
      </c>
      <c r="U95" s="774"/>
      <c r="V95" s="774"/>
      <c r="W95" s="774"/>
      <c r="X95" s="820"/>
      <c r="Y95">
        <f t="shared" ref="Y95" ca="1" si="248">COUNTIF($J$92:$J$107,X95)*$D$15</f>
        <v>0</v>
      </c>
      <c r="Z95" s="774"/>
      <c r="AA95" s="774"/>
      <c r="AB95" s="774"/>
      <c r="AC95" s="820"/>
      <c r="AD95">
        <f t="shared" ref="AD95" ca="1" si="249">COUNTIF($J$92:$J$107,AC95)*$D$15</f>
        <v>0</v>
      </c>
      <c r="AE95" s="774"/>
      <c r="AF95" s="774"/>
      <c r="AG95" s="774"/>
      <c r="AH95" s="953"/>
      <c r="AI95">
        <f t="shared" ref="AI95" ca="1" si="250">COUNTIF($J$92:$J$107,AH95)*$D$15</f>
        <v>0</v>
      </c>
      <c r="AJ95" s="774"/>
      <c r="AK95" s="774"/>
      <c r="AL95" s="774"/>
    </row>
    <row r="96" spans="1:38" ht="15" customHeight="1">
      <c r="A96" s="774"/>
      <c r="B96" s="774"/>
      <c r="C96" s="774"/>
      <c r="D96" s="774"/>
      <c r="E96" s="774"/>
      <c r="F96" s="894">
        <v>44896</v>
      </c>
      <c r="G96" s="1052"/>
      <c r="H96" s="9" t="s">
        <v>410</v>
      </c>
      <c r="I96" s="821"/>
      <c r="J96" s="821" t="str">
        <f ca="1">MUNDIAL!I73</f>
        <v>Japón</v>
      </c>
      <c r="K96" s="774"/>
      <c r="L96" s="774"/>
      <c r="M96" s="774"/>
      <c r="N96" s="953"/>
      <c r="O96">
        <f t="shared" ca="1" si="234"/>
        <v>0</v>
      </c>
      <c r="P96" s="774"/>
      <c r="Q96" s="774"/>
      <c r="R96" s="774"/>
      <c r="S96" s="820"/>
      <c r="T96">
        <f t="shared" ref="T96" ca="1" si="251">COUNTIF($J$92:$J$107,S96)*$D$15</f>
        <v>0</v>
      </c>
      <c r="U96" s="774"/>
      <c r="V96" s="774"/>
      <c r="W96" s="774"/>
      <c r="X96" s="820"/>
      <c r="Y96">
        <f t="shared" ref="Y96" ca="1" si="252">COUNTIF($J$92:$J$107,X96)*$D$15</f>
        <v>0</v>
      </c>
      <c r="Z96" s="774"/>
      <c r="AA96" s="774"/>
      <c r="AB96" s="774"/>
      <c r="AC96" s="820"/>
      <c r="AD96">
        <f t="shared" ref="AD96" ca="1" si="253">COUNTIF($J$92:$J$107,AC96)*$D$15</f>
        <v>0</v>
      </c>
      <c r="AE96" s="774"/>
      <c r="AF96" s="774"/>
      <c r="AG96" s="774"/>
      <c r="AH96" s="953"/>
      <c r="AI96">
        <f t="shared" ref="AI96" ca="1" si="254">COUNTIF($J$92:$J$107,AH96)*$D$15</f>
        <v>0</v>
      </c>
      <c r="AJ96" s="774"/>
      <c r="AK96" s="774"/>
      <c r="AL96" s="774"/>
    </row>
    <row r="97" spans="1:38" ht="15" customHeight="1">
      <c r="A97" s="774"/>
      <c r="B97" s="774"/>
      <c r="C97" s="774"/>
      <c r="D97" s="774"/>
      <c r="E97" s="774"/>
      <c r="F97" s="894">
        <v>44897</v>
      </c>
      <c r="G97" s="1052"/>
      <c r="H97" s="9" t="s">
        <v>411</v>
      </c>
      <c r="I97" s="821"/>
      <c r="J97" s="821" t="str">
        <f ca="1">MUNDIAL!I74</f>
        <v>Brasil</v>
      </c>
      <c r="K97" s="774"/>
      <c r="L97" s="774"/>
      <c r="M97" s="774"/>
      <c r="N97" s="953"/>
      <c r="O97">
        <f t="shared" ca="1" si="234"/>
        <v>0</v>
      </c>
      <c r="P97" s="774"/>
      <c r="Q97" s="774"/>
      <c r="R97" s="774"/>
      <c r="S97" s="820"/>
      <c r="T97">
        <f t="shared" ref="T97" ca="1" si="255">COUNTIF($J$92:$J$107,S97)*$D$15</f>
        <v>0</v>
      </c>
      <c r="U97" s="774"/>
      <c r="V97" s="774"/>
      <c r="W97" s="774"/>
      <c r="X97" s="820"/>
      <c r="Y97">
        <f t="shared" ref="Y97" ca="1" si="256">COUNTIF($J$92:$J$107,X97)*$D$15</f>
        <v>0</v>
      </c>
      <c r="Z97" s="774"/>
      <c r="AA97" s="774"/>
      <c r="AB97" s="774"/>
      <c r="AC97" s="820"/>
      <c r="AD97">
        <f t="shared" ref="AD97" ca="1" si="257">COUNTIF($J$92:$J$107,AC97)*$D$15</f>
        <v>0</v>
      </c>
      <c r="AE97" s="774"/>
      <c r="AF97" s="774"/>
      <c r="AG97" s="774"/>
      <c r="AH97" s="953"/>
      <c r="AI97">
        <f t="shared" ref="AI97" ca="1" si="258">COUNTIF($J$92:$J$107,AH97)*$D$15</f>
        <v>0</v>
      </c>
      <c r="AJ97" s="774"/>
      <c r="AK97" s="774"/>
      <c r="AL97" s="774"/>
    </row>
    <row r="98" spans="1:38" ht="15" customHeight="1">
      <c r="A98" s="774"/>
      <c r="B98" s="774"/>
      <c r="C98" s="774"/>
      <c r="D98" s="774"/>
      <c r="E98" s="774"/>
      <c r="F98" s="894">
        <v>44896</v>
      </c>
      <c r="G98" s="1052"/>
      <c r="H98" s="9" t="s">
        <v>412</v>
      </c>
      <c r="I98" s="821"/>
      <c r="J98" s="821" t="str">
        <f ca="1">MUNDIAL!I75</f>
        <v>Marruecos</v>
      </c>
      <c r="K98" s="774"/>
      <c r="L98" s="774"/>
      <c r="M98" s="774"/>
      <c r="N98" s="953"/>
      <c r="O98">
        <f t="shared" ca="1" si="234"/>
        <v>0</v>
      </c>
      <c r="P98" s="774"/>
      <c r="Q98" s="774"/>
      <c r="R98" s="774"/>
      <c r="S98" s="820"/>
      <c r="T98">
        <f t="shared" ref="T98" ca="1" si="259">COUNTIF($J$92:$J$107,S98)*$D$15</f>
        <v>0</v>
      </c>
      <c r="U98" s="774"/>
      <c r="V98" s="774"/>
      <c r="W98" s="774"/>
      <c r="X98" s="820"/>
      <c r="Y98">
        <f t="shared" ref="Y98" ca="1" si="260">COUNTIF($J$92:$J$107,X98)*$D$15</f>
        <v>0</v>
      </c>
      <c r="Z98" s="774"/>
      <c r="AA98" s="774"/>
      <c r="AB98" s="774"/>
      <c r="AC98" s="820"/>
      <c r="AD98">
        <f t="shared" ref="AD98" ca="1" si="261">COUNTIF($J$92:$J$107,AC98)*$D$15</f>
        <v>0</v>
      </c>
      <c r="AE98" s="774"/>
      <c r="AF98" s="774"/>
      <c r="AG98" s="774"/>
      <c r="AH98" s="953"/>
      <c r="AI98">
        <f t="shared" ref="AI98" ca="1" si="262">COUNTIF($J$92:$J$107,AH98)*$D$15</f>
        <v>0</v>
      </c>
      <c r="AJ98" s="774"/>
      <c r="AK98" s="774"/>
      <c r="AL98" s="774"/>
    </row>
    <row r="99" spans="1:38" ht="15" customHeight="1">
      <c r="A99" s="774"/>
      <c r="B99" s="774"/>
      <c r="C99" s="774"/>
      <c r="D99" s="774"/>
      <c r="E99" s="774"/>
      <c r="F99" s="894">
        <v>44897</v>
      </c>
      <c r="G99" s="1052"/>
      <c r="H99" s="9" t="s">
        <v>413</v>
      </c>
      <c r="I99" s="821"/>
      <c r="J99" s="821" t="str">
        <f ca="1">MUNDIAL!I76</f>
        <v>Portugal</v>
      </c>
      <c r="K99" s="774"/>
      <c r="L99" s="774"/>
      <c r="M99" s="774"/>
      <c r="N99" s="953"/>
      <c r="O99">
        <f t="shared" ca="1" si="234"/>
        <v>0</v>
      </c>
      <c r="P99" s="774"/>
      <c r="Q99" s="774"/>
      <c r="R99" s="774"/>
      <c r="S99" s="820"/>
      <c r="T99">
        <f t="shared" ref="T99" ca="1" si="263">COUNTIF($J$92:$J$107,S99)*$D$15</f>
        <v>0</v>
      </c>
      <c r="U99" s="774"/>
      <c r="V99" s="774"/>
      <c r="W99" s="774"/>
      <c r="X99" s="820"/>
      <c r="Y99">
        <f t="shared" ref="Y99" ca="1" si="264">COUNTIF($J$92:$J$107,X99)*$D$15</f>
        <v>0</v>
      </c>
      <c r="Z99" s="774"/>
      <c r="AA99" s="774"/>
      <c r="AB99" s="774"/>
      <c r="AC99" s="820"/>
      <c r="AD99">
        <f t="shared" ref="AD99" ca="1" si="265">COUNTIF($J$92:$J$107,AC99)*$D$15</f>
        <v>0</v>
      </c>
      <c r="AE99" s="774"/>
      <c r="AF99" s="774"/>
      <c r="AG99" s="774"/>
      <c r="AH99" s="953"/>
      <c r="AI99">
        <f t="shared" ref="AI99" ca="1" si="266">COUNTIF($J$92:$J$107,AH99)*$D$15</f>
        <v>0</v>
      </c>
      <c r="AJ99" s="774"/>
      <c r="AK99" s="774"/>
      <c r="AL99" s="774"/>
    </row>
    <row r="100" spans="1:38" ht="15" customHeight="1">
      <c r="A100" s="774"/>
      <c r="B100" s="774"/>
      <c r="C100" s="774"/>
      <c r="D100" s="774"/>
      <c r="E100" s="774"/>
      <c r="F100" s="894">
        <v>44894</v>
      </c>
      <c r="G100" s="1052"/>
      <c r="H100" s="9" t="s">
        <v>414</v>
      </c>
      <c r="I100" s="821"/>
      <c r="J100" s="821" t="str">
        <f ca="1">MUNDIAL!N69</f>
        <v>Estados unidos</v>
      </c>
      <c r="K100" s="774"/>
      <c r="L100" s="774"/>
      <c r="M100" s="774"/>
      <c r="N100" s="953"/>
      <c r="O100">
        <f t="shared" ca="1" si="234"/>
        <v>0</v>
      </c>
      <c r="P100" s="774"/>
      <c r="Q100" s="774"/>
      <c r="R100" s="774"/>
      <c r="S100" s="820"/>
      <c r="T100">
        <f t="shared" ref="T100" ca="1" si="267">COUNTIF($J$92:$J$107,S100)*$D$15</f>
        <v>0</v>
      </c>
      <c r="U100" s="774"/>
      <c r="V100" s="774"/>
      <c r="W100" s="774"/>
      <c r="X100" s="820"/>
      <c r="Y100">
        <f t="shared" ref="Y100" ca="1" si="268">COUNTIF($J$92:$J$107,X100)*$D$15</f>
        <v>0</v>
      </c>
      <c r="Z100" s="774"/>
      <c r="AA100" s="774"/>
      <c r="AB100" s="774"/>
      <c r="AC100" s="820"/>
      <c r="AD100">
        <f t="shared" ref="AD100" ca="1" si="269">COUNTIF($J$92:$J$107,AC100)*$D$15</f>
        <v>0</v>
      </c>
      <c r="AE100" s="774"/>
      <c r="AF100" s="774"/>
      <c r="AG100" s="774"/>
      <c r="AH100" s="953"/>
      <c r="AI100">
        <f t="shared" ref="AI100" ca="1" si="270">COUNTIF($J$92:$J$107,AH100)*$D$15</f>
        <v>0</v>
      </c>
      <c r="AJ100" s="774"/>
      <c r="AK100" s="774"/>
      <c r="AL100" s="774"/>
    </row>
    <row r="101" spans="1:38" ht="15" customHeight="1">
      <c r="A101" s="774"/>
      <c r="B101" s="774"/>
      <c r="C101" s="774"/>
      <c r="D101" s="774"/>
      <c r="E101" s="774"/>
      <c r="F101" s="894">
        <v>44895</v>
      </c>
      <c r="G101" s="1052"/>
      <c r="H101" s="9" t="s">
        <v>415</v>
      </c>
      <c r="I101" s="821"/>
      <c r="J101" s="821" t="str">
        <f ca="1">MUNDIAL!N70</f>
        <v>Australia</v>
      </c>
      <c r="K101" s="774"/>
      <c r="L101" s="774"/>
      <c r="M101" s="774"/>
      <c r="N101" s="953"/>
      <c r="O101">
        <f t="shared" ca="1" si="234"/>
        <v>0</v>
      </c>
      <c r="P101" s="774"/>
      <c r="Q101" s="774"/>
      <c r="R101" s="774"/>
      <c r="S101" s="820"/>
      <c r="T101">
        <f t="shared" ref="T101" ca="1" si="271">COUNTIF($J$92:$J$107,S101)*$D$15</f>
        <v>0</v>
      </c>
      <c r="U101" s="774"/>
      <c r="V101" s="774"/>
      <c r="W101" s="774"/>
      <c r="X101" s="820"/>
      <c r="Y101">
        <f t="shared" ref="Y101" ca="1" si="272">COUNTIF($J$92:$J$107,X101)*$D$15</f>
        <v>0</v>
      </c>
      <c r="Z101" s="774"/>
      <c r="AA101" s="774"/>
      <c r="AB101" s="774"/>
      <c r="AC101" s="820"/>
      <c r="AD101">
        <f t="shared" ref="AD101" ca="1" si="273">COUNTIF($J$92:$J$107,AC101)*$D$15</f>
        <v>0</v>
      </c>
      <c r="AE101" s="774"/>
      <c r="AF101" s="774"/>
      <c r="AG101" s="774"/>
      <c r="AH101" s="953"/>
      <c r="AI101">
        <f t="shared" ref="AI101" ca="1" si="274">COUNTIF($J$92:$J$107,AH101)*$D$15</f>
        <v>0</v>
      </c>
      <c r="AJ101" s="774"/>
      <c r="AK101" s="774"/>
      <c r="AL101" s="774"/>
    </row>
    <row r="102" spans="1:38" ht="15" customHeight="1">
      <c r="A102" s="774"/>
      <c r="B102" s="774"/>
      <c r="C102" s="774"/>
      <c r="D102" s="774"/>
      <c r="E102" s="774"/>
      <c r="F102" s="894">
        <v>44895</v>
      </c>
      <c r="G102" s="1052"/>
      <c r="H102" s="9" t="s">
        <v>416</v>
      </c>
      <c r="I102" s="821"/>
      <c r="J102" s="821" t="str">
        <f ca="1">MUNDIAL!N71</f>
        <v>Polonia</v>
      </c>
      <c r="K102" s="774"/>
      <c r="L102" s="774"/>
      <c r="M102" s="774"/>
      <c r="N102" s="953"/>
      <c r="O102">
        <f t="shared" ca="1" si="234"/>
        <v>0</v>
      </c>
      <c r="P102" s="774"/>
      <c r="Q102" s="774"/>
      <c r="R102" s="774"/>
      <c r="S102" s="820"/>
      <c r="T102">
        <f t="shared" ref="T102" ca="1" si="275">COUNTIF($J$92:$J$107,S102)*$D$15</f>
        <v>0</v>
      </c>
      <c r="U102" s="774"/>
      <c r="V102" s="774"/>
      <c r="W102" s="774"/>
      <c r="X102" s="820"/>
      <c r="Y102">
        <f t="shared" ref="Y102" ca="1" si="276">COUNTIF($J$92:$J$107,X102)*$D$15</f>
        <v>0</v>
      </c>
      <c r="Z102" s="774"/>
      <c r="AA102" s="774"/>
      <c r="AB102" s="774"/>
      <c r="AC102" s="820"/>
      <c r="AD102">
        <f t="shared" ref="AD102" ca="1" si="277">COUNTIF($J$92:$J$107,AC102)*$D$15</f>
        <v>0</v>
      </c>
      <c r="AE102" s="774"/>
      <c r="AF102" s="774"/>
      <c r="AG102" s="774"/>
      <c r="AH102" s="953"/>
      <c r="AI102">
        <f t="shared" ref="AI102" ca="1" si="278">COUNTIF($J$92:$J$107,AH102)*$D$15</f>
        <v>0</v>
      </c>
      <c r="AJ102" s="774"/>
      <c r="AK102" s="774"/>
      <c r="AL102" s="774"/>
    </row>
    <row r="103" spans="1:38" ht="15" customHeight="1">
      <c r="A103" s="774"/>
      <c r="B103" s="774"/>
      <c r="C103" s="774"/>
      <c r="D103" s="774"/>
      <c r="E103" s="774"/>
      <c r="F103" s="894">
        <v>44894</v>
      </c>
      <c r="G103" s="1052"/>
      <c r="H103" s="9" t="s">
        <v>417</v>
      </c>
      <c r="I103" s="821"/>
      <c r="J103" s="821" t="str">
        <f ca="1">MUNDIAL!N72</f>
        <v>Senegal</v>
      </c>
      <c r="K103" s="774"/>
      <c r="L103" s="774"/>
      <c r="M103" s="774"/>
      <c r="N103" s="953"/>
      <c r="O103">
        <f t="shared" ca="1" si="234"/>
        <v>0</v>
      </c>
      <c r="P103" s="774"/>
      <c r="Q103" s="774"/>
      <c r="R103" s="774"/>
      <c r="S103" s="820"/>
      <c r="T103">
        <f t="shared" ref="T103" ca="1" si="279">COUNTIF($J$92:$J$107,S103)*$D$15</f>
        <v>0</v>
      </c>
      <c r="U103" s="774"/>
      <c r="V103" s="774"/>
      <c r="W103" s="774"/>
      <c r="X103" s="820"/>
      <c r="Y103">
        <f t="shared" ref="Y103" ca="1" si="280">COUNTIF($J$92:$J$107,X103)*$D$15</f>
        <v>0</v>
      </c>
      <c r="Z103" s="774"/>
      <c r="AA103" s="774"/>
      <c r="AB103" s="774"/>
      <c r="AC103" s="820"/>
      <c r="AD103">
        <f t="shared" ref="AD103" ca="1" si="281">COUNTIF($J$92:$J$107,AC103)*$D$15</f>
        <v>0</v>
      </c>
      <c r="AE103" s="774"/>
      <c r="AF103" s="774"/>
      <c r="AG103" s="774"/>
      <c r="AH103" s="953"/>
      <c r="AI103">
        <f t="shared" ref="AI103" ca="1" si="282">COUNTIF($J$92:$J$107,AH103)*$D$15</f>
        <v>0</v>
      </c>
      <c r="AJ103" s="774"/>
      <c r="AK103" s="774"/>
      <c r="AL103" s="774"/>
    </row>
    <row r="104" spans="1:38" ht="15" customHeight="1">
      <c r="A104" s="774"/>
      <c r="B104" s="774"/>
      <c r="C104" s="774"/>
      <c r="D104" s="774"/>
      <c r="E104" s="774"/>
      <c r="F104" s="894">
        <v>44896</v>
      </c>
      <c r="G104" s="1052"/>
      <c r="H104" s="9" t="s">
        <v>418</v>
      </c>
      <c r="I104" s="821"/>
      <c r="J104" s="821" t="str">
        <f ca="1">MUNDIAL!N73</f>
        <v>Croacia</v>
      </c>
      <c r="K104" s="774"/>
      <c r="L104" s="774"/>
      <c r="M104" s="774"/>
      <c r="N104" s="953"/>
      <c r="O104">
        <f t="shared" ca="1" si="234"/>
        <v>0</v>
      </c>
      <c r="P104" s="774"/>
      <c r="Q104" s="774"/>
      <c r="R104" s="774"/>
      <c r="S104" s="820"/>
      <c r="T104">
        <f t="shared" ref="T104" ca="1" si="283">COUNTIF($J$92:$J$107,S104)*$D$15</f>
        <v>0</v>
      </c>
      <c r="U104" s="774"/>
      <c r="V104" s="774"/>
      <c r="W104" s="774"/>
      <c r="X104" s="820"/>
      <c r="Y104">
        <f t="shared" ref="Y104" ca="1" si="284">COUNTIF($J$92:$J$107,X104)*$D$15</f>
        <v>0</v>
      </c>
      <c r="Z104" s="774"/>
      <c r="AA104" s="774"/>
      <c r="AB104" s="774"/>
      <c r="AC104" s="820"/>
      <c r="AD104">
        <f t="shared" ref="AD104" ca="1" si="285">COUNTIF($J$92:$J$107,AC104)*$D$15</f>
        <v>0</v>
      </c>
      <c r="AE104" s="774"/>
      <c r="AF104" s="774"/>
      <c r="AG104" s="774"/>
      <c r="AH104" s="953"/>
      <c r="AI104">
        <f t="shared" ref="AI104" ca="1" si="286">COUNTIF($J$92:$J$107,AH104)*$D$15</f>
        <v>0</v>
      </c>
      <c r="AJ104" s="774"/>
      <c r="AK104" s="774"/>
      <c r="AL104" s="774"/>
    </row>
    <row r="105" spans="1:38" ht="15" customHeight="1">
      <c r="A105" s="774"/>
      <c r="B105" s="774"/>
      <c r="C105" s="774"/>
      <c r="D105" s="774"/>
      <c r="E105" s="774"/>
      <c r="F105" s="894">
        <v>44897</v>
      </c>
      <c r="G105" s="1052"/>
      <c r="H105" s="9" t="s">
        <v>419</v>
      </c>
      <c r="I105" s="821"/>
      <c r="J105" s="821" t="str">
        <f ca="1">MUNDIAL!N74</f>
        <v>Corea del Sur</v>
      </c>
      <c r="K105" s="774"/>
      <c r="L105" s="774"/>
      <c r="M105" s="774"/>
      <c r="N105" s="953"/>
      <c r="O105">
        <f t="shared" ca="1" si="234"/>
        <v>0</v>
      </c>
      <c r="P105" s="774"/>
      <c r="Q105" s="774"/>
      <c r="R105" s="774"/>
      <c r="S105" s="820"/>
      <c r="T105">
        <f t="shared" ref="T105" ca="1" si="287">COUNTIF($J$92:$J$107,S105)*$D$15</f>
        <v>0</v>
      </c>
      <c r="U105" s="774"/>
      <c r="V105" s="774"/>
      <c r="W105" s="774"/>
      <c r="X105" s="820"/>
      <c r="Y105">
        <f t="shared" ref="Y105" ca="1" si="288">COUNTIF($J$92:$J$107,X105)*$D$15</f>
        <v>0</v>
      </c>
      <c r="Z105" s="774"/>
      <c r="AA105" s="774"/>
      <c r="AB105" s="774"/>
      <c r="AC105" s="820"/>
      <c r="AD105">
        <f t="shared" ref="AD105" ca="1" si="289">COUNTIF($J$92:$J$107,AC105)*$D$15</f>
        <v>0</v>
      </c>
      <c r="AE105" s="774"/>
      <c r="AF105" s="774"/>
      <c r="AG105" s="774"/>
      <c r="AH105" s="953"/>
      <c r="AI105">
        <f t="shared" ref="AI105" ca="1" si="290">COUNTIF($J$92:$J$107,AH105)*$D$15</f>
        <v>0</v>
      </c>
      <c r="AJ105" s="774"/>
      <c r="AK105" s="774"/>
      <c r="AL105" s="774"/>
    </row>
    <row r="106" spans="1:38" ht="15" customHeight="1">
      <c r="A106" s="774"/>
      <c r="B106" s="774"/>
      <c r="C106" s="774"/>
      <c r="D106" s="774"/>
      <c r="E106" s="774"/>
      <c r="F106" s="894">
        <v>44896</v>
      </c>
      <c r="G106" s="1052"/>
      <c r="H106" s="9" t="s">
        <v>420</v>
      </c>
      <c r="I106" s="821"/>
      <c r="J106" s="821" t="str">
        <f ca="1">MUNDIAL!N75</f>
        <v>España</v>
      </c>
      <c r="K106" s="774"/>
      <c r="L106" s="774"/>
      <c r="M106" s="774"/>
      <c r="N106" s="953"/>
      <c r="O106">
        <f t="shared" ca="1" si="234"/>
        <v>0</v>
      </c>
      <c r="P106" s="774"/>
      <c r="Q106" s="774"/>
      <c r="R106" s="774"/>
      <c r="S106" s="820"/>
      <c r="T106">
        <f t="shared" ref="T106" ca="1" si="291">COUNTIF($J$92:$J$107,S106)*$D$15</f>
        <v>0</v>
      </c>
      <c r="U106" s="774"/>
      <c r="V106" s="774"/>
      <c r="W106" s="774"/>
      <c r="X106" s="820"/>
      <c r="Y106">
        <f t="shared" ref="Y106" ca="1" si="292">COUNTIF($J$92:$J$107,X106)*$D$15</f>
        <v>0</v>
      </c>
      <c r="Z106" s="774"/>
      <c r="AA106" s="774"/>
      <c r="AB106" s="774"/>
      <c r="AC106" s="820"/>
      <c r="AD106">
        <f t="shared" ref="AD106" ca="1" si="293">COUNTIF($J$92:$J$107,AC106)*$D$15</f>
        <v>0</v>
      </c>
      <c r="AE106" s="774"/>
      <c r="AF106" s="774"/>
      <c r="AG106" s="774"/>
      <c r="AH106" s="953"/>
      <c r="AI106">
        <f t="shared" ref="AI106" ca="1" si="294">COUNTIF($J$92:$J$107,AH106)*$D$15</f>
        <v>0</v>
      </c>
      <c r="AJ106" s="774"/>
      <c r="AK106" s="774"/>
      <c r="AL106" s="774"/>
    </row>
    <row r="107" spans="1:38" ht="15" customHeight="1">
      <c r="A107" s="774"/>
      <c r="B107" s="774"/>
      <c r="C107" s="869"/>
      <c r="D107" s="774"/>
      <c r="E107" s="774"/>
      <c r="F107" s="894">
        <v>44897</v>
      </c>
      <c r="G107" s="1053"/>
      <c r="H107" s="822" t="s">
        <v>421</v>
      </c>
      <c r="I107" s="823"/>
      <c r="J107" s="823" t="str">
        <f ca="1">MUNDIAL!N76</f>
        <v>Suiza</v>
      </c>
      <c r="K107" s="774"/>
      <c r="L107" s="774"/>
      <c r="M107" s="774"/>
      <c r="N107" s="953"/>
      <c r="O107">
        <f t="shared" ca="1" si="234"/>
        <v>0</v>
      </c>
      <c r="P107" s="774"/>
      <c r="Q107" s="774"/>
      <c r="R107" s="774"/>
      <c r="S107" s="820"/>
      <c r="T107">
        <f t="shared" ref="T107" ca="1" si="295">COUNTIF($J$92:$J$107,S107)*$D$15</f>
        <v>0</v>
      </c>
      <c r="U107" s="774"/>
      <c r="V107" s="774"/>
      <c r="W107" s="774"/>
      <c r="X107" s="820"/>
      <c r="Y107">
        <f t="shared" ref="Y107" ca="1" si="296">COUNTIF($J$92:$J$107,X107)*$D$15</f>
        <v>0</v>
      </c>
      <c r="Z107" s="774"/>
      <c r="AA107" s="774"/>
      <c r="AB107" s="774"/>
      <c r="AC107" s="820"/>
      <c r="AD107">
        <f t="shared" ref="AD107" ca="1" si="297">COUNTIF($J$92:$J$107,AC107)*$D$15</f>
        <v>0</v>
      </c>
      <c r="AE107" s="774"/>
      <c r="AF107" s="774"/>
      <c r="AG107" s="774"/>
      <c r="AH107" s="953"/>
      <c r="AI107">
        <f t="shared" ref="AI107" ca="1" si="298">COUNTIF($J$92:$J$107,AH107)*$D$15</f>
        <v>0</v>
      </c>
      <c r="AJ107" s="774"/>
      <c r="AK107" s="774"/>
      <c r="AL107" s="774"/>
    </row>
    <row r="108" spans="1:38">
      <c r="A108" s="774"/>
      <c r="B108" s="774"/>
      <c r="C108" s="870"/>
      <c r="D108" s="774"/>
      <c r="E108" s="774"/>
      <c r="F108" s="894"/>
      <c r="G108" s="774"/>
      <c r="H108" s="782" t="s">
        <v>373</v>
      </c>
      <c r="I108" s="774"/>
      <c r="J108" s="152"/>
      <c r="K108" s="774"/>
      <c r="L108" s="774"/>
      <c r="M108" s="774"/>
      <c r="N108" s="957"/>
      <c r="O108" s="782" t="str">
        <f ca="1">CONCATENATE(SUM(O92:O107),"/",$D$15*COUNT(O92:O107))</f>
        <v>0/0</v>
      </c>
      <c r="P108" s="774"/>
      <c r="Q108" s="774"/>
      <c r="R108" s="774"/>
      <c r="S108" s="816"/>
      <c r="T108" s="782" t="str">
        <f t="shared" ref="T108" ca="1" si="299">CONCATENATE(SUM(T92:T107),"/",$D$15*COUNT(T92:T107))</f>
        <v>0/0</v>
      </c>
      <c r="U108" s="774"/>
      <c r="V108" s="774"/>
      <c r="W108" s="774"/>
      <c r="X108" s="816"/>
      <c r="Y108" s="782" t="str">
        <f t="shared" ref="Y108" ca="1" si="300">CONCATENATE(SUM(Y92:Y107),"/",$D$15*COUNT(Y92:Y107))</f>
        <v>0/0</v>
      </c>
      <c r="Z108" s="774"/>
      <c r="AA108" s="774"/>
      <c r="AB108" s="774"/>
      <c r="AC108" s="816"/>
      <c r="AD108" s="782" t="str">
        <f t="shared" ref="AD108" ca="1" si="301">CONCATENATE(SUM(AD92:AD107),"/",$D$15*COUNT(AD92:AD107))</f>
        <v>0/0</v>
      </c>
      <c r="AE108" s="774"/>
      <c r="AF108" s="774"/>
      <c r="AG108" s="774"/>
      <c r="AH108" s="957"/>
      <c r="AI108" s="782" t="str">
        <f t="shared" ref="AI108" ca="1" si="302">CONCATENATE(SUM(AI92:AI107),"/",$D$15*COUNT(AI92:AI107))</f>
        <v>0/0</v>
      </c>
      <c r="AJ108" s="774"/>
      <c r="AK108" s="774"/>
      <c r="AL108" s="774"/>
    </row>
    <row r="109" spans="1:38" ht="16">
      <c r="A109" s="774"/>
      <c r="B109" s="774"/>
      <c r="C109" s="870"/>
      <c r="D109" s="774"/>
      <c r="E109" s="774"/>
      <c r="F109" s="894"/>
      <c r="G109" s="817"/>
      <c r="H109" s="883" t="s">
        <v>303</v>
      </c>
      <c r="I109" s="883"/>
      <c r="J109" s="885"/>
      <c r="K109" s="868"/>
      <c r="L109" s="868"/>
      <c r="M109" s="868"/>
      <c r="N109" s="957"/>
      <c r="O109" s="774"/>
      <c r="P109" s="774"/>
      <c r="Q109" s="774"/>
      <c r="R109" s="774"/>
      <c r="S109" s="816"/>
      <c r="T109" s="774"/>
      <c r="U109" s="774"/>
      <c r="V109" s="774"/>
      <c r="W109" s="774"/>
      <c r="X109" s="816"/>
      <c r="Y109" s="774"/>
      <c r="Z109" s="774"/>
      <c r="AA109" s="774"/>
      <c r="AB109" s="774"/>
      <c r="AC109" s="816"/>
      <c r="AD109" s="774"/>
      <c r="AE109" s="774"/>
      <c r="AF109" s="774"/>
      <c r="AG109" s="774"/>
      <c r="AH109" s="957"/>
      <c r="AI109" s="774"/>
      <c r="AJ109" s="774"/>
      <c r="AK109" s="774"/>
      <c r="AL109" s="774"/>
    </row>
    <row r="110" spans="1:38" ht="15" customHeight="1">
      <c r="A110" s="774"/>
      <c r="B110" s="774"/>
      <c r="C110" s="868" t="str">
        <f ca="1">CONCATENATE(MUNDIAL!N69,"-",MUNDIAL!I69)</f>
        <v>Estados unidos-Paises Bajos</v>
      </c>
      <c r="D110" s="868" t="str">
        <f>IF(MUNDIAL!K69&gt;MUNDIAL!L69,2,IF(MUNDIAL!K69&lt;MUNDIAL!L69,1,IF(AND(MUNDIAL!K69=MUNDIAL!L69,MUNDIAL!K69&lt;&gt;"",MUNDIAL!L69&lt;&gt;""),0,"PD")))</f>
        <v>PD</v>
      </c>
      <c r="E110" s="868" t="str">
        <f>CONCATENATE(MUNDIAL!L69,"-",MUNDIAL!K69)</f>
        <v>-</v>
      </c>
      <c r="F110" s="894">
        <v>44898</v>
      </c>
      <c r="G110" s="1033" t="s">
        <v>121</v>
      </c>
      <c r="H110" t="str">
        <f ca="1">CONCATENATE(MUNDIAL!I69,"-",MUNDIAL!N69)</f>
        <v>Paises Bajos-Estados unidos</v>
      </c>
      <c r="I110" t="str">
        <f>(IF(MUNDIAL!K69&gt;MUNDIAL!L69,1,IF(MUNDIAL!K69&lt;MUNDIAL!L69,2,IF(AND(MUNDIAL!K69=MUNDIAL!L69,MUNDIAL!K69&lt;&gt;"",MUNDIAL!L69&lt;&gt;""),0,"PD"))))</f>
        <v>PD</v>
      </c>
      <c r="J110" s="821" t="str">
        <f>CONCATENATE(MUNDIAL!K69,"-",MUNDIAL!L69)</f>
        <v>-</v>
      </c>
      <c r="K110" s="868">
        <f>IFERROR(MID(N110,1,FIND("·",N110)-1),)</f>
        <v>0</v>
      </c>
      <c r="L110" s="868">
        <f t="shared" ref="L110:L115" si="303">IFERROR(VALUE(MID(N110,FIND("·",N110)+1,1)),)</f>
        <v>0</v>
      </c>
      <c r="M110" s="868" t="str">
        <f t="shared" ref="M110:M117" si="304">IFERROR(MID(N110,FIND("|",N110)+1,10),"-")</f>
        <v>-</v>
      </c>
      <c r="N110" s="953" t="s">
        <v>304</v>
      </c>
      <c r="O110" cm="1">
        <f t="array" aca="1" ref="O110" ca="1">IFERROR(SUM(($H$110:$H$117=K110)*($I$110:$I$117=L110)*($D$16)),)
+IFERROR(SUM(($H$110:$H$117=K110)*($I$110:$I$117=L110)*(IF(MID($J$110:$J$117,1,FIND("-",$J$110:$J$117)-1)="",0,MID($J$110:$J$117,1,FIND("-",$J$110:$J$117)-1))-IFERROR(MID($J$110:$J$117,IF($E$110:$E$117="-",0,FIND("-",$J$110:$J$117)+1),10),0)=IF(MID(M110,1,FIND("-",M110)-1)="",0,MID(M110,1,FIND("-",M110)-1))-IF(MID(M110,FIND("-",M110)+1,10)="",0,MID(M110,FIND("-",M110)+1,10)))*($D$17)),)
+IFERROR(SUM(($H$110:$H$117=K110)*($I$110:$I$117=L110)*($J$110:$J$117=M110)*($D$18)),)
+IFERROR(SUM(($C$110:$C$117=K110)*($D$110:$D$117=L110)*($D$16)),)
+IFERROR(SUM(($C$110:$C$117=K110)*($D$110:$D$117=L110)*(IF(MID($E$110:$E$117,1,FIND("-",$E$110:$E$117)-1)="",0,MID($E$110:$E$117,1,FIND("-",$E$110:$E$117)-1))-IFERROR(MID($E$110:$E$117,IF($E$110:$E$117="-",0,FIND("-",$E$110:$E$117)+1),10),0)=IF(MID(M110,1,FIND("-",M110)-1)="",0,MID(M110,1,FIND("-",M110)-1))-IF(MID(M110,FIND("-",M110)+1,10)="",0,MID(M110,FIND("-",M110)+1,10)))*($D$17)),)+IFERROR(SUM(($C$110:$C$117=K110)*($D$110:$D$117=L110)*($E$110:$E$117=M110)*($D$18)),)</f>
        <v>0</v>
      </c>
      <c r="P110" s="868">
        <f t="shared" ref="P110:P117" si="305">IFERROR(MID(S110,1,FIND("·",S110)-1),)</f>
        <v>0</v>
      </c>
      <c r="Q110" s="868">
        <f t="shared" ref="Q110:Q117" si="306">IFERROR(VALUE(MID(S110,FIND("·",S110)+1,1)),)</f>
        <v>0</v>
      </c>
      <c r="R110" s="868" t="str">
        <f t="shared" ref="R110" si="307">IFERROR(MID(S110,FIND("|",S110)+1,10),"-")</f>
        <v>-</v>
      </c>
      <c r="S110" s="820" t="s">
        <v>304</v>
      </c>
      <c r="T110" cm="1">
        <f t="array" aca="1" ref="T110" ca="1">IFERROR(SUM(($H$110:$H$117=P110)*($I$110:$I$117=Q110)*($D$16)),)
+IFERROR(SUM(($H$110:$H$117=P110)*($I$110:$I$117=Q110)*(IF(MID($J$110:$J$117,1,FIND("-",$J$110:$J$117)-1)="",0,MID($J$110:$J$117,1,FIND("-",$J$110:$J$117)-1))-IFERROR(MID($J$110:$J$117,IF($E$110:$E$117="-",0,FIND("-",$J$110:$J$117)+1),10),0)=IF(MID(R110,1,FIND("-",R110)-1)="",0,MID(R110,1,FIND("-",R110)-1))-IF(MID(R110,FIND("-",R110)+1,10)="",0,MID(R110,FIND("-",R110)+1,10)))*($D$17)),)
+IFERROR(SUM(($H$110:$H$117=P110)*($I$110:$I$117=Q110)*($J$110:$J$117=R110)*($D$18)),)
+IFERROR(SUM(($C$110:$C$117=P110)*($D$110:$D$117=Q110)*($D$16)),)
+IFERROR(SUM(($C$110:$C$117=P110)*($D$110:$D$117=Q110)*(IF(MID($E$110:$E$117,1,FIND("-",$E$110:$E$117)-1)="",0,MID($E$110:$E$117,1,FIND("-",$E$110:$E$117)-1))-IFERROR(MID($E$110:$E$117,IF($E$110:$E$117="-",0,FIND("-",$E$110:$E$117)+1),10),0)=IF(MID(R110,1,FIND("-",R110)-1)="",0,MID(R110,1,FIND("-",R110)-1))-IF(MID(R110,FIND("-",R110)+1,10)="",0,MID(R110,FIND("-",R110)+1,10)))*($D$17)),)+IFERROR(SUM(($C$110:$C$117=P110)*($D$110:$D$117=Q110)*($E$110:$E$117=R110)*($D$18)),)</f>
        <v>0</v>
      </c>
      <c r="U110" s="868">
        <f t="shared" ref="U110:U117" si="308">IFERROR(MID(X110,1,FIND("·",X110)-1),)</f>
        <v>0</v>
      </c>
      <c r="V110" s="868">
        <f t="shared" ref="V110:V117" si="309">IFERROR(VALUE(MID(X110,FIND("·",X110)+1,1)),)</f>
        <v>0</v>
      </c>
      <c r="W110" s="868" t="str">
        <f t="shared" ref="W110" si="310">IFERROR(MID(X110,FIND("|",X110)+1,10),"-")</f>
        <v>-</v>
      </c>
      <c r="X110" s="820" t="s">
        <v>304</v>
      </c>
      <c r="Y110" cm="1">
        <f t="array" aca="1" ref="Y110" ca="1">IFERROR(SUM(($H$110:$H$117=U110)*($I$110:$I$117=V110)*($D$16)),)
+IFERROR(SUM(($H$110:$H$117=U110)*($I$110:$I$117=V110)*(IF(MID($J$110:$J$117,1,FIND("-",$J$110:$J$117)-1)="",0,MID($J$110:$J$117,1,FIND("-",$J$110:$J$117)-1))-IFERROR(MID($J$110:$J$117,IF($E$110:$E$117="-",0,FIND("-",$J$110:$J$117)+1),10),0)=IF(MID(W110,1,FIND("-",W110)-1)="",0,MID(W110,1,FIND("-",W110)-1))-IF(MID(W110,FIND("-",W110)+1,10)="",0,MID(W110,FIND("-",W110)+1,10)))*($D$17)),)
+IFERROR(SUM(($H$110:$H$117=U110)*($I$110:$I$117=V110)*($J$110:$J$117=W110)*($D$18)),)
+IFERROR(SUM(($C$110:$C$117=U110)*($D$110:$D$117=V110)*($D$16)),)
+IFERROR(SUM(($C$110:$C$117=U110)*($D$110:$D$117=V110)*(IF(MID($E$110:$E$117,1,FIND("-",$E$110:$E$117)-1)="",0,MID($E$110:$E$117,1,FIND("-",$E$110:$E$117)-1))-IFERROR(MID($E$110:$E$117,IF($E$110:$E$117="-",0,FIND("-",$E$110:$E$117)+1),10),0)=IF(MID(W110,1,FIND("-",W110)-1)="",0,MID(W110,1,FIND("-",W110)-1))-IF(MID(W110,FIND("-",W110)+1,10)="",0,MID(W110,FIND("-",W110)+1,10)))*($D$17)),)+IFERROR(SUM(($C$110:$C$117=U110)*($D$110:$D$117=V110)*($E$110:$E$117=W110)*($D$18)),)</f>
        <v>0</v>
      </c>
      <c r="Z110" s="868">
        <f t="shared" ref="Z110:Z117" si="311">IFERROR(MID(AC110,1,FIND("·",AC110)-1),)</f>
        <v>0</v>
      </c>
      <c r="AA110" s="868">
        <f t="shared" ref="AA110:AA117" si="312">IFERROR(VALUE(MID(AC110,FIND("·",AC110)+1,1)),)</f>
        <v>0</v>
      </c>
      <c r="AB110" s="868" t="str">
        <f t="shared" ref="AB110" si="313">IFERROR(MID(AC110,FIND("|",AC110)+1,10),"-")</f>
        <v>-</v>
      </c>
      <c r="AC110" s="820" t="s">
        <v>304</v>
      </c>
      <c r="AD110" cm="1">
        <f t="array" aca="1" ref="AD110" ca="1">IFERROR(SUM(($H$110:$H$117=Z110)*($I$110:$I$117=AA110)*($D$16)),)
+IFERROR(SUM(($H$110:$H$117=Z110)*($I$110:$I$117=AA110)*(IF(MID($J$110:$J$117,1,FIND("-",$J$110:$J$117)-1)="",0,MID($J$110:$J$117,1,FIND("-",$J$110:$J$117)-1))-IFERROR(MID($J$110:$J$117,IF($E$110:$E$117="-",0,FIND("-",$J$110:$J$117)+1),10),0)=IF(MID(AB110,1,FIND("-",AB110)-1)="",0,MID(AB110,1,FIND("-",AB110)-1))-IF(MID(AB110,FIND("-",AB110)+1,10)="",0,MID(AB110,FIND("-",AB110)+1,10)))*($D$17)),)
+IFERROR(SUM(($H$110:$H$117=Z110)*($I$110:$I$117=AA110)*($J$110:$J$117=AB110)*($D$18)),)
+IFERROR(SUM(($C$110:$C$117=Z110)*($D$110:$D$117=AA110)*($D$16)),)
+IFERROR(SUM(($C$110:$C$117=Z110)*($D$110:$D$117=AA110)*(IF(MID($E$110:$E$117,1,FIND("-",$E$110:$E$117)-1)="",0,MID($E$110:$E$117,1,FIND("-",$E$110:$E$117)-1))-IFERROR(MID($E$110:$E$117,IF($E$110:$E$117="-",0,FIND("-",$E$110:$E$117)+1),10),0)=IF(MID(AB110,1,FIND("-",AB110)-1)="",0,MID(AB110,1,FIND("-",AB110)-1))-IF(MID(AB110,FIND("-",AB110)+1,10)="",0,MID(AB110,FIND("-",AB110)+1,10)))*($D$17)),)+IFERROR(SUM(($C$110:$C$117=Z110)*($D$110:$D$117=AA110)*($E$110:$E$117=AB110)*($D$18)),)</f>
        <v>0</v>
      </c>
      <c r="AE110" s="868">
        <f t="shared" ref="AE110:AE117" si="314">IFERROR(MID(AH110,1,FIND("·",AH110)-1),)</f>
        <v>0</v>
      </c>
      <c r="AF110" s="868">
        <f t="shared" ref="AF110:AF117" si="315">IFERROR(VALUE(MID(AH110,FIND("·",AH110)+1,1)),)</f>
        <v>0</v>
      </c>
      <c r="AG110" s="868" t="str">
        <f t="shared" ref="AG110" si="316">IFERROR(MID(AH110,FIND("|",AH110)+1,10),"-")</f>
        <v>-</v>
      </c>
      <c r="AH110" s="953" t="s">
        <v>304</v>
      </c>
      <c r="AI110" cm="1">
        <f t="array" aca="1" ref="AI110" ca="1">IFERROR(SUM(($H$110:$H$117=AE110)*($I$110:$I$117=AF110)*($D$16)),)
+IFERROR(SUM(($H$110:$H$117=AE110)*($I$110:$I$117=AF110)*(IF(MID($J$110:$J$117,1,FIND("-",$J$110:$J$117)-1)="",0,MID($J$110:$J$117,1,FIND("-",$J$110:$J$117)-1))-IFERROR(MID($J$110:$J$117,IF($E$110:$E$117="-",0,FIND("-",$J$110:$J$117)+1),10),0)=IF(MID(AG110,1,FIND("-",AG110)-1)="",0,MID(AG110,1,FIND("-",AG110)-1))-IF(MID(AG110,FIND("-",AG110)+1,10)="",0,MID(AG110,FIND("-",AG110)+1,10)))*($D$17)),)
+IFERROR(SUM(($H$110:$H$117=AE110)*($I$110:$I$117=AF110)*($J$110:$J$117=AG110)*($D$18)),)
+IFERROR(SUM(($C$110:$C$117=AE110)*($D$110:$D$117=AF110)*($D$16)),)
+IFERROR(SUM(($C$110:$C$117=AE110)*($D$110:$D$117=AF110)*(IF(MID($E$110:$E$117,1,FIND("-",$E$110:$E$117)-1)="",0,MID($E$110:$E$117,1,FIND("-",$E$110:$E$117)-1))-IFERROR(MID($E$110:$E$117,IF($E$110:$E$117="-",0,FIND("-",$E$110:$E$117)+1),10),0)=IF(MID(AG110,1,FIND("-",AG110)-1)="",0,MID(AG110,1,FIND("-",AG110)-1))-IF(MID(AG110,FIND("-",AG110)+1,10)="",0,MID(AG110,FIND("-",AG110)+1,10)))*($D$17)),)+IFERROR(SUM(($C$110:$C$117=AE110)*($D$110:$D$117=AF110)*($E$110:$E$117=AG110)*($D$18)),)</f>
        <v>0</v>
      </c>
      <c r="AJ110" s="868"/>
      <c r="AK110" s="773"/>
      <c r="AL110" s="773"/>
    </row>
    <row r="111" spans="1:38" ht="15" customHeight="1">
      <c r="A111" s="774"/>
      <c r="B111" s="774"/>
      <c r="C111" s="868" t="str">
        <f ca="1">CONCATENATE(MUNDIAL!N70,"-",MUNDIAL!I70)</f>
        <v>Australia-Argentina</v>
      </c>
      <c r="D111" s="868" t="str">
        <f>IF(MUNDIAL!K70&gt;MUNDIAL!L70,2,IF(MUNDIAL!K70&lt;MUNDIAL!L70,1,IF(AND(MUNDIAL!K70=MUNDIAL!L70,MUNDIAL!K70&lt;&gt;"",MUNDIAL!L70&lt;&gt;""),0,"PD")))</f>
        <v>PD</v>
      </c>
      <c r="E111" s="868" t="str">
        <f>CONCATENATE(MUNDIAL!L70,"-",MUNDIAL!K70)</f>
        <v>-</v>
      </c>
      <c r="F111" s="894">
        <v>44898</v>
      </c>
      <c r="G111" s="1034"/>
      <c r="H111" t="str">
        <f ca="1">CONCATENATE(MUNDIAL!I70,"-",MUNDIAL!N70)</f>
        <v>Argentina-Australia</v>
      </c>
      <c r="I111" t="str">
        <f>(IF(MUNDIAL!K70&gt;MUNDIAL!L70,1,IF(MUNDIAL!K70&lt;MUNDIAL!L70,2,IF(AND(MUNDIAL!K70=MUNDIAL!L70,MUNDIAL!K70&lt;&gt;"",MUNDIAL!L70&lt;&gt;""),0,"PD"))))</f>
        <v>PD</v>
      </c>
      <c r="J111" s="821" t="str">
        <f>CONCATENATE(MUNDIAL!K70,"-",MUNDIAL!L70)</f>
        <v>-</v>
      </c>
      <c r="K111" s="868">
        <f>IFERROR(MID(N111,1,FIND("·",N111)-1),)</f>
        <v>0</v>
      </c>
      <c r="L111" s="868">
        <f t="shared" si="303"/>
        <v>0</v>
      </c>
      <c r="M111" s="868" t="str">
        <f t="shared" si="304"/>
        <v>-</v>
      </c>
      <c r="N111" s="953"/>
      <c r="O111" cm="1">
        <f t="array" aca="1" ref="O111" ca="1">IFERROR(SUM(($H$110:$H$117=K111)*($I$110:$I$117=L111)*($D$16)),)
+IFERROR(SUM(($H$110:$H$117=K111)*($I$110:$I$117=L111)*(IF(MID($J$110:$J$117,1,FIND("-",$J$110:$J$117)-1)="",0,MID($J$110:$J$117,1,FIND("-",$J$110:$J$117)-1))-IFERROR(MID($J$110:$J$117,IF($E$110:$E$117="-",0,FIND("-",$J$110:$J$117)+1),10),0)=IF(MID(M111,1,FIND("-",M111)-1)="",0,MID(M111,1,FIND("-",M111)-1))-IF(MID(M111,FIND("-",M111)+1,10)="",0,MID(M111,FIND("-",M111)+1,10)))*($D$17)),)
+IFERROR(SUM(($H$110:$H$117=K111)*($I$110:$I$117=L111)*($J$110:$J$117=M111)*($D$18)),)
+IFERROR(SUM(($C$110:$C$117=K111)*($D$110:$D$117=L111)*($D$16)),)
+IFERROR(SUM(($C$110:$C$117=K111)*($D$110:$D$117=L111)*(IF(MID($E$110:$E$117,1,FIND("-",$E$110:$E$117)-1)="",0,MID($E$110:$E$117,1,FIND("-",$E$110:$E$117)-1))-IFERROR(MID($E$110:$E$117,IF($E$110:$E$117="-",0,FIND("-",$E$110:$E$117)+1),10),0)=IF(MID(M111,1,FIND("-",M111)-1)="",0,MID(M111,1,FIND("-",M111)-1))-IF(MID(M111,FIND("-",M111)+1,10)="",0,MID(M111,FIND("-",M111)+1,10)))*($D$17)),)+IFERROR(SUM(($C$110:$C$117=K111)*($D$110:$D$117=L111)*($E$110:$E$117=M111)*($D$18)),)</f>
        <v>0</v>
      </c>
      <c r="P111" s="868">
        <f t="shared" si="305"/>
        <v>0</v>
      </c>
      <c r="Q111" s="868">
        <f t="shared" si="306"/>
        <v>0</v>
      </c>
      <c r="R111" s="868" t="str">
        <f t="shared" ref="R111" si="317">IFERROR(MID(S111,FIND("|",S111)+1,10),"-")</f>
        <v>-</v>
      </c>
      <c r="S111" s="820"/>
      <c r="T111" cm="1">
        <f t="array" aca="1" ref="T111" ca="1">IFERROR(SUM(($H$110:$H$117=P111)*($I$110:$I$117=Q111)*($D$16)),)
+IFERROR(SUM(($H$110:$H$117=P111)*($I$110:$I$117=Q111)*(IF(MID($J$110:$J$117,1,FIND("-",$J$110:$J$117)-1)="",0,MID($J$110:$J$117,1,FIND("-",$J$110:$J$117)-1))-IFERROR(MID($J$110:$J$117,IF($E$110:$E$117="-",0,FIND("-",$J$110:$J$117)+1),10),0)=IF(MID(R111,1,FIND("-",R111)-1)="",0,MID(R111,1,FIND("-",R111)-1))-IF(MID(R111,FIND("-",R111)+1,10)="",0,MID(R111,FIND("-",R111)+1,10)))*($D$17)),)
+IFERROR(SUM(($H$110:$H$117=P111)*($I$110:$I$117=Q111)*($J$110:$J$117=R111)*($D$18)),)
+IFERROR(SUM(($C$110:$C$117=P111)*($D$110:$D$117=Q111)*($D$16)),)
+IFERROR(SUM(($C$110:$C$117=P111)*($D$110:$D$117=Q111)*(IF(MID($E$110:$E$117,1,FIND("-",$E$110:$E$117)-1)="",0,MID($E$110:$E$117,1,FIND("-",$E$110:$E$117)-1))-IFERROR(MID($E$110:$E$117,IF($E$110:$E$117="-",0,FIND("-",$E$110:$E$117)+1),10),0)=IF(MID(R111,1,FIND("-",R111)-1)="",0,MID(R111,1,FIND("-",R111)-1))-IF(MID(R111,FIND("-",R111)+1,10)="",0,MID(R111,FIND("-",R111)+1,10)))*($D$17)),)+IFERROR(SUM(($C$110:$C$117=P111)*($D$110:$D$117=Q111)*($E$110:$E$117=R111)*($D$18)),)</f>
        <v>0</v>
      </c>
      <c r="U111" s="868">
        <f t="shared" si="308"/>
        <v>0</v>
      </c>
      <c r="V111" s="868">
        <f t="shared" si="309"/>
        <v>0</v>
      </c>
      <c r="W111" s="868" t="str">
        <f t="shared" ref="W111" si="318">IFERROR(MID(X111,FIND("|",X111)+1,10),"-")</f>
        <v>-</v>
      </c>
      <c r="X111" s="820"/>
      <c r="Y111" cm="1">
        <f t="array" aca="1" ref="Y111" ca="1">IFERROR(SUM(($H$110:$H$117=U111)*($I$110:$I$117=V111)*($D$16)),)
+IFERROR(SUM(($H$110:$H$117=U111)*($I$110:$I$117=V111)*(IF(MID($J$110:$J$117,1,FIND("-",$J$110:$J$117)-1)="",0,MID($J$110:$J$117,1,FIND("-",$J$110:$J$117)-1))-IFERROR(MID($J$110:$J$117,IF($E$110:$E$117="-",0,FIND("-",$J$110:$J$117)+1),10),0)=IF(MID(W111,1,FIND("-",W111)-1)="",0,MID(W111,1,FIND("-",W111)-1))-IF(MID(W111,FIND("-",W111)+1,10)="",0,MID(W111,FIND("-",W111)+1,10)))*($D$17)),)
+IFERROR(SUM(($H$110:$H$117=U111)*($I$110:$I$117=V111)*($J$110:$J$117=W111)*($D$18)),)
+IFERROR(SUM(($C$110:$C$117=U111)*($D$110:$D$117=V111)*($D$16)),)
+IFERROR(SUM(($C$110:$C$117=U111)*($D$110:$D$117=V111)*(IF(MID($E$110:$E$117,1,FIND("-",$E$110:$E$117)-1)="",0,MID($E$110:$E$117,1,FIND("-",$E$110:$E$117)-1))-IFERROR(MID($E$110:$E$117,IF($E$110:$E$117="-",0,FIND("-",$E$110:$E$117)+1),10),0)=IF(MID(W111,1,FIND("-",W111)-1)="",0,MID(W111,1,FIND("-",W111)-1))-IF(MID(W111,FIND("-",W111)+1,10)="",0,MID(W111,FIND("-",W111)+1,10)))*($D$17)),)+IFERROR(SUM(($C$110:$C$117=U111)*($D$110:$D$117=V111)*($E$110:$E$117=W111)*($D$18)),)</f>
        <v>0</v>
      </c>
      <c r="Z111" s="868">
        <f t="shared" si="311"/>
        <v>0</v>
      </c>
      <c r="AA111" s="868">
        <f t="shared" si="312"/>
        <v>0</v>
      </c>
      <c r="AB111" s="868" t="str">
        <f t="shared" ref="AB111" si="319">IFERROR(MID(AC111,FIND("|",AC111)+1,10),"-")</f>
        <v>-</v>
      </c>
      <c r="AC111" s="820"/>
      <c r="AD111" cm="1">
        <f t="array" aca="1" ref="AD111" ca="1">IFERROR(SUM(($H$110:$H$117=Z111)*($I$110:$I$117=AA111)*($D$16)),)
+IFERROR(SUM(($H$110:$H$117=Z111)*($I$110:$I$117=AA111)*(IF(MID($J$110:$J$117,1,FIND("-",$J$110:$J$117)-1)="",0,MID($J$110:$J$117,1,FIND("-",$J$110:$J$117)-1))-IFERROR(MID($J$110:$J$117,IF($E$110:$E$117="-",0,FIND("-",$J$110:$J$117)+1),10),0)=IF(MID(AB111,1,FIND("-",AB111)-1)="",0,MID(AB111,1,FIND("-",AB111)-1))-IF(MID(AB111,FIND("-",AB111)+1,10)="",0,MID(AB111,FIND("-",AB111)+1,10)))*($D$17)),)
+IFERROR(SUM(($H$110:$H$117=Z111)*($I$110:$I$117=AA111)*($J$110:$J$117=AB111)*($D$18)),)
+IFERROR(SUM(($C$110:$C$117=Z111)*($D$110:$D$117=AA111)*($D$16)),)
+IFERROR(SUM(($C$110:$C$117=Z111)*($D$110:$D$117=AA111)*(IF(MID($E$110:$E$117,1,FIND("-",$E$110:$E$117)-1)="",0,MID($E$110:$E$117,1,FIND("-",$E$110:$E$117)-1))-IFERROR(MID($E$110:$E$117,IF($E$110:$E$117="-",0,FIND("-",$E$110:$E$117)+1),10),0)=IF(MID(AB111,1,FIND("-",AB111)-1)="",0,MID(AB111,1,FIND("-",AB111)-1))-IF(MID(AB111,FIND("-",AB111)+1,10)="",0,MID(AB111,FIND("-",AB111)+1,10)))*($D$17)),)+IFERROR(SUM(($C$110:$C$117=Z111)*($D$110:$D$117=AA111)*($E$110:$E$117=AB111)*($D$18)),)</f>
        <v>0</v>
      </c>
      <c r="AE111" s="868">
        <f t="shared" si="314"/>
        <v>0</v>
      </c>
      <c r="AF111" s="868">
        <f t="shared" si="315"/>
        <v>0</v>
      </c>
      <c r="AG111" s="868" t="str">
        <f t="shared" ref="AG111" si="320">IFERROR(MID(AH111,FIND("|",AH111)+1,10),"-")</f>
        <v>-</v>
      </c>
      <c r="AH111" s="953"/>
      <c r="AI111" cm="1">
        <f t="array" aca="1" ref="AI111" ca="1">IFERROR(SUM(($H$110:$H$117=AE111)*($I$110:$I$117=AF111)*($D$16)),)
+IFERROR(SUM(($H$110:$H$117=AE111)*($I$110:$I$117=AF111)*(IF(MID($J$110:$J$117,1,FIND("-",$J$110:$J$117)-1)="",0,MID($J$110:$J$117,1,FIND("-",$J$110:$J$117)-1))-IFERROR(MID($J$110:$J$117,IF($E$110:$E$117="-",0,FIND("-",$J$110:$J$117)+1),10),0)=IF(MID(AG111,1,FIND("-",AG111)-1)="",0,MID(AG111,1,FIND("-",AG111)-1))-IF(MID(AG111,FIND("-",AG111)+1,10)="",0,MID(AG111,FIND("-",AG111)+1,10)))*($D$17)),)
+IFERROR(SUM(($H$110:$H$117=AE111)*($I$110:$I$117=AF111)*($J$110:$J$117=AG111)*($D$18)),)
+IFERROR(SUM(($C$110:$C$117=AE111)*($D$110:$D$117=AF111)*($D$16)),)
+IFERROR(SUM(($C$110:$C$117=AE111)*($D$110:$D$117=AF111)*(IF(MID($E$110:$E$117,1,FIND("-",$E$110:$E$117)-1)="",0,MID($E$110:$E$117,1,FIND("-",$E$110:$E$117)-1))-IFERROR(MID($E$110:$E$117,IF($E$110:$E$117="-",0,FIND("-",$E$110:$E$117)+1),10),0)=IF(MID(AG111,1,FIND("-",AG111)-1)="",0,MID(AG111,1,FIND("-",AG111)-1))-IF(MID(AG111,FIND("-",AG111)+1,10)="",0,MID(AG111,FIND("-",AG111)+1,10)))*($D$17)),)+IFERROR(SUM(($C$110:$C$117=AE111)*($D$110:$D$117=AF111)*($E$110:$E$117=AG111)*($D$18)),)</f>
        <v>0</v>
      </c>
      <c r="AJ111" s="868"/>
      <c r="AK111" s="773"/>
      <c r="AL111" s="773"/>
    </row>
    <row r="112" spans="1:38" ht="15" customHeight="1">
      <c r="A112" s="774"/>
      <c r="B112" s="774"/>
      <c r="C112" s="868" t="str">
        <f ca="1">CONCATENATE(MUNDIAL!N71,"-",MUNDIAL!I71)</f>
        <v>Polonia-Francia</v>
      </c>
      <c r="D112" s="868" t="str">
        <f>IF(MUNDIAL!K71&gt;MUNDIAL!L71,2,IF(MUNDIAL!K71&lt;MUNDIAL!L71,1,IF(AND(MUNDIAL!K71=MUNDIAL!L71,MUNDIAL!K71&lt;&gt;"",MUNDIAL!L71&lt;&gt;""),0,"PD")))</f>
        <v>PD</v>
      </c>
      <c r="E112" s="868" t="str">
        <f>CONCATENATE(MUNDIAL!L71,"-",MUNDIAL!K71)</f>
        <v>-</v>
      </c>
      <c r="F112" s="894">
        <v>44899</v>
      </c>
      <c r="G112" s="1034"/>
      <c r="H112" t="str">
        <f ca="1">CONCATENATE(MUNDIAL!I71,"-",MUNDIAL!N71)</f>
        <v>Francia-Polonia</v>
      </c>
      <c r="I112" t="str">
        <f>(IF(MUNDIAL!K71&gt;MUNDIAL!L71,1,IF(MUNDIAL!K71&lt;MUNDIAL!L71,2,IF(AND(MUNDIAL!K71=MUNDIAL!L71,MUNDIAL!K71&lt;&gt;"",MUNDIAL!L71&lt;&gt;""),0,"PD"))))</f>
        <v>PD</v>
      </c>
      <c r="J112" s="821" t="str">
        <f>CONCATENATE(MUNDIAL!K71,"-",MUNDIAL!L71)</f>
        <v>-</v>
      </c>
      <c r="K112" s="868">
        <f>IFERROR(MID(N112,1,FIND("·",N112)-1),)</f>
        <v>0</v>
      </c>
      <c r="L112" s="868">
        <f t="shared" si="303"/>
        <v>0</v>
      </c>
      <c r="M112" s="868" t="str">
        <f t="shared" si="304"/>
        <v>-</v>
      </c>
      <c r="N112" s="953"/>
      <c r="O112" cm="1">
        <f t="array" aca="1" ref="O112" ca="1">IFERROR(SUM(($H$110:$H$117=K112)*($I$110:$I$117=L112)*($D$16)),)
+IFERROR(SUM(($H$110:$H$117=K112)*($I$110:$I$117=L112)*(IF(MID($J$110:$J$117,1,FIND("-",$J$110:$J$117)-1)="",0,MID($J$110:$J$117,1,FIND("-",$J$110:$J$117)-1))-IFERROR(MID($J$110:$J$117,IF($E$110:$E$117="-",0,FIND("-",$J$110:$J$117)+1),10),0)=IF(MID(M112,1,FIND("-",M112)-1)="",0,MID(M112,1,FIND("-",M112)-1))-IF(MID(M112,FIND("-",M112)+1,10)="",0,MID(M112,FIND("-",M112)+1,10)))*($D$17)),)
+IFERROR(SUM(($H$110:$H$117=K112)*($I$110:$I$117=L112)*($J$110:$J$117=M112)*($D$18)),)
+IFERROR(SUM(($C$110:$C$117=K112)*($D$110:$D$117=L112)*($D$16)),)
+IFERROR(SUM(($C$110:$C$117=K112)*($D$110:$D$117=L112)*(IF(MID($E$110:$E$117,1,FIND("-",$E$110:$E$117)-1)="",0,MID($E$110:$E$117,1,FIND("-",$E$110:$E$117)-1))-IFERROR(MID($E$110:$E$117,IF($E$110:$E$117="-",0,FIND("-",$E$110:$E$117)+1),10),0)=IF(MID(M112,1,FIND("-",M112)-1)="",0,MID(M112,1,FIND("-",M112)-1))-IF(MID(M112,FIND("-",M112)+1,10)="",0,MID(M112,FIND("-",M112)+1,10)))*($D$17)),)+IFERROR(SUM(($C$110:$C$117=K112)*($D$110:$D$117=L112)*($E$110:$E$117=M112)*($D$18)),)</f>
        <v>0</v>
      </c>
      <c r="P112" s="868">
        <f t="shared" si="305"/>
        <v>0</v>
      </c>
      <c r="Q112" s="868">
        <f t="shared" si="306"/>
        <v>0</v>
      </c>
      <c r="R112" s="868" t="str">
        <f t="shared" ref="R112" si="321">IFERROR(MID(S112,FIND("|",S112)+1,10),"-")</f>
        <v>-</v>
      </c>
      <c r="S112" s="820"/>
      <c r="T112" cm="1">
        <f t="array" aca="1" ref="T112" ca="1">IFERROR(SUM(($H$110:$H$117=P112)*($I$110:$I$117=Q112)*($D$16)),)
+IFERROR(SUM(($H$110:$H$117=P112)*($I$110:$I$117=Q112)*(IF(MID($J$110:$J$117,1,FIND("-",$J$110:$J$117)-1)="",0,MID($J$110:$J$117,1,FIND("-",$J$110:$J$117)-1))-IFERROR(MID($J$110:$J$117,IF($E$110:$E$117="-",0,FIND("-",$J$110:$J$117)+1),10),0)=IF(MID(R112,1,FIND("-",R112)-1)="",0,MID(R112,1,FIND("-",R112)-1))-IF(MID(R112,FIND("-",R112)+1,10)="",0,MID(R112,FIND("-",R112)+1,10)))*($D$17)),)
+IFERROR(SUM(($H$110:$H$117=P112)*($I$110:$I$117=Q112)*($J$110:$J$117=R112)*($D$18)),)
+IFERROR(SUM(($C$110:$C$117=P112)*($D$110:$D$117=Q112)*($D$16)),)
+IFERROR(SUM(($C$110:$C$117=P112)*($D$110:$D$117=Q112)*(IF(MID($E$110:$E$117,1,FIND("-",$E$110:$E$117)-1)="",0,MID($E$110:$E$117,1,FIND("-",$E$110:$E$117)-1))-IFERROR(MID($E$110:$E$117,IF($E$110:$E$117="-",0,FIND("-",$E$110:$E$117)+1),10),0)=IF(MID(R112,1,FIND("-",R112)-1)="",0,MID(R112,1,FIND("-",R112)-1))-IF(MID(R112,FIND("-",R112)+1,10)="",0,MID(R112,FIND("-",R112)+1,10)))*($D$17)),)+IFERROR(SUM(($C$110:$C$117=P112)*($D$110:$D$117=Q112)*($E$110:$E$117=R112)*($D$18)),)</f>
        <v>0</v>
      </c>
      <c r="U112" s="868">
        <f t="shared" si="308"/>
        <v>0</v>
      </c>
      <c r="V112" s="868">
        <f t="shared" si="309"/>
        <v>0</v>
      </c>
      <c r="W112" s="868" t="str">
        <f t="shared" ref="W112" si="322">IFERROR(MID(X112,FIND("|",X112)+1,10),"-")</f>
        <v>-</v>
      </c>
      <c r="X112" s="820"/>
      <c r="Y112" cm="1">
        <f t="array" aca="1" ref="Y112" ca="1">IFERROR(SUM(($H$110:$H$117=U112)*($I$110:$I$117=V112)*($D$16)),)
+IFERROR(SUM(($H$110:$H$117=U112)*($I$110:$I$117=V112)*(IF(MID($J$110:$J$117,1,FIND("-",$J$110:$J$117)-1)="",0,MID($J$110:$J$117,1,FIND("-",$J$110:$J$117)-1))-IFERROR(MID($J$110:$J$117,IF($E$110:$E$117="-",0,FIND("-",$J$110:$J$117)+1),10),0)=IF(MID(W112,1,FIND("-",W112)-1)="",0,MID(W112,1,FIND("-",W112)-1))-IF(MID(W112,FIND("-",W112)+1,10)="",0,MID(W112,FIND("-",W112)+1,10)))*($D$17)),)
+IFERROR(SUM(($H$110:$H$117=U112)*($I$110:$I$117=V112)*($J$110:$J$117=W112)*($D$18)),)
+IFERROR(SUM(($C$110:$C$117=U112)*($D$110:$D$117=V112)*($D$16)),)
+IFERROR(SUM(($C$110:$C$117=U112)*($D$110:$D$117=V112)*(IF(MID($E$110:$E$117,1,FIND("-",$E$110:$E$117)-1)="",0,MID($E$110:$E$117,1,FIND("-",$E$110:$E$117)-1))-IFERROR(MID($E$110:$E$117,IF($E$110:$E$117="-",0,FIND("-",$E$110:$E$117)+1),10),0)=IF(MID(W112,1,FIND("-",W112)-1)="",0,MID(W112,1,FIND("-",W112)-1))-IF(MID(W112,FIND("-",W112)+1,10)="",0,MID(W112,FIND("-",W112)+1,10)))*($D$17)),)+IFERROR(SUM(($C$110:$C$117=U112)*($D$110:$D$117=V112)*($E$110:$E$117=W112)*($D$18)),)</f>
        <v>0</v>
      </c>
      <c r="Z112" s="868">
        <f t="shared" si="311"/>
        <v>0</v>
      </c>
      <c r="AA112" s="868">
        <f t="shared" si="312"/>
        <v>0</v>
      </c>
      <c r="AB112" s="868" t="str">
        <f t="shared" ref="AB112" si="323">IFERROR(MID(AC112,FIND("|",AC112)+1,10),"-")</f>
        <v>-</v>
      </c>
      <c r="AC112" s="820"/>
      <c r="AD112" cm="1">
        <f t="array" aca="1" ref="AD112" ca="1">IFERROR(SUM(($H$110:$H$117=Z112)*($I$110:$I$117=AA112)*($D$16)),)
+IFERROR(SUM(($H$110:$H$117=Z112)*($I$110:$I$117=AA112)*(IF(MID($J$110:$J$117,1,FIND("-",$J$110:$J$117)-1)="",0,MID($J$110:$J$117,1,FIND("-",$J$110:$J$117)-1))-IFERROR(MID($J$110:$J$117,IF($E$110:$E$117="-",0,FIND("-",$J$110:$J$117)+1),10),0)=IF(MID(AB112,1,FIND("-",AB112)-1)="",0,MID(AB112,1,FIND("-",AB112)-1))-IF(MID(AB112,FIND("-",AB112)+1,10)="",0,MID(AB112,FIND("-",AB112)+1,10)))*($D$17)),)
+IFERROR(SUM(($H$110:$H$117=Z112)*($I$110:$I$117=AA112)*($J$110:$J$117=AB112)*($D$18)),)
+IFERROR(SUM(($C$110:$C$117=Z112)*($D$110:$D$117=AA112)*($D$16)),)
+IFERROR(SUM(($C$110:$C$117=Z112)*($D$110:$D$117=AA112)*(IF(MID($E$110:$E$117,1,FIND("-",$E$110:$E$117)-1)="",0,MID($E$110:$E$117,1,FIND("-",$E$110:$E$117)-1))-IFERROR(MID($E$110:$E$117,IF($E$110:$E$117="-",0,FIND("-",$E$110:$E$117)+1),10),0)=IF(MID(AB112,1,FIND("-",AB112)-1)="",0,MID(AB112,1,FIND("-",AB112)-1))-IF(MID(AB112,FIND("-",AB112)+1,10)="",0,MID(AB112,FIND("-",AB112)+1,10)))*($D$17)),)+IFERROR(SUM(($C$110:$C$117=Z112)*($D$110:$D$117=AA112)*($E$110:$E$117=AB112)*($D$18)),)</f>
        <v>0</v>
      </c>
      <c r="AE112" s="868">
        <f t="shared" si="314"/>
        <v>0</v>
      </c>
      <c r="AF112" s="868">
        <f t="shared" si="315"/>
        <v>0</v>
      </c>
      <c r="AG112" s="868" t="str">
        <f t="shared" ref="AG112" si="324">IFERROR(MID(AH112,FIND("|",AH112)+1,10),"-")</f>
        <v>-</v>
      </c>
      <c r="AH112" s="953"/>
      <c r="AI112" cm="1">
        <f t="array" aca="1" ref="AI112" ca="1">IFERROR(SUM(($H$110:$H$117=AE112)*($I$110:$I$117=AF112)*($D$16)),)
+IFERROR(SUM(($H$110:$H$117=AE112)*($I$110:$I$117=AF112)*(IF(MID($J$110:$J$117,1,FIND("-",$J$110:$J$117)-1)="",0,MID($J$110:$J$117,1,FIND("-",$J$110:$J$117)-1))-IFERROR(MID($J$110:$J$117,IF($E$110:$E$117="-",0,FIND("-",$J$110:$J$117)+1),10),0)=IF(MID(AG112,1,FIND("-",AG112)-1)="",0,MID(AG112,1,FIND("-",AG112)-1))-IF(MID(AG112,FIND("-",AG112)+1,10)="",0,MID(AG112,FIND("-",AG112)+1,10)))*($D$17)),)
+IFERROR(SUM(($H$110:$H$117=AE112)*($I$110:$I$117=AF112)*($J$110:$J$117=AG112)*($D$18)),)
+IFERROR(SUM(($C$110:$C$117=AE112)*($D$110:$D$117=AF112)*($D$16)),)
+IFERROR(SUM(($C$110:$C$117=AE112)*($D$110:$D$117=AF112)*(IF(MID($E$110:$E$117,1,FIND("-",$E$110:$E$117)-1)="",0,MID($E$110:$E$117,1,FIND("-",$E$110:$E$117)-1))-IFERROR(MID($E$110:$E$117,IF($E$110:$E$117="-",0,FIND("-",$E$110:$E$117)+1),10),0)=IF(MID(AG112,1,FIND("-",AG112)-1)="",0,MID(AG112,1,FIND("-",AG112)-1))-IF(MID(AG112,FIND("-",AG112)+1,10)="",0,MID(AG112,FIND("-",AG112)+1,10)))*($D$17)),)+IFERROR(SUM(($C$110:$C$117=AE112)*($D$110:$D$117=AF112)*($E$110:$E$117=AG112)*($D$18)),)</f>
        <v>0</v>
      </c>
      <c r="AJ112" s="868"/>
      <c r="AK112" s="773"/>
      <c r="AL112" s="773"/>
    </row>
    <row r="113" spans="1:38" ht="15" customHeight="1">
      <c r="A113" s="774"/>
      <c r="B113" s="774"/>
      <c r="C113" s="868" t="str">
        <f ca="1">CONCATENATE(MUNDIAL!N72,"-",MUNDIAL!I72)</f>
        <v>Senegal-Inglaterra</v>
      </c>
      <c r="D113" s="868" t="str">
        <f>IF(MUNDIAL!K72&gt;MUNDIAL!L72,2,IF(MUNDIAL!K72&lt;MUNDIAL!L72,1,IF(AND(MUNDIAL!K72=MUNDIAL!L72,MUNDIAL!K72&lt;&gt;"",MUNDIAL!L72&lt;&gt;""),0,"PD")))</f>
        <v>PD</v>
      </c>
      <c r="E113" s="868" t="str">
        <f>CONCATENATE(MUNDIAL!L72,"-",MUNDIAL!K72)</f>
        <v>-</v>
      </c>
      <c r="F113" s="894">
        <v>44899</v>
      </c>
      <c r="G113" s="1034"/>
      <c r="H113" t="str">
        <f ca="1">CONCATENATE(MUNDIAL!I72,"-",MUNDIAL!N72)</f>
        <v>Inglaterra-Senegal</v>
      </c>
      <c r="I113" t="str">
        <f>(IF(MUNDIAL!K72&gt;MUNDIAL!L72,1,IF(MUNDIAL!K72&lt;MUNDIAL!L72,2,IF(AND(MUNDIAL!K72=MUNDIAL!L72,MUNDIAL!K72&lt;&gt;"",MUNDIAL!L72&lt;&gt;""),0,"PD"))))</f>
        <v>PD</v>
      </c>
      <c r="J113" s="821" t="str">
        <f>CONCATENATE(MUNDIAL!K72,"-",MUNDIAL!L72)</f>
        <v>-</v>
      </c>
      <c r="K113" s="868">
        <f t="shared" ref="K113:K117" si="325">IFERROR(MID(N113,1,FIND("·",N113)-1),)</f>
        <v>0</v>
      </c>
      <c r="L113" s="868">
        <f t="shared" si="303"/>
        <v>0</v>
      </c>
      <c r="M113" s="868" t="str">
        <f t="shared" si="304"/>
        <v>-</v>
      </c>
      <c r="N113" s="953"/>
      <c r="O113" cm="1">
        <f t="array" aca="1" ref="O113" ca="1">IFERROR(SUM(($H$110:$H$117=K113)*($I$110:$I$117=L113)*($D$16)),)
+IFERROR(SUM(($H$110:$H$117=K113)*($I$110:$I$117=L113)*(IF(MID($J$110:$J$117,1,FIND("-",$J$110:$J$117)-1)="",0,MID($J$110:$J$117,1,FIND("-",$J$110:$J$117)-1))-IFERROR(MID($J$110:$J$117,IF($E$110:$E$117="-",0,FIND("-",$J$110:$J$117)+1),10),0)=IF(MID(M113,1,FIND("-",M113)-1)="",0,MID(M113,1,FIND("-",M113)-1))-IF(MID(M113,FIND("-",M113)+1,10)="",0,MID(M113,FIND("-",M113)+1,10)))*($D$17)),)
+IFERROR(SUM(($H$110:$H$117=K113)*($I$110:$I$117=L113)*($J$110:$J$117=M113)*($D$18)),)
+IFERROR(SUM(($C$110:$C$117=K113)*($D$110:$D$117=L113)*($D$16)),)
+IFERROR(SUM(($C$110:$C$117=K113)*($D$110:$D$117=L113)*(IF(MID($E$110:$E$117,1,FIND("-",$E$110:$E$117)-1)="",0,MID($E$110:$E$117,1,FIND("-",$E$110:$E$117)-1))-IFERROR(MID($E$110:$E$117,IF($E$110:$E$117="-",0,FIND("-",$E$110:$E$117)+1),10),0)=IF(MID(M113,1,FIND("-",M113)-1)="",0,MID(M113,1,FIND("-",M113)-1))-IF(MID(M113,FIND("-",M113)+1,10)="",0,MID(M113,FIND("-",M113)+1,10)))*($D$17)),)+IFERROR(SUM(($C$110:$C$117=K113)*($D$110:$D$117=L113)*($E$110:$E$117=M113)*($D$18)),)</f>
        <v>0</v>
      </c>
      <c r="P113" s="868">
        <f t="shared" si="305"/>
        <v>0</v>
      </c>
      <c r="Q113" s="868">
        <f t="shared" si="306"/>
        <v>0</v>
      </c>
      <c r="R113" s="868" t="str">
        <f t="shared" ref="R113" si="326">IFERROR(MID(S113,FIND("|",S113)+1,10),"-")</f>
        <v>-</v>
      </c>
      <c r="S113" s="820"/>
      <c r="T113" cm="1">
        <f t="array" aca="1" ref="T113" ca="1">IFERROR(SUM(($H$110:$H$117=P113)*($I$110:$I$117=Q113)*($D$16)),)
+IFERROR(SUM(($H$110:$H$117=P113)*($I$110:$I$117=Q113)*(IF(MID($J$110:$J$117,1,FIND("-",$J$110:$J$117)-1)="",0,MID($J$110:$J$117,1,FIND("-",$J$110:$J$117)-1))-IFERROR(MID($J$110:$J$117,IF($E$110:$E$117="-",0,FIND("-",$J$110:$J$117)+1),10),0)=IF(MID(R113,1,FIND("-",R113)-1)="",0,MID(R113,1,FIND("-",R113)-1))-IF(MID(R113,FIND("-",R113)+1,10)="",0,MID(R113,FIND("-",R113)+1,10)))*($D$17)),)
+IFERROR(SUM(($H$110:$H$117=P113)*($I$110:$I$117=Q113)*($J$110:$J$117=R113)*($D$18)),)
+IFERROR(SUM(($C$110:$C$117=P113)*($D$110:$D$117=Q113)*($D$16)),)
+IFERROR(SUM(($C$110:$C$117=P113)*($D$110:$D$117=Q113)*(IF(MID($E$110:$E$117,1,FIND("-",$E$110:$E$117)-1)="",0,MID($E$110:$E$117,1,FIND("-",$E$110:$E$117)-1))-IFERROR(MID($E$110:$E$117,IF($E$110:$E$117="-",0,FIND("-",$E$110:$E$117)+1),10),0)=IF(MID(R113,1,FIND("-",R113)-1)="",0,MID(R113,1,FIND("-",R113)-1))-IF(MID(R113,FIND("-",R113)+1,10)="",0,MID(R113,FIND("-",R113)+1,10)))*($D$17)),)+IFERROR(SUM(($C$110:$C$117=P113)*($D$110:$D$117=Q113)*($E$110:$E$117=R113)*($D$18)),)</f>
        <v>0</v>
      </c>
      <c r="U113" s="868">
        <f t="shared" si="308"/>
        <v>0</v>
      </c>
      <c r="V113" s="868">
        <f t="shared" si="309"/>
        <v>0</v>
      </c>
      <c r="W113" s="868" t="str">
        <f t="shared" ref="W113" si="327">IFERROR(MID(X113,FIND("|",X113)+1,10),"-")</f>
        <v>-</v>
      </c>
      <c r="X113" s="820"/>
      <c r="Y113" cm="1">
        <f t="array" aca="1" ref="Y113" ca="1">IFERROR(SUM(($H$110:$H$117=U113)*($I$110:$I$117=V113)*($D$16)),)
+IFERROR(SUM(($H$110:$H$117=U113)*($I$110:$I$117=V113)*(IF(MID($J$110:$J$117,1,FIND("-",$J$110:$J$117)-1)="",0,MID($J$110:$J$117,1,FIND("-",$J$110:$J$117)-1))-IFERROR(MID($J$110:$J$117,IF($E$110:$E$117="-",0,FIND("-",$J$110:$J$117)+1),10),0)=IF(MID(W113,1,FIND("-",W113)-1)="",0,MID(W113,1,FIND("-",W113)-1))-IF(MID(W113,FIND("-",W113)+1,10)="",0,MID(W113,FIND("-",W113)+1,10)))*($D$17)),)
+IFERROR(SUM(($H$110:$H$117=U113)*($I$110:$I$117=V113)*($J$110:$J$117=W113)*($D$18)),)
+IFERROR(SUM(($C$110:$C$117=U113)*($D$110:$D$117=V113)*($D$16)),)
+IFERROR(SUM(($C$110:$C$117=U113)*($D$110:$D$117=V113)*(IF(MID($E$110:$E$117,1,FIND("-",$E$110:$E$117)-1)="",0,MID($E$110:$E$117,1,FIND("-",$E$110:$E$117)-1))-IFERROR(MID($E$110:$E$117,IF($E$110:$E$117="-",0,FIND("-",$E$110:$E$117)+1),10),0)=IF(MID(W113,1,FIND("-",W113)-1)="",0,MID(W113,1,FIND("-",W113)-1))-IF(MID(W113,FIND("-",W113)+1,10)="",0,MID(W113,FIND("-",W113)+1,10)))*($D$17)),)+IFERROR(SUM(($C$110:$C$117=U113)*($D$110:$D$117=V113)*($E$110:$E$117=W113)*($D$18)),)</f>
        <v>0</v>
      </c>
      <c r="Z113" s="868">
        <f t="shared" si="311"/>
        <v>0</v>
      </c>
      <c r="AA113" s="868">
        <f t="shared" si="312"/>
        <v>0</v>
      </c>
      <c r="AB113" s="868" t="str">
        <f t="shared" ref="AB113" si="328">IFERROR(MID(AC113,FIND("|",AC113)+1,10),"-")</f>
        <v>-</v>
      </c>
      <c r="AC113" s="820"/>
      <c r="AD113" cm="1">
        <f t="array" aca="1" ref="AD113" ca="1">IFERROR(SUM(($H$110:$H$117=Z113)*($I$110:$I$117=AA113)*($D$16)),)
+IFERROR(SUM(($H$110:$H$117=Z113)*($I$110:$I$117=AA113)*(IF(MID($J$110:$J$117,1,FIND("-",$J$110:$J$117)-1)="",0,MID($J$110:$J$117,1,FIND("-",$J$110:$J$117)-1))-IFERROR(MID($J$110:$J$117,IF($E$110:$E$117="-",0,FIND("-",$J$110:$J$117)+1),10),0)=IF(MID(AB113,1,FIND("-",AB113)-1)="",0,MID(AB113,1,FIND("-",AB113)-1))-IF(MID(AB113,FIND("-",AB113)+1,10)="",0,MID(AB113,FIND("-",AB113)+1,10)))*($D$17)),)
+IFERROR(SUM(($H$110:$H$117=Z113)*($I$110:$I$117=AA113)*($J$110:$J$117=AB113)*($D$18)),)
+IFERROR(SUM(($C$110:$C$117=Z113)*($D$110:$D$117=AA113)*($D$16)),)
+IFERROR(SUM(($C$110:$C$117=Z113)*($D$110:$D$117=AA113)*(IF(MID($E$110:$E$117,1,FIND("-",$E$110:$E$117)-1)="",0,MID($E$110:$E$117,1,FIND("-",$E$110:$E$117)-1))-IFERROR(MID($E$110:$E$117,IF($E$110:$E$117="-",0,FIND("-",$E$110:$E$117)+1),10),0)=IF(MID(AB113,1,FIND("-",AB113)-1)="",0,MID(AB113,1,FIND("-",AB113)-1))-IF(MID(AB113,FIND("-",AB113)+1,10)="",0,MID(AB113,FIND("-",AB113)+1,10)))*($D$17)),)+IFERROR(SUM(($C$110:$C$117=Z113)*($D$110:$D$117=AA113)*($E$110:$E$117=AB113)*($D$18)),)</f>
        <v>0</v>
      </c>
      <c r="AE113" s="868">
        <f t="shared" si="314"/>
        <v>0</v>
      </c>
      <c r="AF113" s="868">
        <f t="shared" si="315"/>
        <v>0</v>
      </c>
      <c r="AG113" s="868" t="str">
        <f t="shared" ref="AG113" si="329">IFERROR(MID(AH113,FIND("|",AH113)+1,10),"-")</f>
        <v>-</v>
      </c>
      <c r="AH113" s="953"/>
      <c r="AI113" cm="1">
        <f t="array" aca="1" ref="AI113" ca="1">IFERROR(SUM(($H$110:$H$117=AE113)*($I$110:$I$117=AF113)*($D$16)),)
+IFERROR(SUM(($H$110:$H$117=AE113)*($I$110:$I$117=AF113)*(IF(MID($J$110:$J$117,1,FIND("-",$J$110:$J$117)-1)="",0,MID($J$110:$J$117,1,FIND("-",$J$110:$J$117)-1))-IFERROR(MID($J$110:$J$117,IF($E$110:$E$117="-",0,FIND("-",$J$110:$J$117)+1),10),0)=IF(MID(AG113,1,FIND("-",AG113)-1)="",0,MID(AG113,1,FIND("-",AG113)-1))-IF(MID(AG113,FIND("-",AG113)+1,10)="",0,MID(AG113,FIND("-",AG113)+1,10)))*($D$17)),)
+IFERROR(SUM(($H$110:$H$117=AE113)*($I$110:$I$117=AF113)*($J$110:$J$117=AG113)*($D$18)),)
+IFERROR(SUM(($C$110:$C$117=AE113)*($D$110:$D$117=AF113)*($D$16)),)
+IFERROR(SUM(($C$110:$C$117=AE113)*($D$110:$D$117=AF113)*(IF(MID($E$110:$E$117,1,FIND("-",$E$110:$E$117)-1)="",0,MID($E$110:$E$117,1,FIND("-",$E$110:$E$117)-1))-IFERROR(MID($E$110:$E$117,IF($E$110:$E$117="-",0,FIND("-",$E$110:$E$117)+1),10),0)=IF(MID(AG113,1,FIND("-",AG113)-1)="",0,MID(AG113,1,FIND("-",AG113)-1))-IF(MID(AG113,FIND("-",AG113)+1,10)="",0,MID(AG113,FIND("-",AG113)+1,10)))*($D$17)),)+IFERROR(SUM(($C$110:$C$117=AE113)*($D$110:$D$117=AF113)*($E$110:$E$117=AG113)*($D$18)),)</f>
        <v>0</v>
      </c>
      <c r="AJ113" s="868"/>
      <c r="AK113" s="773"/>
      <c r="AL113" s="773"/>
    </row>
    <row r="114" spans="1:38" ht="15" customHeight="1">
      <c r="A114" s="774"/>
      <c r="B114" s="774"/>
      <c r="C114" s="868" t="str">
        <f ca="1">CONCATENATE(MUNDIAL!N73,"-",MUNDIAL!I73)</f>
        <v>Croacia-Japón</v>
      </c>
      <c r="D114" s="868" t="str">
        <f>IF(MUNDIAL!K73&gt;MUNDIAL!L73,2,IF(MUNDIAL!K73&lt;MUNDIAL!L73,1,IF(AND(MUNDIAL!K73=MUNDIAL!L73,MUNDIAL!K73&lt;&gt;"",MUNDIAL!L73&lt;&gt;""),0,"PD")))</f>
        <v>PD</v>
      </c>
      <c r="E114" s="868" t="str">
        <f>CONCATENATE(MUNDIAL!L73,"-",MUNDIAL!K73)</f>
        <v>-</v>
      </c>
      <c r="F114" s="894">
        <v>44900</v>
      </c>
      <c r="G114" s="1034"/>
      <c r="H114" t="str">
        <f ca="1">CONCATENATE(MUNDIAL!I73,"-",MUNDIAL!N73)</f>
        <v>Japón-Croacia</v>
      </c>
      <c r="I114" t="str">
        <f>(IF(MUNDIAL!K73&gt;MUNDIAL!L73,1,IF(MUNDIAL!K73&lt;MUNDIAL!L73,2,IF(AND(MUNDIAL!K73=MUNDIAL!L73,MUNDIAL!K73&lt;&gt;"",MUNDIAL!L73&lt;&gt;""),0,"PD"))))</f>
        <v>PD</v>
      </c>
      <c r="J114" s="821" t="str">
        <f>CONCATENATE(MUNDIAL!K73,"-",MUNDIAL!L73)</f>
        <v>-</v>
      </c>
      <c r="K114" s="868">
        <f t="shared" si="325"/>
        <v>0</v>
      </c>
      <c r="L114" s="868">
        <f t="shared" si="303"/>
        <v>0</v>
      </c>
      <c r="M114" s="868" t="str">
        <f t="shared" si="304"/>
        <v>-</v>
      </c>
      <c r="N114" s="953"/>
      <c r="O114" cm="1">
        <f t="array" aca="1" ref="O114" ca="1">IFERROR(SUM(($H$110:$H$117=K114)*($I$110:$I$117=L114)*($D$16)),)
+IFERROR(SUM(($H$110:$H$117=K114)*($I$110:$I$117=L114)*(IF(MID($J$110:$J$117,1,FIND("-",$J$110:$J$117)-1)="",0,MID($J$110:$J$117,1,FIND("-",$J$110:$J$117)-1))-IFERROR(MID($J$110:$J$117,IF($E$110:$E$117="-",0,FIND("-",$J$110:$J$117)+1),10),0)=IF(MID(M114,1,FIND("-",M114)-1)="",0,MID(M114,1,FIND("-",M114)-1))-IF(MID(M114,FIND("-",M114)+1,10)="",0,MID(M114,FIND("-",M114)+1,10)))*($D$17)),)
+IFERROR(SUM(($H$110:$H$117=K114)*($I$110:$I$117=L114)*($J$110:$J$117=M114)*($D$18)),)
+IFERROR(SUM(($C$110:$C$117=K114)*($D$110:$D$117=L114)*($D$16)),)
+IFERROR(SUM(($C$110:$C$117=K114)*($D$110:$D$117=L114)*(IF(MID($E$110:$E$117,1,FIND("-",$E$110:$E$117)-1)="",0,MID($E$110:$E$117,1,FIND("-",$E$110:$E$117)-1))-IFERROR(MID($E$110:$E$117,IF($E$110:$E$117="-",0,FIND("-",$E$110:$E$117)+1),10),0)=IF(MID(M114,1,FIND("-",M114)-1)="",0,MID(M114,1,FIND("-",M114)-1))-IF(MID(M114,FIND("-",M114)+1,10)="",0,MID(M114,FIND("-",M114)+1,10)))*($D$17)),)+IFERROR(SUM(($C$110:$C$117=K114)*($D$110:$D$117=L114)*($E$110:$E$117=M114)*($D$18)),)</f>
        <v>0</v>
      </c>
      <c r="P114" s="868">
        <f t="shared" si="305"/>
        <v>0</v>
      </c>
      <c r="Q114" s="868">
        <f t="shared" si="306"/>
        <v>0</v>
      </c>
      <c r="R114" s="868" t="str">
        <f t="shared" ref="R114" si="330">IFERROR(MID(S114,FIND("|",S114)+1,10),"-")</f>
        <v>-</v>
      </c>
      <c r="S114" s="820"/>
      <c r="T114" cm="1">
        <f t="array" aca="1" ref="T114" ca="1">IFERROR(SUM(($H$110:$H$117=P114)*($I$110:$I$117=Q114)*($D$16)),)
+IFERROR(SUM(($H$110:$H$117=P114)*($I$110:$I$117=Q114)*(IF(MID($J$110:$J$117,1,FIND("-",$J$110:$J$117)-1)="",0,MID($J$110:$J$117,1,FIND("-",$J$110:$J$117)-1))-IFERROR(MID($J$110:$J$117,IF($E$110:$E$117="-",0,FIND("-",$J$110:$J$117)+1),10),0)=IF(MID(R114,1,FIND("-",R114)-1)="",0,MID(R114,1,FIND("-",R114)-1))-IF(MID(R114,FIND("-",R114)+1,10)="",0,MID(R114,FIND("-",R114)+1,10)))*($D$17)),)
+IFERROR(SUM(($H$110:$H$117=P114)*($I$110:$I$117=Q114)*($J$110:$J$117=R114)*($D$18)),)
+IFERROR(SUM(($C$110:$C$117=P114)*($D$110:$D$117=Q114)*($D$16)),)
+IFERROR(SUM(($C$110:$C$117=P114)*($D$110:$D$117=Q114)*(IF(MID($E$110:$E$117,1,FIND("-",$E$110:$E$117)-1)="",0,MID($E$110:$E$117,1,FIND("-",$E$110:$E$117)-1))-IFERROR(MID($E$110:$E$117,IF($E$110:$E$117="-",0,FIND("-",$E$110:$E$117)+1),10),0)=IF(MID(R114,1,FIND("-",R114)-1)="",0,MID(R114,1,FIND("-",R114)-1))-IF(MID(R114,FIND("-",R114)+1,10)="",0,MID(R114,FIND("-",R114)+1,10)))*($D$17)),)+IFERROR(SUM(($C$110:$C$117=P114)*($D$110:$D$117=Q114)*($E$110:$E$117=R114)*($D$18)),)</f>
        <v>0</v>
      </c>
      <c r="U114" s="868">
        <f t="shared" si="308"/>
        <v>0</v>
      </c>
      <c r="V114" s="868">
        <f t="shared" si="309"/>
        <v>0</v>
      </c>
      <c r="W114" s="868" t="str">
        <f t="shared" ref="W114" si="331">IFERROR(MID(X114,FIND("|",X114)+1,10),"-")</f>
        <v>-</v>
      </c>
      <c r="X114" s="820"/>
      <c r="Y114" cm="1">
        <f t="array" aca="1" ref="Y114" ca="1">IFERROR(SUM(($H$110:$H$117=U114)*($I$110:$I$117=V114)*($D$16)),)
+IFERROR(SUM(($H$110:$H$117=U114)*($I$110:$I$117=V114)*(IF(MID($J$110:$J$117,1,FIND("-",$J$110:$J$117)-1)="",0,MID($J$110:$J$117,1,FIND("-",$J$110:$J$117)-1))-IFERROR(MID($J$110:$J$117,IF($E$110:$E$117="-",0,FIND("-",$J$110:$J$117)+1),10),0)=IF(MID(W114,1,FIND("-",W114)-1)="",0,MID(W114,1,FIND("-",W114)-1))-IF(MID(W114,FIND("-",W114)+1,10)="",0,MID(W114,FIND("-",W114)+1,10)))*($D$17)),)
+IFERROR(SUM(($H$110:$H$117=U114)*($I$110:$I$117=V114)*($J$110:$J$117=W114)*($D$18)),)
+IFERROR(SUM(($C$110:$C$117=U114)*($D$110:$D$117=V114)*($D$16)),)
+IFERROR(SUM(($C$110:$C$117=U114)*($D$110:$D$117=V114)*(IF(MID($E$110:$E$117,1,FIND("-",$E$110:$E$117)-1)="",0,MID($E$110:$E$117,1,FIND("-",$E$110:$E$117)-1))-IFERROR(MID($E$110:$E$117,IF($E$110:$E$117="-",0,FIND("-",$E$110:$E$117)+1),10),0)=IF(MID(W114,1,FIND("-",W114)-1)="",0,MID(W114,1,FIND("-",W114)-1))-IF(MID(W114,FIND("-",W114)+1,10)="",0,MID(W114,FIND("-",W114)+1,10)))*($D$17)),)+IFERROR(SUM(($C$110:$C$117=U114)*($D$110:$D$117=V114)*($E$110:$E$117=W114)*($D$18)),)</f>
        <v>0</v>
      </c>
      <c r="Z114" s="868">
        <f t="shared" si="311"/>
        <v>0</v>
      </c>
      <c r="AA114" s="868">
        <f t="shared" si="312"/>
        <v>0</v>
      </c>
      <c r="AB114" s="868" t="str">
        <f t="shared" ref="AB114" si="332">IFERROR(MID(AC114,FIND("|",AC114)+1,10),"-")</f>
        <v>-</v>
      </c>
      <c r="AC114" s="820"/>
      <c r="AD114" cm="1">
        <f t="array" aca="1" ref="AD114" ca="1">IFERROR(SUM(($H$110:$H$117=Z114)*($I$110:$I$117=AA114)*($D$16)),)
+IFERROR(SUM(($H$110:$H$117=Z114)*($I$110:$I$117=AA114)*(IF(MID($J$110:$J$117,1,FIND("-",$J$110:$J$117)-1)="",0,MID($J$110:$J$117,1,FIND("-",$J$110:$J$117)-1))-IFERROR(MID($J$110:$J$117,IF($E$110:$E$117="-",0,FIND("-",$J$110:$J$117)+1),10),0)=IF(MID(AB114,1,FIND("-",AB114)-1)="",0,MID(AB114,1,FIND("-",AB114)-1))-IF(MID(AB114,FIND("-",AB114)+1,10)="",0,MID(AB114,FIND("-",AB114)+1,10)))*($D$17)),)
+IFERROR(SUM(($H$110:$H$117=Z114)*($I$110:$I$117=AA114)*($J$110:$J$117=AB114)*($D$18)),)
+IFERROR(SUM(($C$110:$C$117=Z114)*($D$110:$D$117=AA114)*($D$16)),)
+IFERROR(SUM(($C$110:$C$117=Z114)*($D$110:$D$117=AA114)*(IF(MID($E$110:$E$117,1,FIND("-",$E$110:$E$117)-1)="",0,MID($E$110:$E$117,1,FIND("-",$E$110:$E$117)-1))-IFERROR(MID($E$110:$E$117,IF($E$110:$E$117="-",0,FIND("-",$E$110:$E$117)+1),10),0)=IF(MID(AB114,1,FIND("-",AB114)-1)="",0,MID(AB114,1,FIND("-",AB114)-1))-IF(MID(AB114,FIND("-",AB114)+1,10)="",0,MID(AB114,FIND("-",AB114)+1,10)))*($D$17)),)+IFERROR(SUM(($C$110:$C$117=Z114)*($D$110:$D$117=AA114)*($E$110:$E$117=AB114)*($D$18)),)</f>
        <v>0</v>
      </c>
      <c r="AE114" s="868">
        <f t="shared" si="314"/>
        <v>0</v>
      </c>
      <c r="AF114" s="868">
        <f t="shared" si="315"/>
        <v>0</v>
      </c>
      <c r="AG114" s="868" t="str">
        <f t="shared" ref="AG114" si="333">IFERROR(MID(AH114,FIND("|",AH114)+1,10),"-")</f>
        <v>-</v>
      </c>
      <c r="AH114" s="953"/>
      <c r="AI114" cm="1">
        <f t="array" aca="1" ref="AI114" ca="1">IFERROR(SUM(($H$110:$H$117=AE114)*($I$110:$I$117=AF114)*($D$16)),)
+IFERROR(SUM(($H$110:$H$117=AE114)*($I$110:$I$117=AF114)*(IF(MID($J$110:$J$117,1,FIND("-",$J$110:$J$117)-1)="",0,MID($J$110:$J$117,1,FIND("-",$J$110:$J$117)-1))-IFERROR(MID($J$110:$J$117,IF($E$110:$E$117="-",0,FIND("-",$J$110:$J$117)+1),10),0)=IF(MID(AG114,1,FIND("-",AG114)-1)="",0,MID(AG114,1,FIND("-",AG114)-1))-IF(MID(AG114,FIND("-",AG114)+1,10)="",0,MID(AG114,FIND("-",AG114)+1,10)))*($D$17)),)
+IFERROR(SUM(($H$110:$H$117=AE114)*($I$110:$I$117=AF114)*($J$110:$J$117=AG114)*($D$18)),)
+IFERROR(SUM(($C$110:$C$117=AE114)*($D$110:$D$117=AF114)*($D$16)),)
+IFERROR(SUM(($C$110:$C$117=AE114)*($D$110:$D$117=AF114)*(IF(MID($E$110:$E$117,1,FIND("-",$E$110:$E$117)-1)="",0,MID($E$110:$E$117,1,FIND("-",$E$110:$E$117)-1))-IFERROR(MID($E$110:$E$117,IF($E$110:$E$117="-",0,FIND("-",$E$110:$E$117)+1),10),0)=IF(MID(AG114,1,FIND("-",AG114)-1)="",0,MID(AG114,1,FIND("-",AG114)-1))-IF(MID(AG114,FIND("-",AG114)+1,10)="",0,MID(AG114,FIND("-",AG114)+1,10)))*($D$17)),)+IFERROR(SUM(($C$110:$C$117=AE114)*($D$110:$D$117=AF114)*($E$110:$E$117=AG114)*($D$18)),)</f>
        <v>0</v>
      </c>
      <c r="AJ114" s="868"/>
      <c r="AK114" s="773"/>
      <c r="AL114" s="773"/>
    </row>
    <row r="115" spans="1:38" ht="15" customHeight="1">
      <c r="A115" s="774"/>
      <c r="B115" s="774"/>
      <c r="C115" s="868" t="str">
        <f ca="1">CONCATENATE(MUNDIAL!N74,"-",MUNDIAL!I74)</f>
        <v>Corea del Sur-Brasil</v>
      </c>
      <c r="D115" s="868" t="str">
        <f>IF(MUNDIAL!K74&gt;MUNDIAL!L74,2,IF(MUNDIAL!K74&lt;MUNDIAL!L74,1,IF(AND(MUNDIAL!K74=MUNDIAL!L74,MUNDIAL!K74&lt;&gt;"",MUNDIAL!L74&lt;&gt;""),0,"PD")))</f>
        <v>PD</v>
      </c>
      <c r="E115" s="868" t="str">
        <f>CONCATENATE(MUNDIAL!L74,"-",MUNDIAL!K74)</f>
        <v>-</v>
      </c>
      <c r="F115" s="894">
        <v>44900</v>
      </c>
      <c r="G115" s="1034"/>
      <c r="H115" t="str">
        <f ca="1">CONCATENATE(MUNDIAL!I74,"-",MUNDIAL!N74)</f>
        <v>Brasil-Corea del Sur</v>
      </c>
      <c r="I115" t="str">
        <f>(IF(MUNDIAL!K74&gt;MUNDIAL!L74,1,IF(MUNDIAL!K74&lt;MUNDIAL!L74,2,IF(AND(MUNDIAL!K74=MUNDIAL!L74,MUNDIAL!K74&lt;&gt;"",MUNDIAL!L74&lt;&gt;""),0,"PD"))))</f>
        <v>PD</v>
      </c>
      <c r="J115" s="821" t="str">
        <f>CONCATENATE(MUNDIAL!K74,"-",MUNDIAL!L74)</f>
        <v>-</v>
      </c>
      <c r="K115" s="868">
        <f t="shared" si="325"/>
        <v>0</v>
      </c>
      <c r="L115" s="868">
        <f t="shared" si="303"/>
        <v>0</v>
      </c>
      <c r="M115" s="868" t="str">
        <f t="shared" si="304"/>
        <v>-</v>
      </c>
      <c r="N115" s="953"/>
      <c r="O115" cm="1">
        <f t="array" aca="1" ref="O115" ca="1">IFERROR(SUM(($H$110:$H$117=K115)*($I$110:$I$117=L115)*($D$16)),)
+IFERROR(SUM(($H$110:$H$117=K115)*($I$110:$I$117=L115)*(IF(MID($J$110:$J$117,1,FIND("-",$J$110:$J$117)-1)="",0,MID($J$110:$J$117,1,FIND("-",$J$110:$J$117)-1))-IFERROR(MID($J$110:$J$117,IF($E$110:$E$117="-",0,FIND("-",$J$110:$J$117)+1),10),0)=IF(MID(M115,1,FIND("-",M115)-1)="",0,MID(M115,1,FIND("-",M115)-1))-IF(MID(M115,FIND("-",M115)+1,10)="",0,MID(M115,FIND("-",M115)+1,10)))*($D$17)),)
+IFERROR(SUM(($H$110:$H$117=K115)*($I$110:$I$117=L115)*($J$110:$J$117=M115)*($D$18)),)
+IFERROR(SUM(($C$110:$C$117=K115)*($D$110:$D$117=L115)*($D$16)),)
+IFERROR(SUM(($C$110:$C$117=K115)*($D$110:$D$117=L115)*(IF(MID($E$110:$E$117,1,FIND("-",$E$110:$E$117)-1)="",0,MID($E$110:$E$117,1,FIND("-",$E$110:$E$117)-1))-IFERROR(MID($E$110:$E$117,IF($E$110:$E$117="-",0,FIND("-",$E$110:$E$117)+1),10),0)=IF(MID(M115,1,FIND("-",M115)-1)="",0,MID(M115,1,FIND("-",M115)-1))-IF(MID(M115,FIND("-",M115)+1,10)="",0,MID(M115,FIND("-",M115)+1,10)))*($D$17)),)+IFERROR(SUM(($C$110:$C$117=K115)*($D$110:$D$117=L115)*($E$110:$E$117=M115)*($D$18)),)</f>
        <v>0</v>
      </c>
      <c r="P115" s="868">
        <f t="shared" si="305"/>
        <v>0</v>
      </c>
      <c r="Q115" s="868">
        <f t="shared" si="306"/>
        <v>0</v>
      </c>
      <c r="R115" s="868" t="str">
        <f t="shared" ref="R115" si="334">IFERROR(MID(S115,FIND("|",S115)+1,10),"-")</f>
        <v>-</v>
      </c>
      <c r="S115" s="820"/>
      <c r="T115" cm="1">
        <f t="array" aca="1" ref="T115" ca="1">IFERROR(SUM(($H$110:$H$117=P115)*($I$110:$I$117=Q115)*($D$16)),)
+IFERROR(SUM(($H$110:$H$117=P115)*($I$110:$I$117=Q115)*(IF(MID($J$110:$J$117,1,FIND("-",$J$110:$J$117)-1)="",0,MID($J$110:$J$117,1,FIND("-",$J$110:$J$117)-1))-IFERROR(MID($J$110:$J$117,IF($E$110:$E$117="-",0,FIND("-",$J$110:$J$117)+1),10),0)=IF(MID(R115,1,FIND("-",R115)-1)="",0,MID(R115,1,FIND("-",R115)-1))-IF(MID(R115,FIND("-",R115)+1,10)="",0,MID(R115,FIND("-",R115)+1,10)))*($D$17)),)
+IFERROR(SUM(($H$110:$H$117=P115)*($I$110:$I$117=Q115)*($J$110:$J$117=R115)*($D$18)),)
+IFERROR(SUM(($C$110:$C$117=P115)*($D$110:$D$117=Q115)*($D$16)),)
+IFERROR(SUM(($C$110:$C$117=P115)*($D$110:$D$117=Q115)*(IF(MID($E$110:$E$117,1,FIND("-",$E$110:$E$117)-1)="",0,MID($E$110:$E$117,1,FIND("-",$E$110:$E$117)-1))-IFERROR(MID($E$110:$E$117,IF($E$110:$E$117="-",0,FIND("-",$E$110:$E$117)+1),10),0)=IF(MID(R115,1,FIND("-",R115)-1)="",0,MID(R115,1,FIND("-",R115)-1))-IF(MID(R115,FIND("-",R115)+1,10)="",0,MID(R115,FIND("-",R115)+1,10)))*($D$17)),)+IFERROR(SUM(($C$110:$C$117=P115)*($D$110:$D$117=Q115)*($E$110:$E$117=R115)*($D$18)),)</f>
        <v>0</v>
      </c>
      <c r="U115" s="868">
        <f t="shared" si="308"/>
        <v>0</v>
      </c>
      <c r="V115" s="868">
        <f t="shared" si="309"/>
        <v>0</v>
      </c>
      <c r="W115" s="868" t="str">
        <f t="shared" ref="W115" si="335">IFERROR(MID(X115,FIND("|",X115)+1,10),"-")</f>
        <v>-</v>
      </c>
      <c r="X115" s="820"/>
      <c r="Y115" cm="1">
        <f t="array" aca="1" ref="Y115" ca="1">IFERROR(SUM(($H$110:$H$117=U115)*($I$110:$I$117=V115)*($D$16)),)
+IFERROR(SUM(($H$110:$H$117=U115)*($I$110:$I$117=V115)*(IF(MID($J$110:$J$117,1,FIND("-",$J$110:$J$117)-1)="",0,MID($J$110:$J$117,1,FIND("-",$J$110:$J$117)-1))-IFERROR(MID($J$110:$J$117,IF($E$110:$E$117="-",0,FIND("-",$J$110:$J$117)+1),10),0)=IF(MID(W115,1,FIND("-",W115)-1)="",0,MID(W115,1,FIND("-",W115)-1))-IF(MID(W115,FIND("-",W115)+1,10)="",0,MID(W115,FIND("-",W115)+1,10)))*($D$17)),)
+IFERROR(SUM(($H$110:$H$117=U115)*($I$110:$I$117=V115)*($J$110:$J$117=W115)*($D$18)),)
+IFERROR(SUM(($C$110:$C$117=U115)*($D$110:$D$117=V115)*($D$16)),)
+IFERROR(SUM(($C$110:$C$117=U115)*($D$110:$D$117=V115)*(IF(MID($E$110:$E$117,1,FIND("-",$E$110:$E$117)-1)="",0,MID($E$110:$E$117,1,FIND("-",$E$110:$E$117)-1))-IFERROR(MID($E$110:$E$117,IF($E$110:$E$117="-",0,FIND("-",$E$110:$E$117)+1),10),0)=IF(MID(W115,1,FIND("-",W115)-1)="",0,MID(W115,1,FIND("-",W115)-1))-IF(MID(W115,FIND("-",W115)+1,10)="",0,MID(W115,FIND("-",W115)+1,10)))*($D$17)),)+IFERROR(SUM(($C$110:$C$117=U115)*($D$110:$D$117=V115)*($E$110:$E$117=W115)*($D$18)),)</f>
        <v>0</v>
      </c>
      <c r="Z115" s="868">
        <f t="shared" si="311"/>
        <v>0</v>
      </c>
      <c r="AA115" s="868">
        <f t="shared" si="312"/>
        <v>0</v>
      </c>
      <c r="AB115" s="868" t="str">
        <f t="shared" ref="AB115" si="336">IFERROR(MID(AC115,FIND("|",AC115)+1,10),"-")</f>
        <v>-</v>
      </c>
      <c r="AC115" s="820"/>
      <c r="AD115" cm="1">
        <f t="array" aca="1" ref="AD115" ca="1">IFERROR(SUM(($H$110:$H$117=Z115)*($I$110:$I$117=AA115)*($D$16)),)
+IFERROR(SUM(($H$110:$H$117=Z115)*($I$110:$I$117=AA115)*(IF(MID($J$110:$J$117,1,FIND("-",$J$110:$J$117)-1)="",0,MID($J$110:$J$117,1,FIND("-",$J$110:$J$117)-1))-IFERROR(MID($J$110:$J$117,IF($E$110:$E$117="-",0,FIND("-",$J$110:$J$117)+1),10),0)=IF(MID(AB115,1,FIND("-",AB115)-1)="",0,MID(AB115,1,FIND("-",AB115)-1))-IF(MID(AB115,FIND("-",AB115)+1,10)="",0,MID(AB115,FIND("-",AB115)+1,10)))*($D$17)),)
+IFERROR(SUM(($H$110:$H$117=Z115)*($I$110:$I$117=AA115)*($J$110:$J$117=AB115)*($D$18)),)
+IFERROR(SUM(($C$110:$C$117=Z115)*($D$110:$D$117=AA115)*($D$16)),)
+IFERROR(SUM(($C$110:$C$117=Z115)*($D$110:$D$117=AA115)*(IF(MID($E$110:$E$117,1,FIND("-",$E$110:$E$117)-1)="",0,MID($E$110:$E$117,1,FIND("-",$E$110:$E$117)-1))-IFERROR(MID($E$110:$E$117,IF($E$110:$E$117="-",0,FIND("-",$E$110:$E$117)+1),10),0)=IF(MID(AB115,1,FIND("-",AB115)-1)="",0,MID(AB115,1,FIND("-",AB115)-1))-IF(MID(AB115,FIND("-",AB115)+1,10)="",0,MID(AB115,FIND("-",AB115)+1,10)))*($D$17)),)+IFERROR(SUM(($C$110:$C$117=Z115)*($D$110:$D$117=AA115)*($E$110:$E$117=AB115)*($D$18)),)</f>
        <v>0</v>
      </c>
      <c r="AE115" s="868">
        <f t="shared" si="314"/>
        <v>0</v>
      </c>
      <c r="AF115" s="868">
        <f t="shared" si="315"/>
        <v>0</v>
      </c>
      <c r="AG115" s="868" t="str">
        <f t="shared" ref="AG115" si="337">IFERROR(MID(AH115,FIND("|",AH115)+1,10),"-")</f>
        <v>-</v>
      </c>
      <c r="AH115" s="953"/>
      <c r="AI115" cm="1">
        <f t="array" aca="1" ref="AI115" ca="1">IFERROR(SUM(($H$110:$H$117=AE115)*($I$110:$I$117=AF115)*($D$16)),)
+IFERROR(SUM(($H$110:$H$117=AE115)*($I$110:$I$117=AF115)*(IF(MID($J$110:$J$117,1,FIND("-",$J$110:$J$117)-1)="",0,MID($J$110:$J$117,1,FIND("-",$J$110:$J$117)-1))-IFERROR(MID($J$110:$J$117,IF($E$110:$E$117="-",0,FIND("-",$J$110:$J$117)+1),10),0)=IF(MID(AG115,1,FIND("-",AG115)-1)="",0,MID(AG115,1,FIND("-",AG115)-1))-IF(MID(AG115,FIND("-",AG115)+1,10)="",0,MID(AG115,FIND("-",AG115)+1,10)))*($D$17)),)
+IFERROR(SUM(($H$110:$H$117=AE115)*($I$110:$I$117=AF115)*($J$110:$J$117=AG115)*($D$18)),)
+IFERROR(SUM(($C$110:$C$117=AE115)*($D$110:$D$117=AF115)*($D$16)),)
+IFERROR(SUM(($C$110:$C$117=AE115)*($D$110:$D$117=AF115)*(IF(MID($E$110:$E$117,1,FIND("-",$E$110:$E$117)-1)="",0,MID($E$110:$E$117,1,FIND("-",$E$110:$E$117)-1))-IFERROR(MID($E$110:$E$117,IF($E$110:$E$117="-",0,FIND("-",$E$110:$E$117)+1),10),0)=IF(MID(AG115,1,FIND("-",AG115)-1)="",0,MID(AG115,1,FIND("-",AG115)-1))-IF(MID(AG115,FIND("-",AG115)+1,10)="",0,MID(AG115,FIND("-",AG115)+1,10)))*($D$17)),)+IFERROR(SUM(($C$110:$C$117=AE115)*($D$110:$D$117=AF115)*($E$110:$E$117=AG115)*($D$18)),)</f>
        <v>0</v>
      </c>
      <c r="AJ115" s="868"/>
      <c r="AK115" s="773"/>
      <c r="AL115" s="773"/>
    </row>
    <row r="116" spans="1:38" ht="15" customHeight="1">
      <c r="A116" s="774"/>
      <c r="B116" s="774"/>
      <c r="C116" s="868" t="str">
        <f ca="1">CONCATENATE(MUNDIAL!N75,"-",MUNDIAL!I75)</f>
        <v>España-Marruecos</v>
      </c>
      <c r="D116" s="868" t="str">
        <f>IF(MUNDIAL!K75&gt;MUNDIAL!L75,2,IF(MUNDIAL!K75&lt;MUNDIAL!L75,1,IF(AND(MUNDIAL!K75=MUNDIAL!L75,MUNDIAL!K75&lt;&gt;"",MUNDIAL!L75&lt;&gt;""),0,"PD")))</f>
        <v>PD</v>
      </c>
      <c r="E116" s="868" t="str">
        <f>CONCATENATE(MUNDIAL!L75,"-",MUNDIAL!K75)</f>
        <v>-</v>
      </c>
      <c r="F116" s="894">
        <v>44901</v>
      </c>
      <c r="G116" s="1034"/>
      <c r="H116" t="str">
        <f ca="1">CONCATENATE(MUNDIAL!I75,"-",MUNDIAL!N75)</f>
        <v>Marruecos-España</v>
      </c>
      <c r="I116" t="str">
        <f>(IF(MUNDIAL!K75&gt;MUNDIAL!L75,1,IF(MUNDIAL!K75&lt;MUNDIAL!L75,2,IF(AND(MUNDIAL!K75=MUNDIAL!L75,MUNDIAL!K75&lt;&gt;"",MUNDIAL!L75&lt;&gt;""),0,"PD"))))</f>
        <v>PD</v>
      </c>
      <c r="J116" s="821" t="str">
        <f>CONCATENATE(MUNDIAL!K75,"-",MUNDIAL!L75)</f>
        <v>-</v>
      </c>
      <c r="K116" s="868">
        <f t="shared" si="325"/>
        <v>0</v>
      </c>
      <c r="L116" s="868">
        <f t="shared" ref="L116:L117" si="338">IFERROR(VALUE(MID(N116,FIND("·",N116)+1,1)),)</f>
        <v>0</v>
      </c>
      <c r="M116" s="868" t="str">
        <f t="shared" si="304"/>
        <v>-</v>
      </c>
      <c r="N116" s="953"/>
      <c r="O116" cm="1">
        <f t="array" aca="1" ref="O116" ca="1">IFERROR(SUM(($H$110:$H$117=K116)*($I$110:$I$117=L116)*($D$16)),)
+IFERROR(SUM(($H$110:$H$117=K116)*($I$110:$I$117=L116)*(IF(MID($J$110:$J$117,1,FIND("-",$J$110:$J$117)-1)="",0,MID($J$110:$J$117,1,FIND("-",$J$110:$J$117)-1))-IFERROR(MID($J$110:$J$117,IF($E$110:$E$117="-",0,FIND("-",$J$110:$J$117)+1),10),0)=IF(MID(M116,1,FIND("-",M116)-1)="",0,MID(M116,1,FIND("-",M116)-1))-IF(MID(M116,FIND("-",M116)+1,10)="",0,MID(M116,FIND("-",M116)+1,10)))*($D$17)),)
+IFERROR(SUM(($H$110:$H$117=K116)*($I$110:$I$117=L116)*($J$110:$J$117=M116)*($D$18)),)
+IFERROR(SUM(($C$110:$C$117=K116)*($D$110:$D$117=L116)*($D$16)),)
+IFERROR(SUM(($C$110:$C$117=K116)*($D$110:$D$117=L116)*(IF(MID($E$110:$E$117,1,FIND("-",$E$110:$E$117)-1)="",0,MID($E$110:$E$117,1,FIND("-",$E$110:$E$117)-1))-IFERROR(MID($E$110:$E$117,IF($E$110:$E$117="-",0,FIND("-",$E$110:$E$117)+1),10),0)=IF(MID(M116,1,FIND("-",M116)-1)="",0,MID(M116,1,FIND("-",M116)-1))-IF(MID(M116,FIND("-",M116)+1,10)="",0,MID(M116,FIND("-",M116)+1,10)))*($D$17)),)+IFERROR(SUM(($C$110:$C$117=K116)*($D$110:$D$117=L116)*($E$110:$E$117=M116)*($D$18)),)</f>
        <v>0</v>
      </c>
      <c r="P116" s="868">
        <f t="shared" si="305"/>
        <v>0</v>
      </c>
      <c r="Q116" s="868">
        <f t="shared" si="306"/>
        <v>0</v>
      </c>
      <c r="R116" s="868" t="str">
        <f t="shared" ref="R116" si="339">IFERROR(MID(S116,FIND("|",S116)+1,10),"-")</f>
        <v>-</v>
      </c>
      <c r="S116" s="820"/>
      <c r="T116" cm="1">
        <f t="array" aca="1" ref="T116" ca="1">IFERROR(SUM(($H$110:$H$117=P116)*($I$110:$I$117=Q116)*($D$16)),)
+IFERROR(SUM(($H$110:$H$117=P116)*($I$110:$I$117=Q116)*(IF(MID($J$110:$J$117,1,FIND("-",$J$110:$J$117)-1)="",0,MID($J$110:$J$117,1,FIND("-",$J$110:$J$117)-1))-IFERROR(MID($J$110:$J$117,IF($E$110:$E$117="-",0,FIND("-",$J$110:$J$117)+1),10),0)=IF(MID(R116,1,FIND("-",R116)-1)="",0,MID(R116,1,FIND("-",R116)-1))-IF(MID(R116,FIND("-",R116)+1,10)="",0,MID(R116,FIND("-",R116)+1,10)))*($D$17)),)
+IFERROR(SUM(($H$110:$H$117=P116)*($I$110:$I$117=Q116)*($J$110:$J$117=R116)*($D$18)),)
+IFERROR(SUM(($C$110:$C$117=P116)*($D$110:$D$117=Q116)*($D$16)),)
+IFERROR(SUM(($C$110:$C$117=P116)*($D$110:$D$117=Q116)*(IF(MID($E$110:$E$117,1,FIND("-",$E$110:$E$117)-1)="",0,MID($E$110:$E$117,1,FIND("-",$E$110:$E$117)-1))-IFERROR(MID($E$110:$E$117,IF($E$110:$E$117="-",0,FIND("-",$E$110:$E$117)+1),10),0)=IF(MID(R116,1,FIND("-",R116)-1)="",0,MID(R116,1,FIND("-",R116)-1))-IF(MID(R116,FIND("-",R116)+1,10)="",0,MID(R116,FIND("-",R116)+1,10)))*($D$17)),)+IFERROR(SUM(($C$110:$C$117=P116)*($D$110:$D$117=Q116)*($E$110:$E$117=R116)*($D$18)),)</f>
        <v>0</v>
      </c>
      <c r="U116" s="868">
        <f t="shared" si="308"/>
        <v>0</v>
      </c>
      <c r="V116" s="868">
        <f t="shared" si="309"/>
        <v>0</v>
      </c>
      <c r="W116" s="868" t="str">
        <f t="shared" ref="W116" si="340">IFERROR(MID(X116,FIND("|",X116)+1,10),"-")</f>
        <v>-</v>
      </c>
      <c r="X116" s="820"/>
      <c r="Y116" cm="1">
        <f t="array" aca="1" ref="Y116" ca="1">IFERROR(SUM(($H$110:$H$117=U116)*($I$110:$I$117=V116)*($D$16)),)
+IFERROR(SUM(($H$110:$H$117=U116)*($I$110:$I$117=V116)*(IF(MID($J$110:$J$117,1,FIND("-",$J$110:$J$117)-1)="",0,MID($J$110:$J$117,1,FIND("-",$J$110:$J$117)-1))-IFERROR(MID($J$110:$J$117,IF($E$110:$E$117="-",0,FIND("-",$J$110:$J$117)+1),10),0)=IF(MID(W116,1,FIND("-",W116)-1)="",0,MID(W116,1,FIND("-",W116)-1))-IF(MID(W116,FIND("-",W116)+1,10)="",0,MID(W116,FIND("-",W116)+1,10)))*($D$17)),)
+IFERROR(SUM(($H$110:$H$117=U116)*($I$110:$I$117=V116)*($J$110:$J$117=W116)*($D$18)),)
+IFERROR(SUM(($C$110:$C$117=U116)*($D$110:$D$117=V116)*($D$16)),)
+IFERROR(SUM(($C$110:$C$117=U116)*($D$110:$D$117=V116)*(IF(MID($E$110:$E$117,1,FIND("-",$E$110:$E$117)-1)="",0,MID($E$110:$E$117,1,FIND("-",$E$110:$E$117)-1))-IFERROR(MID($E$110:$E$117,IF($E$110:$E$117="-",0,FIND("-",$E$110:$E$117)+1),10),0)=IF(MID(W116,1,FIND("-",W116)-1)="",0,MID(W116,1,FIND("-",W116)-1))-IF(MID(W116,FIND("-",W116)+1,10)="",0,MID(W116,FIND("-",W116)+1,10)))*($D$17)),)+IFERROR(SUM(($C$110:$C$117=U116)*($D$110:$D$117=V116)*($E$110:$E$117=W116)*($D$18)),)</f>
        <v>0</v>
      </c>
      <c r="Z116" s="868">
        <f t="shared" si="311"/>
        <v>0</v>
      </c>
      <c r="AA116" s="868">
        <f t="shared" si="312"/>
        <v>0</v>
      </c>
      <c r="AB116" s="868" t="str">
        <f t="shared" ref="AB116" si="341">IFERROR(MID(AC116,FIND("|",AC116)+1,10),"-")</f>
        <v>-</v>
      </c>
      <c r="AC116" s="820"/>
      <c r="AD116" cm="1">
        <f t="array" aca="1" ref="AD116" ca="1">IFERROR(SUM(($H$110:$H$117=Z116)*($I$110:$I$117=AA116)*($D$16)),)
+IFERROR(SUM(($H$110:$H$117=Z116)*($I$110:$I$117=AA116)*(IF(MID($J$110:$J$117,1,FIND("-",$J$110:$J$117)-1)="",0,MID($J$110:$J$117,1,FIND("-",$J$110:$J$117)-1))-IFERROR(MID($J$110:$J$117,IF($E$110:$E$117="-",0,FIND("-",$J$110:$J$117)+1),10),0)=IF(MID(AB116,1,FIND("-",AB116)-1)="",0,MID(AB116,1,FIND("-",AB116)-1))-IF(MID(AB116,FIND("-",AB116)+1,10)="",0,MID(AB116,FIND("-",AB116)+1,10)))*($D$17)),)
+IFERROR(SUM(($H$110:$H$117=Z116)*($I$110:$I$117=AA116)*($J$110:$J$117=AB116)*($D$18)),)
+IFERROR(SUM(($C$110:$C$117=Z116)*($D$110:$D$117=AA116)*($D$16)),)
+IFERROR(SUM(($C$110:$C$117=Z116)*($D$110:$D$117=AA116)*(IF(MID($E$110:$E$117,1,FIND("-",$E$110:$E$117)-1)="",0,MID($E$110:$E$117,1,FIND("-",$E$110:$E$117)-1))-IFERROR(MID($E$110:$E$117,IF($E$110:$E$117="-",0,FIND("-",$E$110:$E$117)+1),10),0)=IF(MID(AB116,1,FIND("-",AB116)-1)="",0,MID(AB116,1,FIND("-",AB116)-1))-IF(MID(AB116,FIND("-",AB116)+1,10)="",0,MID(AB116,FIND("-",AB116)+1,10)))*($D$17)),)+IFERROR(SUM(($C$110:$C$117=Z116)*($D$110:$D$117=AA116)*($E$110:$E$117=AB116)*($D$18)),)</f>
        <v>0</v>
      </c>
      <c r="AE116" s="868">
        <f t="shared" si="314"/>
        <v>0</v>
      </c>
      <c r="AF116" s="868">
        <f t="shared" si="315"/>
        <v>0</v>
      </c>
      <c r="AG116" s="868" t="str">
        <f t="shared" ref="AG116" si="342">IFERROR(MID(AH116,FIND("|",AH116)+1,10),"-")</f>
        <v>-</v>
      </c>
      <c r="AH116" s="953"/>
      <c r="AI116" cm="1">
        <f t="array" aca="1" ref="AI116" ca="1">IFERROR(SUM(($H$110:$H$117=AE116)*($I$110:$I$117=AF116)*($D$16)),)
+IFERROR(SUM(($H$110:$H$117=AE116)*($I$110:$I$117=AF116)*(IF(MID($J$110:$J$117,1,FIND("-",$J$110:$J$117)-1)="",0,MID($J$110:$J$117,1,FIND("-",$J$110:$J$117)-1))-IFERROR(MID($J$110:$J$117,IF($E$110:$E$117="-",0,FIND("-",$J$110:$J$117)+1),10),0)=IF(MID(AG116,1,FIND("-",AG116)-1)="",0,MID(AG116,1,FIND("-",AG116)-1))-IF(MID(AG116,FIND("-",AG116)+1,10)="",0,MID(AG116,FIND("-",AG116)+1,10)))*($D$17)),)
+IFERROR(SUM(($H$110:$H$117=AE116)*($I$110:$I$117=AF116)*($J$110:$J$117=AG116)*($D$18)),)
+IFERROR(SUM(($C$110:$C$117=AE116)*($D$110:$D$117=AF116)*($D$16)),)
+IFERROR(SUM(($C$110:$C$117=AE116)*($D$110:$D$117=AF116)*(IF(MID($E$110:$E$117,1,FIND("-",$E$110:$E$117)-1)="",0,MID($E$110:$E$117,1,FIND("-",$E$110:$E$117)-1))-IFERROR(MID($E$110:$E$117,IF($E$110:$E$117="-",0,FIND("-",$E$110:$E$117)+1),10),0)=IF(MID(AG116,1,FIND("-",AG116)-1)="",0,MID(AG116,1,FIND("-",AG116)-1))-IF(MID(AG116,FIND("-",AG116)+1,10)="",0,MID(AG116,FIND("-",AG116)+1,10)))*($D$17)),)+IFERROR(SUM(($C$110:$C$117=AE116)*($D$110:$D$117=AF116)*($E$110:$E$117=AG116)*($D$18)),)</f>
        <v>0</v>
      </c>
      <c r="AJ116" s="868"/>
      <c r="AK116" s="773"/>
      <c r="AL116" s="773"/>
    </row>
    <row r="117" spans="1:38" ht="15" customHeight="1">
      <c r="A117" s="774"/>
      <c r="B117" s="774"/>
      <c r="C117" s="868" t="str">
        <f ca="1">CONCATENATE(MUNDIAL!N76,"-",MUNDIAL!I76)</f>
        <v>Suiza-Portugal</v>
      </c>
      <c r="D117" s="868" t="str">
        <f>IF(MUNDIAL!K76&gt;MUNDIAL!L76,2,IF(MUNDIAL!K76&lt;MUNDIAL!L76,1,IF(AND(MUNDIAL!K76=MUNDIAL!L76,MUNDIAL!K76&lt;&gt;"",MUNDIAL!L76&lt;&gt;""),0,"PD")))</f>
        <v>PD</v>
      </c>
      <c r="E117" s="868" t="str">
        <f>CONCATENATE(MUNDIAL!L76,"-",MUNDIAL!K76)</f>
        <v>-</v>
      </c>
      <c r="F117" s="894">
        <v>44901</v>
      </c>
      <c r="G117" s="1035"/>
      <c r="H117" s="825" t="str">
        <f ca="1">CONCATENATE(MUNDIAL!I76,"-",MUNDIAL!N76)</f>
        <v>Portugal-Suiza</v>
      </c>
      <c r="I117" s="814" t="str">
        <f>(IF(MUNDIAL!K76&gt;MUNDIAL!L76,1,IF(MUNDIAL!K76&lt;MUNDIAL!L76,2,IF(AND(MUNDIAL!K76=MUNDIAL!L76,MUNDIAL!K76&lt;&gt;"",MUNDIAL!L76&lt;&gt;""),0,"PD"))))</f>
        <v>PD</v>
      </c>
      <c r="J117" s="823" t="str">
        <f>CONCATENATE(MUNDIAL!K76,"-",MUNDIAL!L76)</f>
        <v>-</v>
      </c>
      <c r="K117" s="868">
        <f t="shared" si="325"/>
        <v>0</v>
      </c>
      <c r="L117" s="868">
        <f t="shared" si="338"/>
        <v>0</v>
      </c>
      <c r="M117" s="868" t="str">
        <f t="shared" si="304"/>
        <v>-</v>
      </c>
      <c r="N117" s="953"/>
      <c r="O117" cm="1">
        <f t="array" aca="1" ref="O117" ca="1">IFERROR(SUM(($H$110:$H$117=K117)*($I$110:$I$117=L117)*($D$16)),)
+IFERROR(SUM(($H$110:$H$117=K117)*($I$110:$I$117=L117)*(IF(MID($J$110:$J$117,1,FIND("-",$J$110:$J$117)-1)="",0,MID($J$110:$J$117,1,FIND("-",$J$110:$J$117)-1))-IFERROR(MID($J$110:$J$117,IF($E$110:$E$117="-",0,FIND("-",$J$110:$J$117)+1),10),0)=IF(MID(M117,1,FIND("-",M117)-1)="",0,MID(M117,1,FIND("-",M117)-1))-IF(MID(M117,FIND("-",M117)+1,10)="",0,MID(M117,FIND("-",M117)+1,10)))*($D$17)),)
+IFERROR(SUM(($H$110:$H$117=K117)*($I$110:$I$117=L117)*($J$110:$J$117=M117)*($D$18)),)
+IFERROR(SUM(($C$110:$C$117=K117)*($D$110:$D$117=L117)*($D$16)),)
+IFERROR(SUM(($C$110:$C$117=K117)*($D$110:$D$117=L117)*(IF(MID($E$110:$E$117,1,FIND("-",$E$110:$E$117)-1)="",0,MID($E$110:$E$117,1,FIND("-",$E$110:$E$117)-1))-IFERROR(MID($E$110:$E$117,IF($E$110:$E$117="-",0,FIND("-",$E$110:$E$117)+1),10),0)=IF(MID(M117,1,FIND("-",M117)-1)="",0,MID(M117,1,FIND("-",M117)-1))-IF(MID(M117,FIND("-",M117)+1,10)="",0,MID(M117,FIND("-",M117)+1,10)))*($D$17)),)+IFERROR(SUM(($C$110:$C$117=K117)*($D$110:$D$117=L117)*($E$110:$E$117=M117)*($D$18)),)</f>
        <v>0</v>
      </c>
      <c r="P117" s="868">
        <f t="shared" si="305"/>
        <v>0</v>
      </c>
      <c r="Q117" s="868">
        <f t="shared" si="306"/>
        <v>0</v>
      </c>
      <c r="R117" s="868" t="str">
        <f t="shared" ref="R117" si="343">IFERROR(MID(S117,FIND("|",S117)+1,10),"-")</f>
        <v>-</v>
      </c>
      <c r="S117" s="820"/>
      <c r="T117" cm="1">
        <f t="array" aca="1" ref="T117" ca="1">IFERROR(SUM(($H$110:$H$117=P117)*($I$110:$I$117=Q117)*($D$16)),)
+IFERROR(SUM(($H$110:$H$117=P117)*($I$110:$I$117=Q117)*(IF(MID($J$110:$J$117,1,FIND("-",$J$110:$J$117)-1)="",0,MID($J$110:$J$117,1,FIND("-",$J$110:$J$117)-1))-IFERROR(MID($J$110:$J$117,IF($E$110:$E$117="-",0,FIND("-",$J$110:$J$117)+1),10),0)=IF(MID(R117,1,FIND("-",R117)-1)="",0,MID(R117,1,FIND("-",R117)-1))-IF(MID(R117,FIND("-",R117)+1,10)="",0,MID(R117,FIND("-",R117)+1,10)))*($D$17)),)
+IFERROR(SUM(($H$110:$H$117=P117)*($I$110:$I$117=Q117)*($J$110:$J$117=R117)*($D$18)),)
+IFERROR(SUM(($C$110:$C$117=P117)*($D$110:$D$117=Q117)*($D$16)),)
+IFERROR(SUM(($C$110:$C$117=P117)*($D$110:$D$117=Q117)*(IF(MID($E$110:$E$117,1,FIND("-",$E$110:$E$117)-1)="",0,MID($E$110:$E$117,1,FIND("-",$E$110:$E$117)-1))-IFERROR(MID($E$110:$E$117,IF($E$110:$E$117="-",0,FIND("-",$E$110:$E$117)+1),10),0)=IF(MID(R117,1,FIND("-",R117)-1)="",0,MID(R117,1,FIND("-",R117)-1))-IF(MID(R117,FIND("-",R117)+1,10)="",0,MID(R117,FIND("-",R117)+1,10)))*($D$17)),)+IFERROR(SUM(($C$110:$C$117=P117)*($D$110:$D$117=Q117)*($E$110:$E$117=R117)*($D$18)),)</f>
        <v>0</v>
      </c>
      <c r="U117" s="868">
        <f t="shared" si="308"/>
        <v>0</v>
      </c>
      <c r="V117" s="868">
        <f t="shared" si="309"/>
        <v>0</v>
      </c>
      <c r="W117" s="868" t="str">
        <f t="shared" ref="W117" si="344">IFERROR(MID(X117,FIND("|",X117)+1,10),"-")</f>
        <v>-</v>
      </c>
      <c r="X117" s="820"/>
      <c r="Y117" cm="1">
        <f t="array" aca="1" ref="Y117" ca="1">IFERROR(SUM(($H$110:$H$117=U117)*($I$110:$I$117=V117)*($D$16)),)
+IFERROR(SUM(($H$110:$H$117=U117)*($I$110:$I$117=V117)*(IF(MID($J$110:$J$117,1,FIND("-",$J$110:$J$117)-1)="",0,MID($J$110:$J$117,1,FIND("-",$J$110:$J$117)-1))-IFERROR(MID($J$110:$J$117,IF($E$110:$E$117="-",0,FIND("-",$J$110:$J$117)+1),10),0)=IF(MID(W117,1,FIND("-",W117)-1)="",0,MID(W117,1,FIND("-",W117)-1))-IF(MID(W117,FIND("-",W117)+1,10)="",0,MID(W117,FIND("-",W117)+1,10)))*($D$17)),)
+IFERROR(SUM(($H$110:$H$117=U117)*($I$110:$I$117=V117)*($J$110:$J$117=W117)*($D$18)),)
+IFERROR(SUM(($C$110:$C$117=U117)*($D$110:$D$117=V117)*($D$16)),)
+IFERROR(SUM(($C$110:$C$117=U117)*($D$110:$D$117=V117)*(IF(MID($E$110:$E$117,1,FIND("-",$E$110:$E$117)-1)="",0,MID($E$110:$E$117,1,FIND("-",$E$110:$E$117)-1))-IFERROR(MID($E$110:$E$117,IF($E$110:$E$117="-",0,FIND("-",$E$110:$E$117)+1),10),0)=IF(MID(W117,1,FIND("-",W117)-1)="",0,MID(W117,1,FIND("-",W117)-1))-IF(MID(W117,FIND("-",W117)+1,10)="",0,MID(W117,FIND("-",W117)+1,10)))*($D$17)),)+IFERROR(SUM(($C$110:$C$117=U117)*($D$110:$D$117=V117)*($E$110:$E$117=W117)*($D$18)),)</f>
        <v>0</v>
      </c>
      <c r="Z117" s="868">
        <f t="shared" si="311"/>
        <v>0</v>
      </c>
      <c r="AA117" s="868">
        <f t="shared" si="312"/>
        <v>0</v>
      </c>
      <c r="AB117" s="868" t="str">
        <f t="shared" ref="AB117" si="345">IFERROR(MID(AC117,FIND("|",AC117)+1,10),"-")</f>
        <v>-</v>
      </c>
      <c r="AC117" s="820"/>
      <c r="AD117" cm="1">
        <f t="array" aca="1" ref="AD117" ca="1">IFERROR(SUM(($H$110:$H$117=Z117)*($I$110:$I$117=AA117)*($D$16)),)
+IFERROR(SUM(($H$110:$H$117=Z117)*($I$110:$I$117=AA117)*(IF(MID($J$110:$J$117,1,FIND("-",$J$110:$J$117)-1)="",0,MID($J$110:$J$117,1,FIND("-",$J$110:$J$117)-1))-IFERROR(MID($J$110:$J$117,IF($E$110:$E$117="-",0,FIND("-",$J$110:$J$117)+1),10),0)=IF(MID(AB117,1,FIND("-",AB117)-1)="",0,MID(AB117,1,FIND("-",AB117)-1))-IF(MID(AB117,FIND("-",AB117)+1,10)="",0,MID(AB117,FIND("-",AB117)+1,10)))*($D$17)),)
+IFERROR(SUM(($H$110:$H$117=Z117)*($I$110:$I$117=AA117)*($J$110:$J$117=AB117)*($D$18)),)
+IFERROR(SUM(($C$110:$C$117=Z117)*($D$110:$D$117=AA117)*($D$16)),)
+IFERROR(SUM(($C$110:$C$117=Z117)*($D$110:$D$117=AA117)*(IF(MID($E$110:$E$117,1,FIND("-",$E$110:$E$117)-1)="",0,MID($E$110:$E$117,1,FIND("-",$E$110:$E$117)-1))-IFERROR(MID($E$110:$E$117,IF($E$110:$E$117="-",0,FIND("-",$E$110:$E$117)+1),10),0)=IF(MID(AB117,1,FIND("-",AB117)-1)="",0,MID(AB117,1,FIND("-",AB117)-1))-IF(MID(AB117,FIND("-",AB117)+1,10)="",0,MID(AB117,FIND("-",AB117)+1,10)))*($D$17)),)+IFERROR(SUM(($C$110:$C$117=Z117)*($D$110:$D$117=AA117)*($E$110:$E$117=AB117)*($D$18)),)</f>
        <v>0</v>
      </c>
      <c r="AE117" s="868">
        <f t="shared" si="314"/>
        <v>0</v>
      </c>
      <c r="AF117" s="868">
        <f t="shared" si="315"/>
        <v>0</v>
      </c>
      <c r="AG117" s="868" t="str">
        <f t="shared" ref="AG117" si="346">IFERROR(MID(AH117,FIND("|",AH117)+1,10),"-")</f>
        <v>-</v>
      </c>
      <c r="AH117" s="953"/>
      <c r="AI117" cm="1">
        <f t="array" aca="1" ref="AI117" ca="1">IFERROR(SUM(($H$110:$H$117=AE117)*($I$110:$I$117=AF117)*($D$16)),)
+IFERROR(SUM(($H$110:$H$117=AE117)*($I$110:$I$117=AF117)*(IF(MID($J$110:$J$117,1,FIND("-",$J$110:$J$117)-1)="",0,MID($J$110:$J$117,1,FIND("-",$J$110:$J$117)-1))-IFERROR(MID($J$110:$J$117,IF($E$110:$E$117="-",0,FIND("-",$J$110:$J$117)+1),10),0)=IF(MID(AG117,1,FIND("-",AG117)-1)="",0,MID(AG117,1,FIND("-",AG117)-1))-IF(MID(AG117,FIND("-",AG117)+1,10)="",0,MID(AG117,FIND("-",AG117)+1,10)))*($D$17)),)
+IFERROR(SUM(($H$110:$H$117=AE117)*($I$110:$I$117=AF117)*($J$110:$J$117=AG117)*($D$18)),)
+IFERROR(SUM(($C$110:$C$117=AE117)*($D$110:$D$117=AF117)*($D$16)),)
+IFERROR(SUM(($C$110:$C$117=AE117)*($D$110:$D$117=AF117)*(IF(MID($E$110:$E$117,1,FIND("-",$E$110:$E$117)-1)="",0,MID($E$110:$E$117,1,FIND("-",$E$110:$E$117)-1))-IFERROR(MID($E$110:$E$117,IF($E$110:$E$117="-",0,FIND("-",$E$110:$E$117)+1),10),0)=IF(MID(AG117,1,FIND("-",AG117)-1)="",0,MID(AG117,1,FIND("-",AG117)-1))-IF(MID(AG117,FIND("-",AG117)+1,10)="",0,MID(AG117,FIND("-",AG117)+1,10)))*($D$17)),)+IFERROR(SUM(($C$110:$C$117=AE117)*($D$110:$D$117=AF117)*($E$110:$E$117=AG117)*($D$18)),)</f>
        <v>0</v>
      </c>
      <c r="AJ117" s="868"/>
      <c r="AK117" s="773"/>
      <c r="AL117" s="773"/>
    </row>
    <row r="118" spans="1:38">
      <c r="A118" s="774"/>
      <c r="B118" s="774"/>
      <c r="C118" s="868"/>
      <c r="D118" s="868"/>
      <c r="E118" s="868"/>
      <c r="F118" s="894"/>
      <c r="G118" s="774"/>
      <c r="H118" s="774"/>
      <c r="I118" s="774"/>
      <c r="J118" s="152"/>
      <c r="K118" s="868"/>
      <c r="L118" s="868"/>
      <c r="M118" s="868"/>
      <c r="N118" s="957"/>
      <c r="O118" s="782" t="str">
        <f ca="1">CONCATENATE(SUM(O110:O117),"/",SUM($D$16:$D$18)*COUNT(O110:O117))</f>
        <v>0/0</v>
      </c>
      <c r="P118" s="868"/>
      <c r="Q118" s="868"/>
      <c r="R118" s="868"/>
      <c r="S118" s="816"/>
      <c r="T118" s="782" t="str">
        <f t="shared" ref="T118" ca="1" si="347">CONCATENATE(SUM(T110:T117),"/",SUM($D$16:$D$18)*COUNT(T110:T117))</f>
        <v>0/0</v>
      </c>
      <c r="U118" s="868"/>
      <c r="V118" s="868"/>
      <c r="W118" s="868"/>
      <c r="X118" s="816"/>
      <c r="Y118" s="782" t="str">
        <f t="shared" ref="Y118" ca="1" si="348">CONCATENATE(SUM(Y110:Y117),"/",SUM($D$16:$D$18)*COUNT(Y110:Y117))</f>
        <v>0/0</v>
      </c>
      <c r="Z118" s="868"/>
      <c r="AA118" s="868"/>
      <c r="AB118" s="868"/>
      <c r="AC118" s="816"/>
      <c r="AD118" s="782" t="str">
        <f t="shared" ref="AD118" ca="1" si="349">CONCATENATE(SUM(AD110:AD117),"/",SUM($D$16:$D$18)*COUNT(AD110:AD117))</f>
        <v>0/0</v>
      </c>
      <c r="AE118" s="868"/>
      <c r="AF118" s="868"/>
      <c r="AG118" s="868"/>
      <c r="AH118" s="957"/>
      <c r="AI118" s="782" t="str">
        <f t="shared" ref="AI118" ca="1" si="350">CONCATENATE(SUM(AI110:AI117),"/",SUM($D$16:$D$18)*COUNT(AI110:AI117))</f>
        <v>0/0</v>
      </c>
      <c r="AJ118" s="868"/>
      <c r="AK118" s="773"/>
      <c r="AL118" s="773"/>
    </row>
    <row r="119" spans="1:38" ht="16">
      <c r="A119" s="774"/>
      <c r="B119" s="774"/>
      <c r="C119" s="868"/>
      <c r="D119" s="868"/>
      <c r="E119" s="868"/>
      <c r="F119" s="894"/>
      <c r="G119" s="817"/>
      <c r="H119" s="883" t="s">
        <v>305</v>
      </c>
      <c r="I119" s="883"/>
      <c r="J119" s="885"/>
      <c r="K119" s="868"/>
      <c r="L119" s="868"/>
      <c r="M119" s="868"/>
      <c r="N119" s="957"/>
      <c r="O119" s="774"/>
      <c r="P119" s="868"/>
      <c r="Q119" s="868"/>
      <c r="R119" s="868"/>
      <c r="S119" s="816"/>
      <c r="T119" s="774"/>
      <c r="U119" s="868"/>
      <c r="V119" s="868"/>
      <c r="W119" s="868"/>
      <c r="X119" s="816"/>
      <c r="Y119" s="774"/>
      <c r="Z119" s="868"/>
      <c r="AA119" s="868"/>
      <c r="AB119" s="868"/>
      <c r="AC119" s="816"/>
      <c r="AD119" s="774"/>
      <c r="AE119" s="868"/>
      <c r="AF119" s="868"/>
      <c r="AG119" s="868"/>
      <c r="AH119" s="957"/>
      <c r="AI119" s="774"/>
      <c r="AJ119" s="868"/>
      <c r="AK119" s="773"/>
      <c r="AL119" s="773"/>
    </row>
    <row r="120" spans="1:38" ht="15" customHeight="1">
      <c r="A120" s="774"/>
      <c r="B120" s="774"/>
      <c r="C120" s="868"/>
      <c r="D120" s="868"/>
      <c r="E120" s="868"/>
      <c r="F120" s="894">
        <v>44900</v>
      </c>
      <c r="G120" s="1036" t="s">
        <v>78</v>
      </c>
      <c r="H120" s="818" t="s">
        <v>422</v>
      </c>
      <c r="I120" s="819"/>
      <c r="J120" s="819" t="str">
        <f>MUNDIAL!I80</f>
        <v>W53</v>
      </c>
      <c r="K120" s="868"/>
      <c r="L120" s="868"/>
      <c r="M120" s="868"/>
      <c r="N120" s="953"/>
      <c r="O120">
        <f t="shared" ref="O120:O127" si="351">COUNTIF($J$120:$J$127,N120)*$D$19</f>
        <v>0</v>
      </c>
      <c r="P120" s="868"/>
      <c r="Q120" s="868"/>
      <c r="R120" s="868"/>
      <c r="S120" s="820"/>
      <c r="T120">
        <f t="shared" ref="T120:T127" si="352">COUNTIF($J$120:$J$127,S120)*$D$19</f>
        <v>0</v>
      </c>
      <c r="U120" s="868"/>
      <c r="V120" s="868"/>
      <c r="W120" s="868"/>
      <c r="X120" s="820"/>
      <c r="Y120">
        <f t="shared" ref="Y120:Y127" si="353">COUNTIF($J$120:$J$127,X120)*$D$19</f>
        <v>0</v>
      </c>
      <c r="Z120" s="868"/>
      <c r="AA120" s="868"/>
      <c r="AB120" s="868"/>
      <c r="AC120" s="820"/>
      <c r="AD120">
        <f t="shared" ref="AD120:AD127" si="354">COUNTIF($J$120:$J$127,AC120)*$D$19</f>
        <v>0</v>
      </c>
      <c r="AE120" s="868"/>
      <c r="AF120" s="868"/>
      <c r="AG120" s="868"/>
      <c r="AH120" s="953"/>
      <c r="AI120">
        <f t="shared" ref="AI120:AI127" si="355">COUNTIF($J$120:$J$127,AH120)*$D$19</f>
        <v>0</v>
      </c>
      <c r="AJ120" s="868"/>
      <c r="AK120" s="773"/>
      <c r="AL120" s="773"/>
    </row>
    <row r="121" spans="1:38" ht="15" customHeight="1">
      <c r="A121" s="774"/>
      <c r="B121" s="774"/>
      <c r="C121" s="868"/>
      <c r="D121" s="868"/>
      <c r="E121" s="868"/>
      <c r="F121" s="894">
        <v>44898</v>
      </c>
      <c r="G121" s="1037"/>
      <c r="H121" s="9" t="s">
        <v>423</v>
      </c>
      <c r="I121" s="821"/>
      <c r="J121" s="821" t="str">
        <f>MUNDIAL!I81</f>
        <v>W49</v>
      </c>
      <c r="K121" s="868"/>
      <c r="L121" s="868"/>
      <c r="M121" s="868"/>
      <c r="N121" s="953"/>
      <c r="O121">
        <f t="shared" si="351"/>
        <v>0</v>
      </c>
      <c r="P121" s="868"/>
      <c r="Q121" s="868"/>
      <c r="R121" s="868"/>
      <c r="S121" s="820"/>
      <c r="T121">
        <f t="shared" si="352"/>
        <v>0</v>
      </c>
      <c r="U121" s="868"/>
      <c r="V121" s="868"/>
      <c r="W121" s="868"/>
      <c r="X121" s="820"/>
      <c r="Y121">
        <f t="shared" si="353"/>
        <v>0</v>
      </c>
      <c r="Z121" s="868"/>
      <c r="AA121" s="868"/>
      <c r="AB121" s="868"/>
      <c r="AC121" s="820"/>
      <c r="AD121">
        <f t="shared" si="354"/>
        <v>0</v>
      </c>
      <c r="AE121" s="868"/>
      <c r="AF121" s="868"/>
      <c r="AG121" s="868"/>
      <c r="AH121" s="953"/>
      <c r="AI121">
        <f t="shared" si="355"/>
        <v>0</v>
      </c>
      <c r="AJ121" s="868"/>
      <c r="AK121" s="773"/>
      <c r="AL121" s="773"/>
    </row>
    <row r="122" spans="1:38" ht="15" customHeight="1">
      <c r="A122" s="774"/>
      <c r="B122" s="774"/>
      <c r="C122" s="868"/>
      <c r="D122" s="868"/>
      <c r="E122" s="868"/>
      <c r="F122" s="894">
        <v>44901</v>
      </c>
      <c r="G122" s="1037"/>
      <c r="H122" s="9" t="s">
        <v>424</v>
      </c>
      <c r="I122" s="821"/>
      <c r="J122" s="821" t="str">
        <f>MUNDIAL!I82</f>
        <v>W55</v>
      </c>
      <c r="K122" s="868"/>
      <c r="L122" s="868"/>
      <c r="M122" s="868"/>
      <c r="N122" s="953"/>
      <c r="O122">
        <f t="shared" si="351"/>
        <v>0</v>
      </c>
      <c r="P122" s="868"/>
      <c r="Q122" s="868"/>
      <c r="R122" s="868"/>
      <c r="S122" s="820"/>
      <c r="T122">
        <f t="shared" si="352"/>
        <v>0</v>
      </c>
      <c r="U122" s="868"/>
      <c r="V122" s="868"/>
      <c r="W122" s="868"/>
      <c r="X122" s="820"/>
      <c r="Y122">
        <f t="shared" si="353"/>
        <v>0</v>
      </c>
      <c r="Z122" s="868"/>
      <c r="AA122" s="868"/>
      <c r="AB122" s="868"/>
      <c r="AC122" s="820"/>
      <c r="AD122">
        <f t="shared" si="354"/>
        <v>0</v>
      </c>
      <c r="AE122" s="868"/>
      <c r="AF122" s="868"/>
      <c r="AG122" s="868"/>
      <c r="AH122" s="953"/>
      <c r="AI122">
        <f t="shared" si="355"/>
        <v>0</v>
      </c>
      <c r="AJ122" s="868"/>
      <c r="AK122" s="773"/>
      <c r="AL122" s="773"/>
    </row>
    <row r="123" spans="1:38" ht="15" customHeight="1">
      <c r="A123" s="774"/>
      <c r="B123" s="774"/>
      <c r="C123" s="868"/>
      <c r="D123" s="868"/>
      <c r="E123" s="868"/>
      <c r="F123" s="894">
        <v>44899</v>
      </c>
      <c r="G123" s="1037"/>
      <c r="H123" s="9" t="s">
        <v>425</v>
      </c>
      <c r="I123" s="821"/>
      <c r="J123" s="821" t="str">
        <f>MUNDIAL!I83</f>
        <v>W51</v>
      </c>
      <c r="K123" s="868"/>
      <c r="L123" s="868"/>
      <c r="M123" s="868"/>
      <c r="N123" s="953"/>
      <c r="O123">
        <f t="shared" si="351"/>
        <v>0</v>
      </c>
      <c r="P123" s="868"/>
      <c r="Q123" s="868"/>
      <c r="R123" s="868"/>
      <c r="S123" s="820"/>
      <c r="T123">
        <f t="shared" si="352"/>
        <v>0</v>
      </c>
      <c r="U123" s="868"/>
      <c r="V123" s="868"/>
      <c r="W123" s="868"/>
      <c r="X123" s="820"/>
      <c r="Y123">
        <f t="shared" si="353"/>
        <v>0</v>
      </c>
      <c r="Z123" s="868"/>
      <c r="AA123" s="868"/>
      <c r="AB123" s="868"/>
      <c r="AC123" s="820"/>
      <c r="AD123">
        <f t="shared" si="354"/>
        <v>0</v>
      </c>
      <c r="AE123" s="868"/>
      <c r="AF123" s="868"/>
      <c r="AG123" s="868"/>
      <c r="AH123" s="953"/>
      <c r="AI123">
        <f t="shared" si="355"/>
        <v>0</v>
      </c>
      <c r="AJ123" s="868"/>
      <c r="AK123" s="773"/>
      <c r="AL123" s="773"/>
    </row>
    <row r="124" spans="1:38" ht="15" customHeight="1">
      <c r="A124" s="774"/>
      <c r="B124" s="774"/>
      <c r="C124" s="868"/>
      <c r="D124" s="868"/>
      <c r="E124" s="868"/>
      <c r="F124" s="894">
        <v>44900</v>
      </c>
      <c r="G124" s="1037"/>
      <c r="H124" s="9" t="s">
        <v>426</v>
      </c>
      <c r="I124" s="821"/>
      <c r="J124" s="821" t="str">
        <f>MUNDIAL!N80</f>
        <v>W54</v>
      </c>
      <c r="K124" s="868"/>
      <c r="L124" s="868"/>
      <c r="M124" s="868"/>
      <c r="N124" s="953"/>
      <c r="O124">
        <f t="shared" si="351"/>
        <v>0</v>
      </c>
      <c r="P124" s="868"/>
      <c r="Q124" s="868"/>
      <c r="R124" s="868"/>
      <c r="S124" s="820"/>
      <c r="T124">
        <f t="shared" si="352"/>
        <v>0</v>
      </c>
      <c r="U124" s="868"/>
      <c r="V124" s="868"/>
      <c r="W124" s="868"/>
      <c r="X124" s="820"/>
      <c r="Y124">
        <f t="shared" si="353"/>
        <v>0</v>
      </c>
      <c r="Z124" s="868"/>
      <c r="AA124" s="868"/>
      <c r="AB124" s="868"/>
      <c r="AC124" s="820"/>
      <c r="AD124">
        <f t="shared" si="354"/>
        <v>0</v>
      </c>
      <c r="AE124" s="868"/>
      <c r="AF124" s="868"/>
      <c r="AG124" s="868"/>
      <c r="AH124" s="953"/>
      <c r="AI124">
        <f t="shared" si="355"/>
        <v>0</v>
      </c>
      <c r="AJ124" s="868"/>
      <c r="AK124" s="773"/>
      <c r="AL124" s="773"/>
    </row>
    <row r="125" spans="1:38" ht="15" customHeight="1">
      <c r="A125" s="774"/>
      <c r="B125" s="774"/>
      <c r="C125" s="868"/>
      <c r="D125" s="868"/>
      <c r="E125" s="868"/>
      <c r="F125" s="894">
        <v>44898</v>
      </c>
      <c r="G125" s="1037"/>
      <c r="H125" s="9" t="s">
        <v>427</v>
      </c>
      <c r="I125" s="821"/>
      <c r="J125" s="821" t="str">
        <f>MUNDIAL!N81</f>
        <v>W50</v>
      </c>
      <c r="K125" s="868"/>
      <c r="L125" s="868"/>
      <c r="M125" s="868"/>
      <c r="N125" s="953"/>
      <c r="O125">
        <f t="shared" si="351"/>
        <v>0</v>
      </c>
      <c r="P125" s="868"/>
      <c r="Q125" s="868"/>
      <c r="R125" s="868"/>
      <c r="S125" s="820"/>
      <c r="T125">
        <f t="shared" si="352"/>
        <v>0</v>
      </c>
      <c r="U125" s="868"/>
      <c r="V125" s="868"/>
      <c r="W125" s="868"/>
      <c r="X125" s="820"/>
      <c r="Y125">
        <f t="shared" si="353"/>
        <v>0</v>
      </c>
      <c r="Z125" s="868"/>
      <c r="AA125" s="868"/>
      <c r="AB125" s="868"/>
      <c r="AC125" s="820"/>
      <c r="AD125">
        <f t="shared" si="354"/>
        <v>0</v>
      </c>
      <c r="AE125" s="868"/>
      <c r="AF125" s="868"/>
      <c r="AG125" s="868"/>
      <c r="AH125" s="953"/>
      <c r="AI125">
        <f t="shared" si="355"/>
        <v>0</v>
      </c>
      <c r="AJ125" s="868"/>
      <c r="AK125" s="773"/>
      <c r="AL125" s="773"/>
    </row>
    <row r="126" spans="1:38" ht="15" customHeight="1">
      <c r="A126" s="774"/>
      <c r="B126" s="774"/>
      <c r="C126" s="868"/>
      <c r="D126" s="868"/>
      <c r="E126" s="868"/>
      <c r="F126" s="894">
        <v>44901</v>
      </c>
      <c r="G126" s="1037"/>
      <c r="H126" s="9" t="s">
        <v>428</v>
      </c>
      <c r="I126" s="821"/>
      <c r="J126" s="821" t="str">
        <f>MUNDIAL!N82</f>
        <v>W56</v>
      </c>
      <c r="K126" s="868"/>
      <c r="L126" s="868"/>
      <c r="M126" s="868"/>
      <c r="N126" s="953"/>
      <c r="O126">
        <f t="shared" si="351"/>
        <v>0</v>
      </c>
      <c r="P126" s="868"/>
      <c r="Q126" s="868"/>
      <c r="R126" s="868"/>
      <c r="S126" s="820"/>
      <c r="T126">
        <f t="shared" si="352"/>
        <v>0</v>
      </c>
      <c r="U126" s="868"/>
      <c r="V126" s="868"/>
      <c r="W126" s="868"/>
      <c r="X126" s="820"/>
      <c r="Y126">
        <f t="shared" si="353"/>
        <v>0</v>
      </c>
      <c r="Z126" s="868"/>
      <c r="AA126" s="868"/>
      <c r="AB126" s="868"/>
      <c r="AC126" s="820"/>
      <c r="AD126">
        <f t="shared" si="354"/>
        <v>0</v>
      </c>
      <c r="AE126" s="868"/>
      <c r="AF126" s="868"/>
      <c r="AG126" s="868"/>
      <c r="AH126" s="953"/>
      <c r="AI126">
        <f t="shared" si="355"/>
        <v>0</v>
      </c>
      <c r="AJ126" s="868"/>
      <c r="AK126" s="773"/>
      <c r="AL126" s="773"/>
    </row>
    <row r="127" spans="1:38" ht="15" customHeight="1">
      <c r="A127" s="774"/>
      <c r="B127" s="774"/>
      <c r="C127" s="868"/>
      <c r="D127" s="868"/>
      <c r="E127" s="868"/>
      <c r="F127" s="894">
        <v>44899</v>
      </c>
      <c r="G127" s="1038"/>
      <c r="H127" s="822" t="s">
        <v>429</v>
      </c>
      <c r="I127" s="823"/>
      <c r="J127" s="823" t="str">
        <f>MUNDIAL!N83</f>
        <v>W52</v>
      </c>
      <c r="K127" s="868"/>
      <c r="L127" s="868"/>
      <c r="M127" s="868"/>
      <c r="N127" s="953"/>
      <c r="O127">
        <f t="shared" si="351"/>
        <v>0</v>
      </c>
      <c r="P127" s="868"/>
      <c r="Q127" s="868"/>
      <c r="R127" s="868"/>
      <c r="S127" s="820"/>
      <c r="T127">
        <f t="shared" si="352"/>
        <v>0</v>
      </c>
      <c r="U127" s="868"/>
      <c r="V127" s="868"/>
      <c r="W127" s="868"/>
      <c r="X127" s="820"/>
      <c r="Y127">
        <f t="shared" si="353"/>
        <v>0</v>
      </c>
      <c r="Z127" s="868"/>
      <c r="AA127" s="868"/>
      <c r="AB127" s="868"/>
      <c r="AC127" s="820"/>
      <c r="AD127">
        <f t="shared" si="354"/>
        <v>0</v>
      </c>
      <c r="AE127" s="868"/>
      <c r="AF127" s="868"/>
      <c r="AG127" s="868"/>
      <c r="AH127" s="953"/>
      <c r="AI127">
        <f t="shared" si="355"/>
        <v>0</v>
      </c>
      <c r="AJ127" s="868"/>
      <c r="AK127" s="773"/>
      <c r="AL127" s="773"/>
    </row>
    <row r="128" spans="1:38">
      <c r="A128" s="774"/>
      <c r="B128" s="774"/>
      <c r="C128" s="868"/>
      <c r="D128" s="868"/>
      <c r="E128" s="868"/>
      <c r="F128" s="894"/>
      <c r="G128" s="774"/>
      <c r="H128" s="782"/>
      <c r="I128" s="774"/>
      <c r="J128" s="152"/>
      <c r="K128" s="868"/>
      <c r="L128" s="868"/>
      <c r="M128" s="868"/>
      <c r="N128" s="957"/>
      <c r="O128" s="782" t="str">
        <f>CONCATENATE(SUM(O120:O127),"/",$D$19*COUNT(O120:O127))</f>
        <v>0/0</v>
      </c>
      <c r="P128" s="868"/>
      <c r="Q128" s="868"/>
      <c r="R128" s="868"/>
      <c r="S128" s="816"/>
      <c r="T128" s="782" t="str">
        <f t="shared" ref="T128" si="356">CONCATENATE(SUM(T120:T127),"/",$D$19*COUNT(T120:T127))</f>
        <v>0/0</v>
      </c>
      <c r="U128" s="868"/>
      <c r="V128" s="868"/>
      <c r="W128" s="868"/>
      <c r="X128" s="816"/>
      <c r="Y128" s="782" t="str">
        <f t="shared" ref="Y128" si="357">CONCATENATE(SUM(Y120:Y127),"/",$D$19*COUNT(Y120:Y127))</f>
        <v>0/0</v>
      </c>
      <c r="Z128" s="868"/>
      <c r="AA128" s="868"/>
      <c r="AB128" s="868"/>
      <c r="AC128" s="816"/>
      <c r="AD128" s="782" t="str">
        <f t="shared" ref="AD128" si="358">CONCATENATE(SUM(AD120:AD127),"/",$D$19*COUNT(AD120:AD127))</f>
        <v>0/0</v>
      </c>
      <c r="AE128" s="868"/>
      <c r="AF128" s="868"/>
      <c r="AG128" s="868"/>
      <c r="AH128" s="957"/>
      <c r="AI128" s="782" t="str">
        <f t="shared" ref="AI128" si="359">CONCATENATE(SUM(AI120:AI127),"/",$D$19*COUNT(AI120:AI127))</f>
        <v>0/0</v>
      </c>
      <c r="AJ128" s="868"/>
      <c r="AK128" s="773"/>
      <c r="AL128" s="773"/>
    </row>
    <row r="129" spans="1:38" ht="16">
      <c r="A129" s="774"/>
      <c r="B129" s="774"/>
      <c r="C129" s="868"/>
      <c r="D129" s="868"/>
      <c r="E129" s="868"/>
      <c r="F129" s="894"/>
      <c r="G129" s="817"/>
      <c r="H129" s="883" t="s">
        <v>306</v>
      </c>
      <c r="I129" s="883"/>
      <c r="J129" s="885"/>
      <c r="K129" s="868"/>
      <c r="L129" s="868"/>
      <c r="M129" s="868"/>
      <c r="N129" s="957"/>
      <c r="O129" s="774"/>
      <c r="P129" s="868"/>
      <c r="Q129" s="868"/>
      <c r="R129" s="868"/>
      <c r="S129" s="816"/>
      <c r="T129" s="774"/>
      <c r="U129" s="868"/>
      <c r="V129" s="868"/>
      <c r="W129" s="868"/>
      <c r="X129" s="816"/>
      <c r="Y129" s="774"/>
      <c r="Z129" s="868"/>
      <c r="AA129" s="868"/>
      <c r="AB129" s="868"/>
      <c r="AC129" s="816"/>
      <c r="AD129" s="774"/>
      <c r="AE129" s="868"/>
      <c r="AF129" s="868"/>
      <c r="AG129" s="868"/>
      <c r="AH129" s="957"/>
      <c r="AI129" s="774"/>
      <c r="AJ129" s="868"/>
      <c r="AK129" s="773"/>
      <c r="AL129" s="773"/>
    </row>
    <row r="130" spans="1:38" ht="15" customHeight="1">
      <c r="A130" s="774"/>
      <c r="B130" s="774"/>
      <c r="C130" s="868" t="str">
        <f>CONCATENATE(MUNDIAL!N80,"-",MUNDIAL!I80)</f>
        <v>W54-W53</v>
      </c>
      <c r="D130" s="868" t="str">
        <f>IF(MUNDIAL!K80&gt;MUNDIAL!L80,2,IF(MUNDIAL!K80&lt;MUNDIAL!L80,1,IF(AND(MUNDIAL!K80=MUNDIAL!L80,MUNDIAL!K80&lt;&gt;"",MUNDIAL!L80&lt;&gt;""),0,"PD")))</f>
        <v>PD</v>
      </c>
      <c r="E130" s="868" t="str">
        <f>CONCATENATE(MUNDIAL!L80,"-",MUNDIAL!K80)</f>
        <v>-</v>
      </c>
      <c r="F130" s="894">
        <v>44904</v>
      </c>
      <c r="G130" s="1049" t="s">
        <v>78</v>
      </c>
      <c r="H130" t="str">
        <f>CONCATENATE(MUNDIAL!I80,"-",MUNDIAL!N80)</f>
        <v>W53-W54</v>
      </c>
      <c r="I130" t="str">
        <f>(IF(MUNDIAL!K80&gt;MUNDIAL!L80,1,IF(MUNDIAL!K80&lt;MUNDIAL!L80,2,IF(AND(MUNDIAL!K80=MUNDIAL!L80,MUNDIAL!K80&lt;&gt;"",MUNDIAL!L80&lt;&gt;""),0,"PD"))))</f>
        <v>PD</v>
      </c>
      <c r="J130" s="821" t="str">
        <f>CONCATENATE(MUNDIAL!K80,"-",MUNDIAL!L80)</f>
        <v>-</v>
      </c>
      <c r="K130" s="868">
        <f>IFERROR(MID(N130,1,FIND("·",N130)-1),)</f>
        <v>0</v>
      </c>
      <c r="L130" s="868">
        <f>IFERROR(VALUE(MID(N130,FIND("·",N130)+1,1)),)</f>
        <v>0</v>
      </c>
      <c r="M130" s="868" t="str">
        <f>IFERROR(MID(N130,FIND("|",N130)+1,10),"-")</f>
        <v>-</v>
      </c>
      <c r="N130" s="953" t="s">
        <v>307</v>
      </c>
      <c r="O130" cm="1">
        <f t="array" ref="O130">IFERROR(SUM(($H$130:$H$133=K130)*($I$130:$I$133=L130)*($D$20)),)
+IFERROR(SUM(($H$130:$H$133=K130)*($I$130:$I$133=L130)*(IF(MID($J$130:$J$133,1,FIND("-",$J$130:$J$133)-1)="",0,MID($J$130:$J$133,1,FIND("-",$J$130:$J$133)-1))-IFERROR(MID($J$130:$J$133,IF($E$130:$E$133="-",0,FIND("-",$J$130:$J$133)+1),10),0)=IF(MID(M130,1,FIND("-",M130)-1)="",0,MID(M130,1,FIND("-",M130)-1))-IF(MID(M130,FIND("-",M130)+1,10)="",0,MID(M130,FIND("-",M130)+1,10)))*($D$21)),)
+IFERROR(SUM(($H$130:$H$133=K130)*($I$130:$I$133=L130)*($J$130:$J$133=M130)*($D$22)),)
+IFERROR(SUM(($C$130:$C$133=K130)*($D$130:$D$133=L130)*($D$20)),)
+IFERROR(SUM(($C$130:$C$133=K130)*($D$130:$D$133=L130)*(IF(MID($E$130:$E$133,1,FIND("-",$E$130:$E$133)-1)="",0,MID($E$130:$E$133,1,FIND("-",$E$130:$E$133)-1))-IFERROR(MID($E$130:$E$133,IF($E$130:$E$133="-",0,FIND("-",$E$130:$E$133)+1),10),0)=IF(MID(M130,1,FIND("-",M130)-1)="",0,MID(M130,1,FIND("-",M130)-1))-IF(MID(M130,FIND("-",M130)+1,10)="",0,MID(M130,FIND("-",M130)+1,10)))*($D$21)),)+IFERROR(SUM(($C$130:$C$133=K130)*($D$130:$D$133=L130)*($E$130:$E$133=M130)*($D$22)),)</f>
        <v>0</v>
      </c>
      <c r="P130" s="868">
        <f t="shared" ref="P130:P133" si="360">IFERROR(MID(S130,1,FIND("·",S130)-1),)</f>
        <v>0</v>
      </c>
      <c r="Q130" s="868">
        <f t="shared" ref="Q130:Q133" si="361">IFERROR(VALUE(MID(S130,FIND("·",S130)+1,1)),)</f>
        <v>0</v>
      </c>
      <c r="R130" s="868" t="str">
        <f t="shared" ref="R130" si="362">IFERROR(MID(S130,FIND("|",S130)+1,10),"-")</f>
        <v>-</v>
      </c>
      <c r="S130" s="820" t="s">
        <v>307</v>
      </c>
      <c r="T130" cm="1">
        <f t="array" ref="T130">IFERROR(SUM(($H$130:$H$133=P130)*($I$130:$I$133=Q130)*($D$20)),)
+IFERROR(SUM(($H$130:$H$133=P130)*($I$130:$I$133=Q130)*(IF(MID($J$130:$J$133,1,FIND("-",$J$130:$J$133)-1)="",0,MID($J$130:$J$133,1,FIND("-",$J$130:$J$133)-1))-IFERROR(MID($J$130:$J$133,IF($E$130:$E$133="-",0,FIND("-",$J$130:$J$133)+1),10),0)=IF(MID(R130,1,FIND("-",R130)-1)="",0,MID(R130,1,FIND("-",R130)-1))-IF(MID(R130,FIND("-",R130)+1,10)="",0,MID(R130,FIND("-",R130)+1,10)))*($D$21)),)
+IFERROR(SUM(($H$130:$H$133=P130)*($I$130:$I$133=Q130)*($J$130:$J$133=R130)*($D$22)),)
+IFERROR(SUM(($C$130:$C$133=P130)*($D$130:$D$133=Q130)*($D$20)),)
+IFERROR(SUM(($C$130:$C$133=P130)*($D$130:$D$133=Q130)*(IF(MID($E$130:$E$133,1,FIND("-",$E$130:$E$133)-1)="",0,MID($E$130:$E$133,1,FIND("-",$E$130:$E$133)-1))-IFERROR(MID($E$130:$E$133,IF($E$130:$E$133="-",0,FIND("-",$E$130:$E$133)+1),10),0)=IF(MID(R130,1,FIND("-",R130)-1)="",0,MID(R130,1,FIND("-",R130)-1))-IF(MID(R130,FIND("-",R130)+1,10)="",0,MID(R130,FIND("-",R130)+1,10)))*($D$21)),)+IFERROR(SUM(($C$130:$C$133=P130)*($D$130:$D$133=Q130)*($E$130:$E$133=R130)*($D$22)),)</f>
        <v>0</v>
      </c>
      <c r="U130" s="868">
        <f t="shared" ref="U130:U133" si="363">IFERROR(MID(X130,1,FIND("·",X130)-1),)</f>
        <v>0</v>
      </c>
      <c r="V130" s="868">
        <f t="shared" ref="V130:V133" si="364">IFERROR(VALUE(MID(X130,FIND("·",X130)+1,1)),)</f>
        <v>0</v>
      </c>
      <c r="W130" s="868" t="str">
        <f t="shared" ref="W130" si="365">IFERROR(MID(X130,FIND("|",X130)+1,10),"-")</f>
        <v>-</v>
      </c>
      <c r="X130" s="820" t="s">
        <v>307</v>
      </c>
      <c r="Y130" cm="1">
        <f t="array" ref="Y130">IFERROR(SUM(($H$130:$H$133=U130)*($I$130:$I$133=V130)*($D$20)),)
+IFERROR(SUM(($H$130:$H$133=U130)*($I$130:$I$133=V130)*(IF(MID($J$130:$J$133,1,FIND("-",$J$130:$J$133)-1)="",0,MID($J$130:$J$133,1,FIND("-",$J$130:$J$133)-1))-IFERROR(MID($J$130:$J$133,IF($E$130:$E$133="-",0,FIND("-",$J$130:$J$133)+1),10),0)=IF(MID(W130,1,FIND("-",W130)-1)="",0,MID(W130,1,FIND("-",W130)-1))-IF(MID(W130,FIND("-",W130)+1,10)="",0,MID(W130,FIND("-",W130)+1,10)))*($D$21)),)
+IFERROR(SUM(($H$130:$H$133=U130)*($I$130:$I$133=V130)*($J$130:$J$133=W130)*($D$22)),)
+IFERROR(SUM(($C$130:$C$133=U130)*($D$130:$D$133=V130)*($D$20)),)
+IFERROR(SUM(($C$130:$C$133=U130)*($D$130:$D$133=V130)*(IF(MID($E$130:$E$133,1,FIND("-",$E$130:$E$133)-1)="",0,MID($E$130:$E$133,1,FIND("-",$E$130:$E$133)-1))-IFERROR(MID($E$130:$E$133,IF($E$130:$E$133="-",0,FIND("-",$E$130:$E$133)+1),10),0)=IF(MID(W130,1,FIND("-",W130)-1)="",0,MID(W130,1,FIND("-",W130)-1))-IF(MID(W130,FIND("-",W130)+1,10)="",0,MID(W130,FIND("-",W130)+1,10)))*($D$21)),)+IFERROR(SUM(($C$130:$C$133=U130)*($D$130:$D$133=V130)*($E$130:$E$133=W130)*($D$22)),)</f>
        <v>0</v>
      </c>
      <c r="Z130" s="868">
        <f t="shared" ref="Z130:Z133" si="366">IFERROR(MID(AC130,1,FIND("·",AC130)-1),)</f>
        <v>0</v>
      </c>
      <c r="AA130" s="868">
        <f t="shared" ref="AA130:AA133" si="367">IFERROR(VALUE(MID(AC130,FIND("·",AC130)+1,1)),)</f>
        <v>0</v>
      </c>
      <c r="AB130" s="868" t="str">
        <f t="shared" ref="AB130" si="368">IFERROR(MID(AC130,FIND("|",AC130)+1,10),"-")</f>
        <v>-</v>
      </c>
      <c r="AC130" s="820" t="s">
        <v>307</v>
      </c>
      <c r="AD130" cm="1">
        <f t="array" ref="AD130">IFERROR(SUM(($H$130:$H$133=Z130)*($I$130:$I$133=AA130)*($D$20)),)
+IFERROR(SUM(($H$130:$H$133=Z130)*($I$130:$I$133=AA130)*(IF(MID($J$130:$J$133,1,FIND("-",$J$130:$J$133)-1)="",0,MID($J$130:$J$133,1,FIND("-",$J$130:$J$133)-1))-IFERROR(MID($J$130:$J$133,IF($E$130:$E$133="-",0,FIND("-",$J$130:$J$133)+1),10),0)=IF(MID(AB130,1,FIND("-",AB130)-1)="",0,MID(AB130,1,FIND("-",AB130)-1))-IF(MID(AB130,FIND("-",AB130)+1,10)="",0,MID(AB130,FIND("-",AB130)+1,10)))*($D$21)),)
+IFERROR(SUM(($H$130:$H$133=Z130)*($I$130:$I$133=AA130)*($J$130:$J$133=AB130)*($D$22)),)
+IFERROR(SUM(($C$130:$C$133=Z130)*($D$130:$D$133=AA130)*($D$20)),)
+IFERROR(SUM(($C$130:$C$133=Z130)*($D$130:$D$133=AA130)*(IF(MID($E$130:$E$133,1,FIND("-",$E$130:$E$133)-1)="",0,MID($E$130:$E$133,1,FIND("-",$E$130:$E$133)-1))-IFERROR(MID($E$130:$E$133,IF($E$130:$E$133="-",0,FIND("-",$E$130:$E$133)+1),10),0)=IF(MID(AB130,1,FIND("-",AB130)-1)="",0,MID(AB130,1,FIND("-",AB130)-1))-IF(MID(AB130,FIND("-",AB130)+1,10)="",0,MID(AB130,FIND("-",AB130)+1,10)))*($D$21)),)+IFERROR(SUM(($C$130:$C$133=Z130)*($D$130:$D$133=AA130)*($E$130:$E$133=AB130)*($D$22)),)</f>
        <v>0</v>
      </c>
      <c r="AE130" s="868">
        <f t="shared" ref="AE130:AE133" si="369">IFERROR(MID(AH130,1,FIND("·",AH130)-1),)</f>
        <v>0</v>
      </c>
      <c r="AF130" s="868">
        <f t="shared" ref="AF130:AF133" si="370">IFERROR(VALUE(MID(AH130,FIND("·",AH130)+1,1)),)</f>
        <v>0</v>
      </c>
      <c r="AG130" s="868" t="str">
        <f t="shared" ref="AG130" si="371">IFERROR(MID(AH130,FIND("|",AH130)+1,10),"-")</f>
        <v>-</v>
      </c>
      <c r="AH130" s="953">
        <v>3</v>
      </c>
      <c r="AI130" cm="1">
        <f t="array" ref="AI130">IFERROR(SUM(($H$130:$H$133=AE130)*($I$130:$I$133=AF130)*($D$20)),)
+IFERROR(SUM(($H$130:$H$133=AE130)*($I$130:$I$133=AF130)*(IF(MID($J$130:$J$133,1,FIND("-",$J$130:$J$133)-1)="",0,MID($J$130:$J$133,1,FIND("-",$J$130:$J$133)-1))-IFERROR(MID($J$130:$J$133,IF($E$130:$E$133="-",0,FIND("-",$J$130:$J$133)+1),10),0)=IF(MID(AG130,1,FIND("-",AG130)-1)="",0,MID(AG130,1,FIND("-",AG130)-1))-IF(MID(AG130,FIND("-",AG130)+1,10)="",0,MID(AG130,FIND("-",AG130)+1,10)))*($D$21)),)
+IFERROR(SUM(($H$130:$H$133=AE130)*($I$130:$I$133=AF130)*($J$130:$J$133=AG130)*($D$22)),)
+IFERROR(SUM(($C$130:$C$133=AE130)*($D$130:$D$133=AF130)*($D$20)),)
+IFERROR(SUM(($C$130:$C$133=AE130)*($D$130:$D$133=AF130)*(IF(MID($E$130:$E$133,1,FIND("-",$E$130:$E$133)-1)="",0,MID($E$130:$E$133,1,FIND("-",$E$130:$E$133)-1))-IFERROR(MID($E$130:$E$133,IF($E$130:$E$133="-",0,FIND("-",$E$130:$E$133)+1),10),0)=IF(MID(AG130,1,FIND("-",AG130)-1)="",0,MID(AG130,1,FIND("-",AG130)-1))-IF(MID(AG130,FIND("-",AG130)+1,10)="",0,MID(AG130,FIND("-",AG130)+1,10)))*($D$21)),)+IFERROR(SUM(($C$130:$C$133=AE130)*($D$130:$D$133=AF130)*($E$130:$E$133=AG130)*($D$22)),)</f>
        <v>0</v>
      </c>
      <c r="AJ130" s="868"/>
      <c r="AK130" s="773"/>
      <c r="AL130" s="773"/>
    </row>
    <row r="131" spans="1:38" ht="15" customHeight="1">
      <c r="A131" s="774"/>
      <c r="B131" s="774"/>
      <c r="C131" s="868" t="str">
        <f>CONCATENATE(MUNDIAL!N81,"-",MUNDIAL!I81)</f>
        <v>W50-W49</v>
      </c>
      <c r="D131" s="868" t="str">
        <f>IF(MUNDIAL!K81&gt;MUNDIAL!L81,2,IF(MUNDIAL!K81&lt;MUNDIAL!L81,1,IF(AND(MUNDIAL!K81=MUNDIAL!L81,MUNDIAL!K81&lt;&gt;"",MUNDIAL!L81&lt;&gt;""),0,"PD")))</f>
        <v>PD</v>
      </c>
      <c r="E131" s="868" t="str">
        <f>CONCATENATE(MUNDIAL!L81,"-",MUNDIAL!K81)</f>
        <v>-</v>
      </c>
      <c r="F131" s="894">
        <v>44904</v>
      </c>
      <c r="G131" s="1050"/>
      <c r="H131" t="str">
        <f>CONCATENATE(MUNDIAL!I81,"-",MUNDIAL!N81)</f>
        <v>W49-W50</v>
      </c>
      <c r="I131" t="str">
        <f>(IF(MUNDIAL!K81&gt;MUNDIAL!L81,1,IF(MUNDIAL!K81&lt;MUNDIAL!L81,2,IF(AND(MUNDIAL!K81=MUNDIAL!L81,MUNDIAL!K81&lt;&gt;"",MUNDIAL!L81&lt;&gt;""),0,"PD"))))</f>
        <v>PD</v>
      </c>
      <c r="J131" s="821" t="str">
        <f>CONCATENATE(MUNDIAL!K81,"-",MUNDIAL!L81)</f>
        <v>-</v>
      </c>
      <c r="K131" s="868">
        <f>IFERROR(MID(N131,1,FIND("·",N131)-1),)</f>
        <v>0</v>
      </c>
      <c r="L131" s="868">
        <f>IFERROR(VALUE(MID(N131,FIND("·",N131)+1,1)),)</f>
        <v>0</v>
      </c>
      <c r="M131" s="868" t="str">
        <f>IFERROR(MID(N131,FIND("|",N131)+1,10),"-")</f>
        <v>-</v>
      </c>
      <c r="N131" s="953"/>
      <c r="O131" cm="1">
        <f t="array" ref="O131">IFERROR(SUM(($H$130:$H$133=K131)*($I$130:$I$133=L131)*($D$20)),)
+IFERROR(SUM(($H$130:$H$133=K131)*($I$130:$I$133=L131)*(IF(MID($J$130:$J$133,1,FIND("-",$J$130:$J$133)-1)="",0,MID($J$130:$J$133,1,FIND("-",$J$130:$J$133)-1))-IFERROR(MID($J$130:$J$133,IF($E$130:$E$133="-",0,FIND("-",$J$130:$J$133)+1),10),0)=IF(MID(M131,1,FIND("-",M131)-1)="",0,MID(M131,1,FIND("-",M131)-1))-IF(MID(M131,FIND("-",M131)+1,10)="",0,MID(M131,FIND("-",M131)+1,10)))*($D$21)),)
+IFERROR(SUM(($H$130:$H$133=K131)*($I$130:$I$133=L131)*($J$130:$J$133=M131)*($D$22)),)
+IFERROR(SUM(($C$130:$C$133=K131)*($D$130:$D$133=L131)*($D$20)),)
+IFERROR(SUM(($C$130:$C$133=K131)*($D$130:$D$133=L131)*(IF(MID($E$130:$E$133,1,FIND("-",$E$130:$E$133)-1)="",0,MID($E$130:$E$133,1,FIND("-",$E$130:$E$133)-1))-IFERROR(MID($E$130:$E$133,IF($E$130:$E$133="-",0,FIND("-",$E$130:$E$133)+1),10),0)=IF(MID(M131,1,FIND("-",M131)-1)="",0,MID(M131,1,FIND("-",M131)-1))-IF(MID(M131,FIND("-",M131)+1,10)="",0,MID(M131,FIND("-",M131)+1,10)))*($D$21)),)+IFERROR(SUM(($C$130:$C$133=K131)*($D$130:$D$133=L131)*($E$130:$E$133=M131)*($D$22)),)</f>
        <v>0</v>
      </c>
      <c r="P131" s="868">
        <f t="shared" si="360"/>
        <v>0</v>
      </c>
      <c r="Q131" s="868">
        <f t="shared" si="361"/>
        <v>0</v>
      </c>
      <c r="R131" s="868" t="str">
        <f t="shared" ref="R131" si="372">IFERROR(MID(S131,FIND("|",S131)+1,10),"-")</f>
        <v>-</v>
      </c>
      <c r="S131" s="820"/>
      <c r="T131" cm="1">
        <f t="array" ref="T131">IFERROR(SUM(($H$130:$H$133=P131)*($I$130:$I$133=Q131)*($D$20)),)
+IFERROR(SUM(($H$130:$H$133=P131)*($I$130:$I$133=Q131)*(IF(MID($J$130:$J$133,1,FIND("-",$J$130:$J$133)-1)="",0,MID($J$130:$J$133,1,FIND("-",$J$130:$J$133)-1))-IFERROR(MID($J$130:$J$133,IF($E$130:$E$133="-",0,FIND("-",$J$130:$J$133)+1),10),0)=IF(MID(R131,1,FIND("-",R131)-1)="",0,MID(R131,1,FIND("-",R131)-1))-IF(MID(R131,FIND("-",R131)+1,10)="",0,MID(R131,FIND("-",R131)+1,10)))*($D$21)),)
+IFERROR(SUM(($H$130:$H$133=P131)*($I$130:$I$133=Q131)*($J$130:$J$133=R131)*($D$22)),)
+IFERROR(SUM(($C$130:$C$133=P131)*($D$130:$D$133=Q131)*($D$20)),)
+IFERROR(SUM(($C$130:$C$133=P131)*($D$130:$D$133=Q131)*(IF(MID($E$130:$E$133,1,FIND("-",$E$130:$E$133)-1)="",0,MID($E$130:$E$133,1,FIND("-",$E$130:$E$133)-1))-IFERROR(MID($E$130:$E$133,IF($E$130:$E$133="-",0,FIND("-",$E$130:$E$133)+1),10),0)=IF(MID(R131,1,FIND("-",R131)-1)="",0,MID(R131,1,FIND("-",R131)-1))-IF(MID(R131,FIND("-",R131)+1,10)="",0,MID(R131,FIND("-",R131)+1,10)))*($D$21)),)+IFERROR(SUM(($C$130:$C$133=P131)*($D$130:$D$133=Q131)*($E$130:$E$133=R131)*($D$22)),)</f>
        <v>0</v>
      </c>
      <c r="U131" s="868">
        <f t="shared" si="363"/>
        <v>0</v>
      </c>
      <c r="V131" s="868">
        <f t="shared" si="364"/>
        <v>0</v>
      </c>
      <c r="W131" s="868" t="str">
        <f t="shared" ref="W131" si="373">IFERROR(MID(X131,FIND("|",X131)+1,10),"-")</f>
        <v>-</v>
      </c>
      <c r="X131" s="820"/>
      <c r="Y131" cm="1">
        <f t="array" ref="Y131">IFERROR(SUM(($H$130:$H$133=U131)*($I$130:$I$133=V131)*($D$20)),)
+IFERROR(SUM(($H$130:$H$133=U131)*($I$130:$I$133=V131)*(IF(MID($J$130:$J$133,1,FIND("-",$J$130:$J$133)-1)="",0,MID($J$130:$J$133,1,FIND("-",$J$130:$J$133)-1))-IFERROR(MID($J$130:$J$133,IF($E$130:$E$133="-",0,FIND("-",$J$130:$J$133)+1),10),0)=IF(MID(W131,1,FIND("-",W131)-1)="",0,MID(W131,1,FIND("-",W131)-1))-IF(MID(W131,FIND("-",W131)+1,10)="",0,MID(W131,FIND("-",W131)+1,10)))*($D$21)),)
+IFERROR(SUM(($H$130:$H$133=U131)*($I$130:$I$133=V131)*($J$130:$J$133=W131)*($D$22)),)
+IFERROR(SUM(($C$130:$C$133=U131)*($D$130:$D$133=V131)*($D$20)),)
+IFERROR(SUM(($C$130:$C$133=U131)*($D$130:$D$133=V131)*(IF(MID($E$130:$E$133,1,FIND("-",$E$130:$E$133)-1)="",0,MID($E$130:$E$133,1,FIND("-",$E$130:$E$133)-1))-IFERROR(MID($E$130:$E$133,IF($E$130:$E$133="-",0,FIND("-",$E$130:$E$133)+1),10),0)=IF(MID(W131,1,FIND("-",W131)-1)="",0,MID(W131,1,FIND("-",W131)-1))-IF(MID(W131,FIND("-",W131)+1,10)="",0,MID(W131,FIND("-",W131)+1,10)))*($D$21)),)+IFERROR(SUM(($C$130:$C$133=U131)*($D$130:$D$133=V131)*($E$130:$E$133=W131)*($D$22)),)</f>
        <v>0</v>
      </c>
      <c r="Z131" s="868">
        <f t="shared" si="366"/>
        <v>0</v>
      </c>
      <c r="AA131" s="868">
        <f t="shared" si="367"/>
        <v>0</v>
      </c>
      <c r="AB131" s="868" t="str">
        <f t="shared" ref="AB131" si="374">IFERROR(MID(AC131,FIND("|",AC131)+1,10),"-")</f>
        <v>-</v>
      </c>
      <c r="AC131" s="820"/>
      <c r="AD131" cm="1">
        <f t="array" ref="AD131">IFERROR(SUM(($H$130:$H$133=Z131)*($I$130:$I$133=AA131)*($D$20)),)
+IFERROR(SUM(($H$130:$H$133=Z131)*($I$130:$I$133=AA131)*(IF(MID($J$130:$J$133,1,FIND("-",$J$130:$J$133)-1)="",0,MID($J$130:$J$133,1,FIND("-",$J$130:$J$133)-1))-IFERROR(MID($J$130:$J$133,IF($E$130:$E$133="-",0,FIND("-",$J$130:$J$133)+1),10),0)=IF(MID(AB131,1,FIND("-",AB131)-1)="",0,MID(AB131,1,FIND("-",AB131)-1))-IF(MID(AB131,FIND("-",AB131)+1,10)="",0,MID(AB131,FIND("-",AB131)+1,10)))*($D$21)),)
+IFERROR(SUM(($H$130:$H$133=Z131)*($I$130:$I$133=AA131)*($J$130:$J$133=AB131)*($D$22)),)
+IFERROR(SUM(($C$130:$C$133=Z131)*($D$130:$D$133=AA131)*($D$20)),)
+IFERROR(SUM(($C$130:$C$133=Z131)*($D$130:$D$133=AA131)*(IF(MID($E$130:$E$133,1,FIND("-",$E$130:$E$133)-1)="",0,MID($E$130:$E$133,1,FIND("-",$E$130:$E$133)-1))-IFERROR(MID($E$130:$E$133,IF($E$130:$E$133="-",0,FIND("-",$E$130:$E$133)+1),10),0)=IF(MID(AB131,1,FIND("-",AB131)-1)="",0,MID(AB131,1,FIND("-",AB131)-1))-IF(MID(AB131,FIND("-",AB131)+1,10)="",0,MID(AB131,FIND("-",AB131)+1,10)))*($D$21)),)+IFERROR(SUM(($C$130:$C$133=Z131)*($D$130:$D$133=AA131)*($E$130:$E$133=AB131)*($D$22)),)</f>
        <v>0</v>
      </c>
      <c r="AE131" s="868">
        <f t="shared" si="369"/>
        <v>0</v>
      </c>
      <c r="AF131" s="868">
        <f t="shared" si="370"/>
        <v>0</v>
      </c>
      <c r="AG131" s="868" t="str">
        <f t="shared" ref="AG131" si="375">IFERROR(MID(AH131,FIND("|",AH131)+1,10),"-")</f>
        <v>-</v>
      </c>
      <c r="AH131" s="953"/>
      <c r="AI131" cm="1">
        <f t="array" ref="AI131">IFERROR(SUM(($H$130:$H$133=AE131)*($I$130:$I$133=AF131)*($D$20)),)
+IFERROR(SUM(($H$130:$H$133=AE131)*($I$130:$I$133=AF131)*(IF(MID($J$130:$J$133,1,FIND("-",$J$130:$J$133)-1)="",0,MID($J$130:$J$133,1,FIND("-",$J$130:$J$133)-1))-IFERROR(MID($J$130:$J$133,IF($E$130:$E$133="-",0,FIND("-",$J$130:$J$133)+1),10),0)=IF(MID(AG131,1,FIND("-",AG131)-1)="",0,MID(AG131,1,FIND("-",AG131)-1))-IF(MID(AG131,FIND("-",AG131)+1,10)="",0,MID(AG131,FIND("-",AG131)+1,10)))*($D$21)),)
+IFERROR(SUM(($H$130:$H$133=AE131)*($I$130:$I$133=AF131)*($J$130:$J$133=AG131)*($D$22)),)
+IFERROR(SUM(($C$130:$C$133=AE131)*($D$130:$D$133=AF131)*($D$20)),)
+IFERROR(SUM(($C$130:$C$133=AE131)*($D$130:$D$133=AF131)*(IF(MID($E$130:$E$133,1,FIND("-",$E$130:$E$133)-1)="",0,MID($E$130:$E$133,1,FIND("-",$E$130:$E$133)-1))-IFERROR(MID($E$130:$E$133,IF($E$130:$E$133="-",0,FIND("-",$E$130:$E$133)+1),10),0)=IF(MID(AG131,1,FIND("-",AG131)-1)="",0,MID(AG131,1,FIND("-",AG131)-1))-IF(MID(AG131,FIND("-",AG131)+1,10)="",0,MID(AG131,FIND("-",AG131)+1,10)))*($D$21)),)+IFERROR(SUM(($C$130:$C$133=AE131)*($D$130:$D$133=AF131)*($E$130:$E$133=AG131)*($D$22)),)</f>
        <v>0</v>
      </c>
      <c r="AJ131" s="868"/>
      <c r="AK131" s="773"/>
      <c r="AL131" s="773"/>
    </row>
    <row r="132" spans="1:38" ht="15" customHeight="1">
      <c r="A132" s="774"/>
      <c r="B132" s="774"/>
      <c r="C132" s="868" t="str">
        <f>CONCATENATE(MUNDIAL!N82,"-",MUNDIAL!I82)</f>
        <v>W56-W55</v>
      </c>
      <c r="D132" s="868" t="str">
        <f>IF(MUNDIAL!K82&gt;MUNDIAL!L82,2,IF(MUNDIAL!K82&lt;MUNDIAL!L82,1,IF(AND(MUNDIAL!K82=MUNDIAL!L82,MUNDIAL!K82&lt;&gt;"",MUNDIAL!L82&lt;&gt;""),0,"PD")))</f>
        <v>PD</v>
      </c>
      <c r="E132" s="868" t="str">
        <f>CONCATENATE(MUNDIAL!L82,"-",MUNDIAL!K82)</f>
        <v>-</v>
      </c>
      <c r="F132" s="894">
        <v>44905</v>
      </c>
      <c r="G132" s="1050"/>
      <c r="H132" t="str">
        <f>CONCATENATE(MUNDIAL!I82,"-",MUNDIAL!N82)</f>
        <v>W55-W56</v>
      </c>
      <c r="I132" t="str">
        <f>(IF(MUNDIAL!K82&gt;MUNDIAL!L82,1,IF(MUNDIAL!K82&lt;MUNDIAL!L82,2,IF(AND(MUNDIAL!K82=MUNDIAL!L82,MUNDIAL!K82&lt;&gt;"",MUNDIAL!L82&lt;&gt;""),0,"PD"))))</f>
        <v>PD</v>
      </c>
      <c r="J132" s="821" t="str">
        <f>CONCATENATE(MUNDIAL!K82,"-",MUNDIAL!L82)</f>
        <v>-</v>
      </c>
      <c r="K132" s="868">
        <f t="shared" ref="K132:K133" si="376">IFERROR(MID(N132,1,FIND("·",N132)-1),)</f>
        <v>0</v>
      </c>
      <c r="L132" s="868">
        <f t="shared" ref="L132:L133" si="377">IFERROR(VALUE(MID(N132,FIND("·",N132)+1,1)),)</f>
        <v>0</v>
      </c>
      <c r="M132" s="868" t="str">
        <f>IFERROR(MID(N132,FIND("|",N132)+1,10),"-")</f>
        <v>-</v>
      </c>
      <c r="N132" s="953"/>
      <c r="O132" cm="1">
        <f t="array" ref="O132">IFERROR(SUM(($H$130:$H$133=K132)*($I$130:$I$133=L132)*($D$20)),)
+IFERROR(SUM(($H$130:$H$133=K132)*($I$130:$I$133=L132)*(IF(MID($J$130:$J$133,1,FIND("-",$J$130:$J$133)-1)="",0,MID($J$130:$J$133,1,FIND("-",$J$130:$J$133)-1))-IFERROR(MID($J$130:$J$133,IF($E$130:$E$133="-",0,FIND("-",$J$130:$J$133)+1),10),0)=IF(MID(M132,1,FIND("-",M132)-1)="",0,MID(M132,1,FIND("-",M132)-1))-IF(MID(M132,FIND("-",M132)+1,10)="",0,MID(M132,FIND("-",M132)+1,10)))*($D$21)),)
+IFERROR(SUM(($H$130:$H$133=K132)*($I$130:$I$133=L132)*($J$130:$J$133=M132)*($D$22)),)
+IFERROR(SUM(($C$130:$C$133=K132)*($D$130:$D$133=L132)*($D$20)),)
+IFERROR(SUM(($C$130:$C$133=K132)*($D$130:$D$133=L132)*(IF(MID($E$130:$E$133,1,FIND("-",$E$130:$E$133)-1)="",0,MID($E$130:$E$133,1,FIND("-",$E$130:$E$133)-1))-IFERROR(MID($E$130:$E$133,IF($E$130:$E$133="-",0,FIND("-",$E$130:$E$133)+1),10),0)=IF(MID(M132,1,FIND("-",M132)-1)="",0,MID(M132,1,FIND("-",M132)-1))-IF(MID(M132,FIND("-",M132)+1,10)="",0,MID(M132,FIND("-",M132)+1,10)))*($D$21)),)+IFERROR(SUM(($C$130:$C$133=K132)*($D$130:$D$133=L132)*($E$130:$E$133=M132)*($D$22)),)</f>
        <v>0</v>
      </c>
      <c r="P132" s="868">
        <f t="shared" si="360"/>
        <v>0</v>
      </c>
      <c r="Q132" s="868">
        <f t="shared" si="361"/>
        <v>0</v>
      </c>
      <c r="R132" s="868" t="str">
        <f t="shared" ref="R132" si="378">IFERROR(MID(S132,FIND("|",S132)+1,10),"-")</f>
        <v>-</v>
      </c>
      <c r="S132" s="820"/>
      <c r="T132" cm="1">
        <f t="array" ref="T132">IFERROR(SUM(($H$130:$H$133=P132)*($I$130:$I$133=Q132)*($D$20)),)
+IFERROR(SUM(($H$130:$H$133=P132)*($I$130:$I$133=Q132)*(IF(MID($J$130:$J$133,1,FIND("-",$J$130:$J$133)-1)="",0,MID($J$130:$J$133,1,FIND("-",$J$130:$J$133)-1))-IFERROR(MID($J$130:$J$133,IF($E$130:$E$133="-",0,FIND("-",$J$130:$J$133)+1),10),0)=IF(MID(R132,1,FIND("-",R132)-1)="",0,MID(R132,1,FIND("-",R132)-1))-IF(MID(R132,FIND("-",R132)+1,10)="",0,MID(R132,FIND("-",R132)+1,10)))*($D$21)),)
+IFERROR(SUM(($H$130:$H$133=P132)*($I$130:$I$133=Q132)*($J$130:$J$133=R132)*($D$22)),)
+IFERROR(SUM(($C$130:$C$133=P132)*($D$130:$D$133=Q132)*($D$20)),)
+IFERROR(SUM(($C$130:$C$133=P132)*($D$130:$D$133=Q132)*(IF(MID($E$130:$E$133,1,FIND("-",$E$130:$E$133)-1)="",0,MID($E$130:$E$133,1,FIND("-",$E$130:$E$133)-1))-IFERROR(MID($E$130:$E$133,IF($E$130:$E$133="-",0,FIND("-",$E$130:$E$133)+1),10),0)=IF(MID(R132,1,FIND("-",R132)-1)="",0,MID(R132,1,FIND("-",R132)-1))-IF(MID(R132,FIND("-",R132)+1,10)="",0,MID(R132,FIND("-",R132)+1,10)))*($D$21)),)+IFERROR(SUM(($C$130:$C$133=P132)*($D$130:$D$133=Q132)*($E$130:$E$133=R132)*($D$22)),)</f>
        <v>0</v>
      </c>
      <c r="U132" s="868">
        <f t="shared" si="363"/>
        <v>0</v>
      </c>
      <c r="V132" s="868">
        <f t="shared" si="364"/>
        <v>0</v>
      </c>
      <c r="W132" s="868" t="str">
        <f t="shared" ref="W132" si="379">IFERROR(MID(X132,FIND("|",X132)+1,10),"-")</f>
        <v>-</v>
      </c>
      <c r="X132" s="820"/>
      <c r="Y132" cm="1">
        <f t="array" ref="Y132">IFERROR(SUM(($H$130:$H$133=U132)*($I$130:$I$133=V132)*($D$20)),)
+IFERROR(SUM(($H$130:$H$133=U132)*($I$130:$I$133=V132)*(IF(MID($J$130:$J$133,1,FIND("-",$J$130:$J$133)-1)="",0,MID($J$130:$J$133,1,FIND("-",$J$130:$J$133)-1))-IFERROR(MID($J$130:$J$133,IF($E$130:$E$133="-",0,FIND("-",$J$130:$J$133)+1),10),0)=IF(MID(W132,1,FIND("-",W132)-1)="",0,MID(W132,1,FIND("-",W132)-1))-IF(MID(W132,FIND("-",W132)+1,10)="",0,MID(W132,FIND("-",W132)+1,10)))*($D$21)),)
+IFERROR(SUM(($H$130:$H$133=U132)*($I$130:$I$133=V132)*($J$130:$J$133=W132)*($D$22)),)
+IFERROR(SUM(($C$130:$C$133=U132)*($D$130:$D$133=V132)*($D$20)),)
+IFERROR(SUM(($C$130:$C$133=U132)*($D$130:$D$133=V132)*(IF(MID($E$130:$E$133,1,FIND("-",$E$130:$E$133)-1)="",0,MID($E$130:$E$133,1,FIND("-",$E$130:$E$133)-1))-IFERROR(MID($E$130:$E$133,IF($E$130:$E$133="-",0,FIND("-",$E$130:$E$133)+1),10),0)=IF(MID(W132,1,FIND("-",W132)-1)="",0,MID(W132,1,FIND("-",W132)-1))-IF(MID(W132,FIND("-",W132)+1,10)="",0,MID(W132,FIND("-",W132)+1,10)))*($D$21)),)+IFERROR(SUM(($C$130:$C$133=U132)*($D$130:$D$133=V132)*($E$130:$E$133=W132)*($D$22)),)</f>
        <v>0</v>
      </c>
      <c r="Z132" s="868">
        <f t="shared" si="366"/>
        <v>0</v>
      </c>
      <c r="AA132" s="868">
        <f t="shared" si="367"/>
        <v>0</v>
      </c>
      <c r="AB132" s="868" t="str">
        <f t="shared" ref="AB132" si="380">IFERROR(MID(AC132,FIND("|",AC132)+1,10),"-")</f>
        <v>-</v>
      </c>
      <c r="AC132" s="820"/>
      <c r="AD132" cm="1">
        <f t="array" ref="AD132">IFERROR(SUM(($H$130:$H$133=Z132)*($I$130:$I$133=AA132)*($D$20)),)
+IFERROR(SUM(($H$130:$H$133=Z132)*($I$130:$I$133=AA132)*(IF(MID($J$130:$J$133,1,FIND("-",$J$130:$J$133)-1)="",0,MID($J$130:$J$133,1,FIND("-",$J$130:$J$133)-1))-IFERROR(MID($J$130:$J$133,IF($E$130:$E$133="-",0,FIND("-",$J$130:$J$133)+1),10),0)=IF(MID(AB132,1,FIND("-",AB132)-1)="",0,MID(AB132,1,FIND("-",AB132)-1))-IF(MID(AB132,FIND("-",AB132)+1,10)="",0,MID(AB132,FIND("-",AB132)+1,10)))*($D$21)),)
+IFERROR(SUM(($H$130:$H$133=Z132)*($I$130:$I$133=AA132)*($J$130:$J$133=AB132)*($D$22)),)
+IFERROR(SUM(($C$130:$C$133=Z132)*($D$130:$D$133=AA132)*($D$20)),)
+IFERROR(SUM(($C$130:$C$133=Z132)*($D$130:$D$133=AA132)*(IF(MID($E$130:$E$133,1,FIND("-",$E$130:$E$133)-1)="",0,MID($E$130:$E$133,1,FIND("-",$E$130:$E$133)-1))-IFERROR(MID($E$130:$E$133,IF($E$130:$E$133="-",0,FIND("-",$E$130:$E$133)+1),10),0)=IF(MID(AB132,1,FIND("-",AB132)-1)="",0,MID(AB132,1,FIND("-",AB132)-1))-IF(MID(AB132,FIND("-",AB132)+1,10)="",0,MID(AB132,FIND("-",AB132)+1,10)))*($D$21)),)+IFERROR(SUM(($C$130:$C$133=Z132)*($D$130:$D$133=AA132)*($E$130:$E$133=AB132)*($D$22)),)</f>
        <v>0</v>
      </c>
      <c r="AE132" s="868">
        <f t="shared" si="369"/>
        <v>0</v>
      </c>
      <c r="AF132" s="868">
        <f t="shared" si="370"/>
        <v>0</v>
      </c>
      <c r="AG132" s="868" t="str">
        <f t="shared" ref="AG132" si="381">IFERROR(MID(AH132,FIND("|",AH132)+1,10),"-")</f>
        <v>-</v>
      </c>
      <c r="AH132" s="953"/>
      <c r="AI132" cm="1">
        <f t="array" ref="AI132">IFERROR(SUM(($H$130:$H$133=AE132)*($I$130:$I$133=AF132)*($D$20)),)
+IFERROR(SUM(($H$130:$H$133=AE132)*($I$130:$I$133=AF132)*(IF(MID($J$130:$J$133,1,FIND("-",$J$130:$J$133)-1)="",0,MID($J$130:$J$133,1,FIND("-",$J$130:$J$133)-1))-IFERROR(MID($J$130:$J$133,IF($E$130:$E$133="-",0,FIND("-",$J$130:$J$133)+1),10),0)=IF(MID(AG132,1,FIND("-",AG132)-1)="",0,MID(AG132,1,FIND("-",AG132)-1))-IF(MID(AG132,FIND("-",AG132)+1,10)="",0,MID(AG132,FIND("-",AG132)+1,10)))*($D$21)),)
+IFERROR(SUM(($H$130:$H$133=AE132)*($I$130:$I$133=AF132)*($J$130:$J$133=AG132)*($D$22)),)
+IFERROR(SUM(($C$130:$C$133=AE132)*($D$130:$D$133=AF132)*($D$20)),)
+IFERROR(SUM(($C$130:$C$133=AE132)*($D$130:$D$133=AF132)*(IF(MID($E$130:$E$133,1,FIND("-",$E$130:$E$133)-1)="",0,MID($E$130:$E$133,1,FIND("-",$E$130:$E$133)-1))-IFERROR(MID($E$130:$E$133,IF($E$130:$E$133="-",0,FIND("-",$E$130:$E$133)+1),10),0)=IF(MID(AG132,1,FIND("-",AG132)-1)="",0,MID(AG132,1,FIND("-",AG132)-1))-IF(MID(AG132,FIND("-",AG132)+1,10)="",0,MID(AG132,FIND("-",AG132)+1,10)))*($D$21)),)+IFERROR(SUM(($C$130:$C$133=AE132)*($D$130:$D$133=AF132)*($E$130:$E$133=AG132)*($D$22)),)</f>
        <v>0</v>
      </c>
      <c r="AJ132" s="868"/>
      <c r="AK132" s="773"/>
      <c r="AL132" s="773"/>
    </row>
    <row r="133" spans="1:38" ht="15" customHeight="1">
      <c r="A133" s="774"/>
      <c r="B133" s="774"/>
      <c r="C133" s="868" t="str">
        <f>CONCATENATE(MUNDIAL!N83,"-",MUNDIAL!I83)</f>
        <v>W52-W51</v>
      </c>
      <c r="D133" s="868" t="str">
        <f>IF(MUNDIAL!K83&gt;MUNDIAL!L83,2,IF(MUNDIAL!K83&lt;MUNDIAL!L83,1,IF(AND(MUNDIAL!K83=MUNDIAL!L83,MUNDIAL!K83&lt;&gt;"",MUNDIAL!L83&lt;&gt;""),0,"PD")))</f>
        <v>PD</v>
      </c>
      <c r="E133" s="868" t="str">
        <f>CONCATENATE(MUNDIAL!L83,"-",MUNDIAL!K83)</f>
        <v>-</v>
      </c>
      <c r="F133" s="894">
        <v>44905</v>
      </c>
      <c r="G133" s="1051"/>
      <c r="H133" s="825" t="str">
        <f>CONCATENATE(MUNDIAL!I83,"-",MUNDIAL!N83)</f>
        <v>W51-W52</v>
      </c>
      <c r="I133" s="814" t="str">
        <f>(IF(MUNDIAL!K83&gt;MUNDIAL!L83,1,IF(MUNDIAL!K83&lt;MUNDIAL!L83,2,IF(AND(MUNDIAL!K83=MUNDIAL!L83,MUNDIAL!K83&lt;&gt;"",MUNDIAL!L83&lt;&gt;""),0,"PD"))))</f>
        <v>PD</v>
      </c>
      <c r="J133" s="823" t="str">
        <f>CONCATENATE(MUNDIAL!K83,"-",MUNDIAL!L83)</f>
        <v>-</v>
      </c>
      <c r="K133" s="868">
        <f t="shared" si="376"/>
        <v>0</v>
      </c>
      <c r="L133" s="868">
        <f t="shared" si="377"/>
        <v>0</v>
      </c>
      <c r="M133" s="868" t="str">
        <f>IFERROR(MID(N133,FIND("|",N133)+1,10),"-")</f>
        <v>-</v>
      </c>
      <c r="N133" s="953"/>
      <c r="O133" cm="1">
        <f t="array" ref="O133">IFERROR(SUM(($H$130:$H$133=K133)*($I$130:$I$133=L133)*($D$20)),)
+IFERROR(SUM(($H$130:$H$133=K133)*($I$130:$I$133=L133)*(IF(MID($J$130:$J$133,1,FIND("-",$J$130:$J$133)-1)="",0,MID($J$130:$J$133,1,FIND("-",$J$130:$J$133)-1))-IFERROR(MID($J$130:$J$133,IF($E$130:$E$133="-",0,FIND("-",$J$130:$J$133)+1),10),0)=IF(MID(M133,1,FIND("-",M133)-1)="",0,MID(M133,1,FIND("-",M133)-1))-IF(MID(M133,FIND("-",M133)+1,10)="",0,MID(M133,FIND("-",M133)+1,10)))*($D$21)),)
+IFERROR(SUM(($H$130:$H$133=K133)*($I$130:$I$133=L133)*($J$130:$J$133=M133)*($D$22)),)
+IFERROR(SUM(($C$130:$C$133=K133)*($D$130:$D$133=L133)*($D$20)),)
+IFERROR(SUM(($C$130:$C$133=K133)*($D$130:$D$133=L133)*(IF(MID($E$130:$E$133,1,FIND("-",$E$130:$E$133)-1)="",0,MID($E$130:$E$133,1,FIND("-",$E$130:$E$133)-1))-IFERROR(MID($E$130:$E$133,IF($E$130:$E$133="-",0,FIND("-",$E$130:$E$133)+1),10),0)=IF(MID(M133,1,FIND("-",M133)-1)="",0,MID(M133,1,FIND("-",M133)-1))-IF(MID(M133,FIND("-",M133)+1,10)="",0,MID(M133,FIND("-",M133)+1,10)))*($D$21)),)+IFERROR(SUM(($C$130:$C$133=K133)*($D$130:$D$133=L133)*($E$130:$E$133=M133)*($D$22)),)</f>
        <v>0</v>
      </c>
      <c r="P133" s="868">
        <f t="shared" si="360"/>
        <v>0</v>
      </c>
      <c r="Q133" s="868">
        <f t="shared" si="361"/>
        <v>0</v>
      </c>
      <c r="R133" s="868" t="str">
        <f t="shared" ref="R133" si="382">IFERROR(MID(S133,FIND("|",S133)+1,10),"-")</f>
        <v>-</v>
      </c>
      <c r="S133" s="820"/>
      <c r="T133" cm="1">
        <f t="array" ref="T133">IFERROR(SUM(($H$130:$H$133=P133)*($I$130:$I$133=Q133)*($D$20)),)
+IFERROR(SUM(($H$130:$H$133=P133)*($I$130:$I$133=Q133)*(IF(MID($J$130:$J$133,1,FIND("-",$J$130:$J$133)-1)="",0,MID($J$130:$J$133,1,FIND("-",$J$130:$J$133)-1))-IFERROR(MID($J$130:$J$133,IF($E$130:$E$133="-",0,FIND("-",$J$130:$J$133)+1),10),0)=IF(MID(R133,1,FIND("-",R133)-1)="",0,MID(R133,1,FIND("-",R133)-1))-IF(MID(R133,FIND("-",R133)+1,10)="",0,MID(R133,FIND("-",R133)+1,10)))*($D$21)),)
+IFERROR(SUM(($H$130:$H$133=P133)*($I$130:$I$133=Q133)*($J$130:$J$133=R133)*($D$22)),)
+IFERROR(SUM(($C$130:$C$133=P133)*($D$130:$D$133=Q133)*($D$20)),)
+IFERROR(SUM(($C$130:$C$133=P133)*($D$130:$D$133=Q133)*(IF(MID($E$130:$E$133,1,FIND("-",$E$130:$E$133)-1)="",0,MID($E$130:$E$133,1,FIND("-",$E$130:$E$133)-1))-IFERROR(MID($E$130:$E$133,IF($E$130:$E$133="-",0,FIND("-",$E$130:$E$133)+1),10),0)=IF(MID(R133,1,FIND("-",R133)-1)="",0,MID(R133,1,FIND("-",R133)-1))-IF(MID(R133,FIND("-",R133)+1,10)="",0,MID(R133,FIND("-",R133)+1,10)))*($D$21)),)+IFERROR(SUM(($C$130:$C$133=P133)*($D$130:$D$133=Q133)*($E$130:$E$133=R133)*($D$22)),)</f>
        <v>0</v>
      </c>
      <c r="U133" s="868">
        <f t="shared" si="363"/>
        <v>0</v>
      </c>
      <c r="V133" s="868">
        <f t="shared" si="364"/>
        <v>0</v>
      </c>
      <c r="W133" s="868" t="str">
        <f t="shared" ref="W133" si="383">IFERROR(MID(X133,FIND("|",X133)+1,10),"-")</f>
        <v>-</v>
      </c>
      <c r="X133" s="820"/>
      <c r="Y133" cm="1">
        <f t="array" ref="Y133">IFERROR(SUM(($H$130:$H$133=U133)*($I$130:$I$133=V133)*($D$20)),)
+IFERROR(SUM(($H$130:$H$133=U133)*($I$130:$I$133=V133)*(IF(MID($J$130:$J$133,1,FIND("-",$J$130:$J$133)-1)="",0,MID($J$130:$J$133,1,FIND("-",$J$130:$J$133)-1))-IFERROR(MID($J$130:$J$133,IF($E$130:$E$133="-",0,FIND("-",$J$130:$J$133)+1),10),0)=IF(MID(W133,1,FIND("-",W133)-1)="",0,MID(W133,1,FIND("-",W133)-1))-IF(MID(W133,FIND("-",W133)+1,10)="",0,MID(W133,FIND("-",W133)+1,10)))*($D$21)),)
+IFERROR(SUM(($H$130:$H$133=U133)*($I$130:$I$133=V133)*($J$130:$J$133=W133)*($D$22)),)
+IFERROR(SUM(($C$130:$C$133=U133)*($D$130:$D$133=V133)*($D$20)),)
+IFERROR(SUM(($C$130:$C$133=U133)*($D$130:$D$133=V133)*(IF(MID($E$130:$E$133,1,FIND("-",$E$130:$E$133)-1)="",0,MID($E$130:$E$133,1,FIND("-",$E$130:$E$133)-1))-IFERROR(MID($E$130:$E$133,IF($E$130:$E$133="-",0,FIND("-",$E$130:$E$133)+1),10),0)=IF(MID(W133,1,FIND("-",W133)-1)="",0,MID(W133,1,FIND("-",W133)-1))-IF(MID(W133,FIND("-",W133)+1,10)="",0,MID(W133,FIND("-",W133)+1,10)))*($D$21)),)+IFERROR(SUM(($C$130:$C$133=U133)*($D$130:$D$133=V133)*($E$130:$E$133=W133)*($D$22)),)</f>
        <v>0</v>
      </c>
      <c r="Z133" s="868">
        <f t="shared" si="366"/>
        <v>0</v>
      </c>
      <c r="AA133" s="868">
        <f t="shared" si="367"/>
        <v>0</v>
      </c>
      <c r="AB133" s="868" t="str">
        <f t="shared" ref="AB133" si="384">IFERROR(MID(AC133,FIND("|",AC133)+1,10),"-")</f>
        <v>-</v>
      </c>
      <c r="AC133" s="820"/>
      <c r="AD133" cm="1">
        <f t="array" ref="AD133">IFERROR(SUM(($H$130:$H$133=Z133)*($I$130:$I$133=AA133)*($D$20)),)
+IFERROR(SUM(($H$130:$H$133=Z133)*($I$130:$I$133=AA133)*(IF(MID($J$130:$J$133,1,FIND("-",$J$130:$J$133)-1)="",0,MID($J$130:$J$133,1,FIND("-",$J$130:$J$133)-1))-IFERROR(MID($J$130:$J$133,IF($E$130:$E$133="-",0,FIND("-",$J$130:$J$133)+1),10),0)=IF(MID(AB133,1,FIND("-",AB133)-1)="",0,MID(AB133,1,FIND("-",AB133)-1))-IF(MID(AB133,FIND("-",AB133)+1,10)="",0,MID(AB133,FIND("-",AB133)+1,10)))*($D$21)),)
+IFERROR(SUM(($H$130:$H$133=Z133)*($I$130:$I$133=AA133)*($J$130:$J$133=AB133)*($D$22)),)
+IFERROR(SUM(($C$130:$C$133=Z133)*($D$130:$D$133=AA133)*($D$20)),)
+IFERROR(SUM(($C$130:$C$133=Z133)*($D$130:$D$133=AA133)*(IF(MID($E$130:$E$133,1,FIND("-",$E$130:$E$133)-1)="",0,MID($E$130:$E$133,1,FIND("-",$E$130:$E$133)-1))-IFERROR(MID($E$130:$E$133,IF($E$130:$E$133="-",0,FIND("-",$E$130:$E$133)+1),10),0)=IF(MID(AB133,1,FIND("-",AB133)-1)="",0,MID(AB133,1,FIND("-",AB133)-1))-IF(MID(AB133,FIND("-",AB133)+1,10)="",0,MID(AB133,FIND("-",AB133)+1,10)))*($D$21)),)+IFERROR(SUM(($C$130:$C$133=Z133)*($D$130:$D$133=AA133)*($E$130:$E$133=AB133)*($D$22)),)</f>
        <v>0</v>
      </c>
      <c r="AE133" s="868">
        <f t="shared" si="369"/>
        <v>0</v>
      </c>
      <c r="AF133" s="868">
        <f t="shared" si="370"/>
        <v>0</v>
      </c>
      <c r="AG133" s="868" t="str">
        <f t="shared" ref="AG133" si="385">IFERROR(MID(AH133,FIND("|",AH133)+1,10),"-")</f>
        <v>-</v>
      </c>
      <c r="AH133" s="953"/>
      <c r="AI133" cm="1">
        <f t="array" ref="AI133">IFERROR(SUM(($H$130:$H$133=AE133)*($I$130:$I$133=AF133)*($D$20)),)
+IFERROR(SUM(($H$130:$H$133=AE133)*($I$130:$I$133=AF133)*(IF(MID($J$130:$J$133,1,FIND("-",$J$130:$J$133)-1)="",0,MID($J$130:$J$133,1,FIND("-",$J$130:$J$133)-1))-IFERROR(MID($J$130:$J$133,IF($E$130:$E$133="-",0,FIND("-",$J$130:$J$133)+1),10),0)=IF(MID(AG133,1,FIND("-",AG133)-1)="",0,MID(AG133,1,FIND("-",AG133)-1))-IF(MID(AG133,FIND("-",AG133)+1,10)="",0,MID(AG133,FIND("-",AG133)+1,10)))*($D$21)),)
+IFERROR(SUM(($H$130:$H$133=AE133)*($I$130:$I$133=AF133)*($J$130:$J$133=AG133)*($D$22)),)
+IFERROR(SUM(($C$130:$C$133=AE133)*($D$130:$D$133=AF133)*($D$20)),)
+IFERROR(SUM(($C$130:$C$133=AE133)*($D$130:$D$133=AF133)*(IF(MID($E$130:$E$133,1,FIND("-",$E$130:$E$133)-1)="",0,MID($E$130:$E$133,1,FIND("-",$E$130:$E$133)-1))-IFERROR(MID($E$130:$E$133,IF($E$130:$E$133="-",0,FIND("-",$E$130:$E$133)+1),10),0)=IF(MID(AG133,1,FIND("-",AG133)-1)="",0,MID(AG133,1,FIND("-",AG133)-1))-IF(MID(AG133,FIND("-",AG133)+1,10)="",0,MID(AG133,FIND("-",AG133)+1,10)))*($D$21)),)+IFERROR(SUM(($C$130:$C$133=AE133)*($D$130:$D$133=AF133)*($E$130:$E$133=AG133)*($D$22)),)</f>
        <v>0</v>
      </c>
      <c r="AJ133" s="868"/>
      <c r="AK133" s="773"/>
      <c r="AL133" s="773"/>
    </row>
    <row r="134" spans="1:38">
      <c r="A134" s="774"/>
      <c r="B134" s="774"/>
      <c r="C134" s="868"/>
      <c r="D134" s="868"/>
      <c r="E134" s="868"/>
      <c r="F134" s="894"/>
      <c r="G134" s="774"/>
      <c r="H134" s="774"/>
      <c r="I134" s="774"/>
      <c r="J134" s="152"/>
      <c r="K134" s="868"/>
      <c r="L134" s="868"/>
      <c r="M134" s="868"/>
      <c r="N134" s="957"/>
      <c r="O134" s="782" t="str">
        <f>CONCATENATE(SUM(O130:O133),"/",SUM($D$20:$D$22)*COUNT(O130:O133))</f>
        <v>0/0</v>
      </c>
      <c r="P134" s="868"/>
      <c r="Q134" s="868"/>
      <c r="R134" s="868"/>
      <c r="S134" s="816"/>
      <c r="T134" s="782" t="str">
        <f t="shared" ref="T134" si="386">CONCATENATE(SUM(T130:T133),"/",SUM($D$20:$D$22)*COUNT(T130:T133))</f>
        <v>0/0</v>
      </c>
      <c r="U134" s="868"/>
      <c r="V134" s="868"/>
      <c r="W134" s="868"/>
      <c r="X134" s="816"/>
      <c r="Y134" s="782" t="str">
        <f t="shared" ref="Y134" si="387">CONCATENATE(SUM(Y130:Y133),"/",SUM($D$20:$D$22)*COUNT(Y130:Y133))</f>
        <v>0/0</v>
      </c>
      <c r="Z134" s="868"/>
      <c r="AA134" s="868"/>
      <c r="AB134" s="868"/>
      <c r="AC134" s="816"/>
      <c r="AD134" s="782" t="str">
        <f t="shared" ref="AD134" si="388">CONCATENATE(SUM(AD130:AD133),"/",SUM($D$20:$D$22)*COUNT(AD130:AD133))</f>
        <v>0/0</v>
      </c>
      <c r="AE134" s="868"/>
      <c r="AF134" s="868"/>
      <c r="AG134" s="868"/>
      <c r="AH134" s="957"/>
      <c r="AI134" s="782" t="str">
        <f t="shared" ref="AI134" si="389">CONCATENATE(SUM(AI130:AI133),"/",SUM($D$20:$D$22)*COUNT(AI130:AI133))</f>
        <v>0/0</v>
      </c>
      <c r="AJ134" s="868"/>
      <c r="AK134" s="773"/>
      <c r="AL134" s="773"/>
    </row>
    <row r="135" spans="1:38" ht="16">
      <c r="A135" s="774"/>
      <c r="B135" s="774"/>
      <c r="C135" s="868"/>
      <c r="D135" s="868"/>
      <c r="E135" s="868"/>
      <c r="F135" s="894"/>
      <c r="G135" s="817"/>
      <c r="H135" s="883" t="s">
        <v>308</v>
      </c>
      <c r="I135" s="883"/>
      <c r="J135" s="885"/>
      <c r="K135" s="868"/>
      <c r="L135" s="868"/>
      <c r="M135" s="868"/>
      <c r="N135" s="957"/>
      <c r="O135" s="774"/>
      <c r="P135" s="868"/>
      <c r="Q135" s="868"/>
      <c r="R135" s="868"/>
      <c r="S135" s="816"/>
      <c r="T135" s="774"/>
      <c r="U135" s="868"/>
      <c r="V135" s="868"/>
      <c r="W135" s="868"/>
      <c r="X135" s="816"/>
      <c r="Y135" s="774"/>
      <c r="Z135" s="868"/>
      <c r="AA135" s="868"/>
      <c r="AB135" s="868"/>
      <c r="AC135" s="816"/>
      <c r="AD135" s="774"/>
      <c r="AE135" s="868"/>
      <c r="AF135" s="868"/>
      <c r="AG135" s="868"/>
      <c r="AH135" s="957"/>
      <c r="AI135" s="774"/>
      <c r="AJ135" s="868"/>
      <c r="AK135" s="773"/>
      <c r="AL135" s="773"/>
    </row>
    <row r="136" spans="1:38" ht="15" customHeight="1">
      <c r="A136" s="774"/>
      <c r="B136" s="774"/>
      <c r="C136" s="868"/>
      <c r="D136" s="868"/>
      <c r="E136" s="868"/>
      <c r="F136" s="894">
        <v>44904</v>
      </c>
      <c r="G136" s="1036" t="s">
        <v>79</v>
      </c>
      <c r="H136" s="818" t="s">
        <v>430</v>
      </c>
      <c r="I136" s="819"/>
      <c r="J136" s="905" t="str">
        <f>MUNDIAL!I86</f>
        <v>W57</v>
      </c>
      <c r="K136" s="868"/>
      <c r="L136" s="868"/>
      <c r="M136" s="868"/>
      <c r="N136" s="953"/>
      <c r="O136">
        <f>COUNTIF($J$136:$J$139,N136)*$D$23</f>
        <v>0</v>
      </c>
      <c r="P136" s="868"/>
      <c r="Q136" s="868"/>
      <c r="R136" s="868"/>
      <c r="S136" s="820"/>
      <c r="T136">
        <f t="shared" ref="T136" si="390">COUNTIF($J$136:$J$139,S136)*$D$23</f>
        <v>0</v>
      </c>
      <c r="U136" s="868"/>
      <c r="V136" s="868"/>
      <c r="W136" s="868"/>
      <c r="X136" s="820"/>
      <c r="Y136">
        <f t="shared" ref="Y136" si="391">COUNTIF($J$136:$J$139,X136)*$D$23</f>
        <v>0</v>
      </c>
      <c r="Z136" s="868"/>
      <c r="AA136" s="868"/>
      <c r="AB136" s="868"/>
      <c r="AC136" s="820"/>
      <c r="AD136">
        <f t="shared" ref="AD136" si="392">COUNTIF($J$136:$J$139,AC136)*$D$23</f>
        <v>0</v>
      </c>
      <c r="AE136" s="868"/>
      <c r="AF136" s="868"/>
      <c r="AG136" s="868"/>
      <c r="AH136" s="953"/>
      <c r="AI136">
        <f t="shared" ref="AI136" si="393">COUNTIF($J$136:$J$139,AH136)*$D$23</f>
        <v>0</v>
      </c>
      <c r="AJ136" s="868"/>
      <c r="AK136" s="773"/>
      <c r="AL136" s="773"/>
    </row>
    <row r="137" spans="1:38" ht="15" customHeight="1">
      <c r="A137" s="774"/>
      <c r="B137" s="774"/>
      <c r="C137" s="868"/>
      <c r="D137" s="868"/>
      <c r="E137" s="868"/>
      <c r="F137" s="894">
        <v>44905</v>
      </c>
      <c r="G137" s="1037"/>
      <c r="H137" s="9" t="s">
        <v>431</v>
      </c>
      <c r="I137" s="821"/>
      <c r="J137" s="821" t="str">
        <f>MUNDIAL!I87</f>
        <v>W59</v>
      </c>
      <c r="K137" s="868"/>
      <c r="L137" s="868"/>
      <c r="M137" s="868"/>
      <c r="N137" s="953"/>
      <c r="O137">
        <f>COUNTIF($J$136:$J$139,N137)*$D$23</f>
        <v>0</v>
      </c>
      <c r="P137" s="868"/>
      <c r="Q137" s="868"/>
      <c r="R137" s="868"/>
      <c r="S137" s="820"/>
      <c r="T137">
        <f t="shared" ref="T137" si="394">COUNTIF($J$136:$J$139,S137)*$D$23</f>
        <v>0</v>
      </c>
      <c r="U137" s="868"/>
      <c r="V137" s="868"/>
      <c r="W137" s="868"/>
      <c r="X137" s="820"/>
      <c r="Y137">
        <f t="shared" ref="Y137" si="395">COUNTIF($J$136:$J$139,X137)*$D$23</f>
        <v>0</v>
      </c>
      <c r="Z137" s="868"/>
      <c r="AA137" s="868"/>
      <c r="AB137" s="868"/>
      <c r="AC137" s="820"/>
      <c r="AD137">
        <f t="shared" ref="AD137" si="396">COUNTIF($J$136:$J$139,AC137)*$D$23</f>
        <v>0</v>
      </c>
      <c r="AE137" s="868"/>
      <c r="AF137" s="868"/>
      <c r="AG137" s="868"/>
      <c r="AH137" s="953"/>
      <c r="AI137">
        <f t="shared" ref="AI137" si="397">COUNTIF($J$136:$J$139,AH137)*$D$23</f>
        <v>0</v>
      </c>
      <c r="AJ137" s="868"/>
      <c r="AK137" s="773"/>
      <c r="AL137" s="773"/>
    </row>
    <row r="138" spans="1:38" ht="15" customHeight="1">
      <c r="A138" s="774"/>
      <c r="B138" s="774"/>
      <c r="C138" s="868"/>
      <c r="D138" s="868"/>
      <c r="E138" s="868"/>
      <c r="F138" s="894">
        <v>44904</v>
      </c>
      <c r="G138" s="1037"/>
      <c r="H138" s="9" t="s">
        <v>432</v>
      </c>
      <c r="I138" s="821"/>
      <c r="J138" s="821" t="str">
        <f>MUNDIAL!N86</f>
        <v>W58</v>
      </c>
      <c r="K138" s="868"/>
      <c r="L138" s="868"/>
      <c r="M138" s="868"/>
      <c r="N138" s="953"/>
      <c r="O138">
        <f>COUNTIF($J$136:$J$139,N138)*$D$23</f>
        <v>0</v>
      </c>
      <c r="P138" s="868"/>
      <c r="Q138" s="868"/>
      <c r="R138" s="868"/>
      <c r="S138" s="820"/>
      <c r="T138">
        <f t="shared" ref="T138" si="398">COUNTIF($J$136:$J$139,S138)*$D$23</f>
        <v>0</v>
      </c>
      <c r="U138" s="868"/>
      <c r="V138" s="868"/>
      <c r="W138" s="868"/>
      <c r="X138" s="820"/>
      <c r="Y138">
        <f t="shared" ref="Y138" si="399">COUNTIF($J$136:$J$139,X138)*$D$23</f>
        <v>0</v>
      </c>
      <c r="Z138" s="868"/>
      <c r="AA138" s="868"/>
      <c r="AB138" s="868"/>
      <c r="AC138" s="820"/>
      <c r="AD138">
        <f t="shared" ref="AD138" si="400">COUNTIF($J$136:$J$139,AC138)*$D$23</f>
        <v>0</v>
      </c>
      <c r="AE138" s="868"/>
      <c r="AF138" s="868"/>
      <c r="AG138" s="868"/>
      <c r="AH138" s="953"/>
      <c r="AI138">
        <f t="shared" ref="AI138" si="401">COUNTIF($J$136:$J$139,AH138)*$D$23</f>
        <v>0</v>
      </c>
      <c r="AJ138" s="868"/>
      <c r="AK138" s="773"/>
      <c r="AL138" s="773"/>
    </row>
    <row r="139" spans="1:38" ht="15" customHeight="1">
      <c r="A139" s="774"/>
      <c r="B139" s="774"/>
      <c r="C139" s="868"/>
      <c r="D139" s="868"/>
      <c r="E139" s="868"/>
      <c r="F139" s="894">
        <v>44905</v>
      </c>
      <c r="G139" s="1038"/>
      <c r="H139" s="822" t="s">
        <v>433</v>
      </c>
      <c r="I139" s="823"/>
      <c r="J139" s="823" t="str">
        <f>MUNDIAL!N87</f>
        <v>W60</v>
      </c>
      <c r="K139" s="868"/>
      <c r="L139" s="868"/>
      <c r="M139" s="868"/>
      <c r="N139" s="953"/>
      <c r="O139">
        <f>COUNTIF($J$136:$J$139,N139)*$D$23</f>
        <v>0</v>
      </c>
      <c r="P139" s="868"/>
      <c r="Q139" s="868"/>
      <c r="R139" s="868"/>
      <c r="S139" s="820"/>
      <c r="T139">
        <f t="shared" ref="T139" si="402">COUNTIF($J$136:$J$139,S139)*$D$23</f>
        <v>0</v>
      </c>
      <c r="U139" s="868"/>
      <c r="V139" s="868"/>
      <c r="W139" s="868"/>
      <c r="X139" s="820"/>
      <c r="Y139">
        <f t="shared" ref="Y139" si="403">COUNTIF($J$136:$J$139,X139)*$D$23</f>
        <v>0</v>
      </c>
      <c r="Z139" s="868"/>
      <c r="AA139" s="868"/>
      <c r="AB139" s="868"/>
      <c r="AC139" s="820"/>
      <c r="AD139">
        <f t="shared" ref="AD139" si="404">COUNTIF($J$136:$J$139,AC139)*$D$23</f>
        <v>0</v>
      </c>
      <c r="AE139" s="868"/>
      <c r="AF139" s="868"/>
      <c r="AG139" s="868"/>
      <c r="AH139" s="953"/>
      <c r="AI139">
        <f t="shared" ref="AI139" si="405">COUNTIF($J$136:$J$139,AH139)*$D$23</f>
        <v>0</v>
      </c>
      <c r="AJ139" s="868"/>
      <c r="AK139" s="773"/>
      <c r="AL139" s="773"/>
    </row>
    <row r="140" spans="1:38">
      <c r="A140" s="774"/>
      <c r="B140" s="774"/>
      <c r="C140" s="868"/>
      <c r="D140" s="868"/>
      <c r="E140" s="868"/>
      <c r="F140" s="895"/>
      <c r="G140" s="774"/>
      <c r="H140" s="782"/>
      <c r="I140" s="774"/>
      <c r="J140" s="152"/>
      <c r="K140" s="868"/>
      <c r="L140" s="868"/>
      <c r="M140" s="868"/>
      <c r="N140" s="957"/>
      <c r="O140" s="782" t="str">
        <f>CONCATENATE(SUM(O136:O139),"/",$D$23*COUNT(O136:O139))</f>
        <v>0/0</v>
      </c>
      <c r="P140" s="868"/>
      <c r="Q140" s="868"/>
      <c r="R140" s="868"/>
      <c r="S140" s="816"/>
      <c r="T140" s="782" t="str">
        <f t="shared" ref="T140" si="406">CONCATENATE(SUM(T136:T139),"/",$D$23*COUNT(T136:T139))</f>
        <v>0/0</v>
      </c>
      <c r="U140" s="868"/>
      <c r="V140" s="868"/>
      <c r="W140" s="868"/>
      <c r="X140" s="816"/>
      <c r="Y140" s="782" t="str">
        <f t="shared" ref="Y140" si="407">CONCATENATE(SUM(Y136:Y139),"/",$D$23*COUNT(Y136:Y139))</f>
        <v>0/0</v>
      </c>
      <c r="Z140" s="868"/>
      <c r="AA140" s="868"/>
      <c r="AB140" s="868"/>
      <c r="AC140" s="816"/>
      <c r="AD140" s="782" t="str">
        <f t="shared" ref="AD140" si="408">CONCATENATE(SUM(AD136:AD139),"/",$D$23*COUNT(AD136:AD139))</f>
        <v>0/0</v>
      </c>
      <c r="AE140" s="868"/>
      <c r="AF140" s="868"/>
      <c r="AG140" s="868"/>
      <c r="AH140" s="957"/>
      <c r="AI140" s="782" t="str">
        <f t="shared" ref="AI140" si="409">CONCATENATE(SUM(AI136:AI139),"/",$D$23*COUNT(AI136:AI139))</f>
        <v>0/0</v>
      </c>
      <c r="AJ140" s="868"/>
      <c r="AK140" s="773"/>
      <c r="AL140" s="773"/>
    </row>
    <row r="141" spans="1:38" ht="16">
      <c r="A141" s="774"/>
      <c r="B141" s="774"/>
      <c r="C141" s="868"/>
      <c r="D141" s="868"/>
      <c r="E141" s="868"/>
      <c r="F141" s="895"/>
      <c r="G141" s="826"/>
      <c r="H141" s="882" t="s">
        <v>309</v>
      </c>
      <c r="I141" s="882"/>
      <c r="J141" s="904"/>
      <c r="K141" s="868"/>
      <c r="L141" s="868"/>
      <c r="M141" s="868"/>
      <c r="N141" s="957"/>
      <c r="O141" s="774"/>
      <c r="P141" s="868"/>
      <c r="Q141" s="868"/>
      <c r="R141" s="868"/>
      <c r="S141" s="816"/>
      <c r="T141" s="774"/>
      <c r="U141" s="868"/>
      <c r="V141" s="868"/>
      <c r="W141" s="868"/>
      <c r="X141" s="816"/>
      <c r="Y141" s="774"/>
      <c r="Z141" s="868"/>
      <c r="AA141" s="868"/>
      <c r="AB141" s="868"/>
      <c r="AC141" s="816"/>
      <c r="AD141" s="774"/>
      <c r="AE141" s="868"/>
      <c r="AF141" s="868"/>
      <c r="AG141" s="868"/>
      <c r="AH141" s="957"/>
      <c r="AI141" s="774"/>
      <c r="AJ141" s="868"/>
      <c r="AK141" s="773"/>
      <c r="AL141" s="773"/>
    </row>
    <row r="142" spans="1:38" ht="15" customHeight="1">
      <c r="A142" s="774"/>
      <c r="B142" s="774"/>
      <c r="C142" s="868" t="str">
        <f>CONCATENATE(MUNDIAL!N86,"-",MUNDIAL!I86)</f>
        <v>W58-W57</v>
      </c>
      <c r="D142" s="868" t="str">
        <f>IF(MUNDIAL!K86&gt;MUNDIAL!L86,2,IF(MUNDIAL!K86&lt;MUNDIAL!L86,1,IF(AND(MUNDIAL!K86=MUNDIAL!L86,MUNDIAL!K86&lt;&gt;"",MUNDIAL!L86&lt;&gt;""),0,"PD")))</f>
        <v>PD</v>
      </c>
      <c r="E142" s="868" t="str">
        <f>CONCATENATE(MUNDIAL!L86,"-",MUNDIAL!K86)</f>
        <v>-</v>
      </c>
      <c r="F142" s="894">
        <v>44908</v>
      </c>
      <c r="G142" s="1045" t="s">
        <v>79</v>
      </c>
      <c r="H142" s="824" t="str">
        <f>CONCATENATE(MUNDIAL!I86,"-",MUNDIAL!N86)</f>
        <v>W57-W58</v>
      </c>
      <c r="I142" s="793" t="str">
        <f>(IF(MUNDIAL!K86&gt;MUNDIAL!L86,1,IF(MUNDIAL!K86&lt;MUNDIAL!L86,2,IF(AND(MUNDIAL!K86=MUNDIAL!L86,MUNDIAL!K86&lt;&gt;"",MUNDIAL!L86&lt;&gt;""),0,"PD"))))</f>
        <v>PD</v>
      </c>
      <c r="J142" s="821" t="str">
        <f>CONCATENATE(MUNDIAL!K86,"-",MUNDIAL!L86)</f>
        <v>-</v>
      </c>
      <c r="K142" s="868">
        <f>IFERROR(MID(N142,1,FIND("·",N142)-1),)</f>
        <v>0</v>
      </c>
      <c r="L142" s="868">
        <f>IFERROR(VALUE(MID(N142,FIND("·",N142)+1,1)),)</f>
        <v>0</v>
      </c>
      <c r="M142" s="868" t="str">
        <f>IFERROR(MID(N142,FIND("|",N142)+1,10),"-")</f>
        <v>-</v>
      </c>
      <c r="N142" s="958" t="s">
        <v>310</v>
      </c>
      <c r="O142" cm="1">
        <f t="array" ref="O142">IFERROR(SUM(($H$142:$H$143=K142)*($I$142:$I$143=L142)*($D$24)),)
+IFERROR(SUM(($H$142:$H$143=K142)*($I$142:$I$143=L142)*(IF(MID($J$142:$J$143,1,FIND("-",$J$142:$J$143)-1)="",0,MID($J$142:$J$143,1,FIND("-",$J$142:$J$143)-1))-IFERROR(MID($J$142:$J$143,IF($E$142:$E$143="-",0,FIND("-",$J$142:$J$143)+1),10),0)=IF(MID(M142,1,FIND("-",M142)-1)="",0,MID(M142,1,FIND("-",M142)-1))-IF(MID(M142,FIND("-",M142)+1,10)="",0,MID(M142,FIND("-",M142)+1,10)))*($D$25)),)
+IFERROR(SUM(($H$142:$H$143=K142)*($I$142:$I$143=L142)*($J$142:$J$143=M142)*($D$26)),)
+IFERROR(SUM(($C$142:$C$143=K142)*($D$142:$D$143=L142)*($D$24)),)
+IFERROR(SUM(($C$142:$C$143=K142)*($D$142:$D$143=L142)*(IF(MID($E$142:$E$143,1,FIND("-",$E$142:$E$143)-1)="",0,MID($E$142:$E$143,1,FIND("-",$E$142:$E$143)-1))-IFERROR(MID($E$142:$E$143,IF($E$142:$E$143="-",0,FIND("-",$E$142:$E$143)+1),10),0)=IF(MID(M142,1,FIND("-",M142)-1)="",0,MID(M142,1,FIND("-",M142)-1))-IF(MID(M142,FIND("-",M142)+1,10)="",0,MID(M142,FIND("-",M142)+1,10)))*($D$25)),)+IFERROR(SUM(($C$142:$C$143=K142)*($D$142:$D$143=L142)*($E$142:$E$143=M142)*($D$26)),)</f>
        <v>0</v>
      </c>
      <c r="P142" s="868">
        <f t="shared" ref="P142:P143" si="410">IFERROR(MID(S142,1,FIND("·",S142)-1),)</f>
        <v>0</v>
      </c>
      <c r="Q142" s="868">
        <f t="shared" ref="Q142:Q143" si="411">IFERROR(VALUE(MID(S142,FIND("·",S142)+1,1)),)</f>
        <v>0</v>
      </c>
      <c r="R142" s="868" t="str">
        <f t="shared" ref="R142" si="412">IFERROR(MID(S142,FIND("|",S142)+1,10),"-")</f>
        <v>-</v>
      </c>
      <c r="S142" s="827" t="s">
        <v>310</v>
      </c>
      <c r="T142" cm="1">
        <f t="array" ref="T142">IFERROR(SUM(($H$142:$H$143=P142)*($I$142:$I$143=Q142)*($D$24)),)
+IFERROR(SUM(($H$142:$H$143=P142)*($I$142:$I$143=Q142)*(IF(MID($J$142:$J$143,1,FIND("-",$J$142:$J$143)-1)="",0,MID($J$142:$J$143,1,FIND("-",$J$142:$J$143)-1))-IFERROR(MID($J$142:$J$143,IF($E$142:$E$143="-",0,FIND("-",$J$142:$J$143)+1),10),0)=IF(MID(R142,1,FIND("-",R142)-1)="",0,MID(R142,1,FIND("-",R142)-1))-IF(MID(R142,FIND("-",R142)+1,10)="",0,MID(R142,FIND("-",R142)+1,10)))*($D$25)),)
+IFERROR(SUM(($H$142:$H$143=P142)*($I$142:$I$143=Q142)*($J$142:$J$143=R142)*($D$26)),)
+IFERROR(SUM(($C$142:$C$143=P142)*($D$142:$D$143=Q142)*($D$24)),)
+IFERROR(SUM(($C$142:$C$143=P142)*($D$142:$D$143=Q142)*(IF(MID($E$142:$E$143,1,FIND("-",$E$142:$E$143)-1)="",0,MID($E$142:$E$143,1,FIND("-",$E$142:$E$143)-1))-IFERROR(MID($E$142:$E$143,IF($E$142:$E$143="-",0,FIND("-",$E$142:$E$143)+1),10),0)=IF(MID(R142,1,FIND("-",R142)-1)="",0,MID(R142,1,FIND("-",R142)-1))-IF(MID(R142,FIND("-",R142)+1,10)="",0,MID(R142,FIND("-",R142)+1,10)))*($D$25)),)+IFERROR(SUM(($C$142:$C$143=P142)*($D$142:$D$143=Q142)*($E$142:$E$143=R142)*($D$26)),)</f>
        <v>0</v>
      </c>
      <c r="U142" s="868">
        <f t="shared" ref="U142:U143" si="413">IFERROR(MID(X142,1,FIND("·",X142)-1),)</f>
        <v>0</v>
      </c>
      <c r="V142" s="868">
        <f t="shared" ref="V142:V143" si="414">IFERROR(VALUE(MID(X142,FIND("·",X142)+1,1)),)</f>
        <v>0</v>
      </c>
      <c r="W142" s="868" t="str">
        <f t="shared" ref="W142" si="415">IFERROR(MID(X142,FIND("|",X142)+1,10),"-")</f>
        <v>-</v>
      </c>
      <c r="X142" s="827" t="s">
        <v>310</v>
      </c>
      <c r="Y142" cm="1">
        <f t="array" ref="Y142">IFERROR(SUM(($H$142:$H$143=U142)*($I$142:$I$143=V142)*($D$24)),)
+IFERROR(SUM(($H$142:$H$143=U142)*($I$142:$I$143=V142)*(IF(MID($J$142:$J$143,1,FIND("-",$J$142:$J$143)-1)="",0,MID($J$142:$J$143,1,FIND("-",$J$142:$J$143)-1))-IFERROR(MID($J$142:$J$143,IF($E$142:$E$143="-",0,FIND("-",$J$142:$J$143)+1),10),0)=IF(MID(W142,1,FIND("-",W142)-1)="",0,MID(W142,1,FIND("-",W142)-1))-IF(MID(W142,FIND("-",W142)+1,10)="",0,MID(W142,FIND("-",W142)+1,10)))*($D$25)),)
+IFERROR(SUM(($H$142:$H$143=U142)*($I$142:$I$143=V142)*($J$142:$J$143=W142)*($D$26)),)
+IFERROR(SUM(($C$142:$C$143=U142)*($D$142:$D$143=V142)*($D$24)),)
+IFERROR(SUM(($C$142:$C$143=U142)*($D$142:$D$143=V142)*(IF(MID($E$142:$E$143,1,FIND("-",$E$142:$E$143)-1)="",0,MID($E$142:$E$143,1,FIND("-",$E$142:$E$143)-1))-IFERROR(MID($E$142:$E$143,IF($E$142:$E$143="-",0,FIND("-",$E$142:$E$143)+1),10),0)=IF(MID(W142,1,FIND("-",W142)-1)="",0,MID(W142,1,FIND("-",W142)-1))-IF(MID(W142,FIND("-",W142)+1,10)="",0,MID(W142,FIND("-",W142)+1,10)))*($D$25)),)+IFERROR(SUM(($C$142:$C$143=U142)*($D$142:$D$143=V142)*($E$142:$E$143=W142)*($D$26)),)</f>
        <v>0</v>
      </c>
      <c r="Z142" s="868">
        <f t="shared" ref="Z142:Z143" si="416">IFERROR(MID(AC142,1,FIND("·",AC142)-1),)</f>
        <v>0</v>
      </c>
      <c r="AA142" s="868">
        <f t="shared" ref="AA142:AA143" si="417">IFERROR(VALUE(MID(AC142,FIND("·",AC142)+1,1)),)</f>
        <v>0</v>
      </c>
      <c r="AB142" s="868" t="str">
        <f t="shared" ref="AB142" si="418">IFERROR(MID(AC142,FIND("|",AC142)+1,10),"-")</f>
        <v>-</v>
      </c>
      <c r="AC142" s="827" t="s">
        <v>310</v>
      </c>
      <c r="AD142" cm="1">
        <f t="array" ref="AD142">IFERROR(SUM(($H$142:$H$143=Z142)*($I$142:$I$143=AA142)*($D$24)),)
+IFERROR(SUM(($H$142:$H$143=Z142)*($I$142:$I$143=AA142)*(IF(MID($J$142:$J$143,1,FIND("-",$J$142:$J$143)-1)="",0,MID($J$142:$J$143,1,FIND("-",$J$142:$J$143)-1))-IFERROR(MID($J$142:$J$143,IF($E$142:$E$143="-",0,FIND("-",$J$142:$J$143)+1),10),0)=IF(MID(AB142,1,FIND("-",AB142)-1)="",0,MID(AB142,1,FIND("-",AB142)-1))-IF(MID(AB142,FIND("-",AB142)+1,10)="",0,MID(AB142,FIND("-",AB142)+1,10)))*($D$25)),)
+IFERROR(SUM(($H$142:$H$143=Z142)*($I$142:$I$143=AA142)*($J$142:$J$143=AB142)*($D$26)),)
+IFERROR(SUM(($C$142:$C$143=Z142)*($D$142:$D$143=AA142)*($D$24)),)
+IFERROR(SUM(($C$142:$C$143=Z142)*($D$142:$D$143=AA142)*(IF(MID($E$142:$E$143,1,FIND("-",$E$142:$E$143)-1)="",0,MID($E$142:$E$143,1,FIND("-",$E$142:$E$143)-1))-IFERROR(MID($E$142:$E$143,IF($E$142:$E$143="-",0,FIND("-",$E$142:$E$143)+1),10),0)=IF(MID(AB142,1,FIND("-",AB142)-1)="",0,MID(AB142,1,FIND("-",AB142)-1))-IF(MID(AB142,FIND("-",AB142)+1,10)="",0,MID(AB142,FIND("-",AB142)+1,10)))*($D$25)),)+IFERROR(SUM(($C$142:$C$143=Z142)*($D$142:$D$143=AA142)*($E$142:$E$143=AB142)*($D$26)),)</f>
        <v>0</v>
      </c>
      <c r="AE142" s="868">
        <f t="shared" ref="AE142:AE143" si="419">IFERROR(MID(AH142,1,FIND("·",AH142)-1),)</f>
        <v>0</v>
      </c>
      <c r="AF142" s="868">
        <f t="shared" ref="AF142:AF143" si="420">IFERROR(VALUE(MID(AH142,FIND("·",AH142)+1,1)),)</f>
        <v>0</v>
      </c>
      <c r="AG142" s="868" t="str">
        <f t="shared" ref="AG142" si="421">IFERROR(MID(AH142,FIND("|",AH142)+1,10),"-")</f>
        <v>-</v>
      </c>
      <c r="AH142" s="958" t="s">
        <v>310</v>
      </c>
      <c r="AI142" cm="1">
        <f t="array" ref="AI142">IFERROR(SUM(($H$142:$H$143=AE142)*($I$142:$I$143=AF142)*($D$24)),)
+IFERROR(SUM(($H$142:$H$143=AE142)*($I$142:$I$143=AF142)*(IF(MID($J$142:$J$143,1,FIND("-",$J$142:$J$143)-1)="",0,MID($J$142:$J$143,1,FIND("-",$J$142:$J$143)-1))-IFERROR(MID($J$142:$J$143,IF($E$142:$E$143="-",0,FIND("-",$J$142:$J$143)+1),10),0)=IF(MID(AG142,1,FIND("-",AG142)-1)="",0,MID(AG142,1,FIND("-",AG142)-1))-IF(MID(AG142,FIND("-",AG142)+1,10)="",0,MID(AG142,FIND("-",AG142)+1,10)))*($D$25)),)
+IFERROR(SUM(($H$142:$H$143=AE142)*($I$142:$I$143=AF142)*($J$142:$J$143=AG142)*($D$26)),)
+IFERROR(SUM(($C$142:$C$143=AE142)*($D$142:$D$143=AF142)*($D$24)),)
+IFERROR(SUM(($C$142:$C$143=AE142)*($D$142:$D$143=AF142)*(IF(MID($E$142:$E$143,1,FIND("-",$E$142:$E$143)-1)="",0,MID($E$142:$E$143,1,FIND("-",$E$142:$E$143)-1))-IFERROR(MID($E$142:$E$143,IF($E$142:$E$143="-",0,FIND("-",$E$142:$E$143)+1),10),0)=IF(MID(AG142,1,FIND("-",AG142)-1)="",0,MID(AG142,1,FIND("-",AG142)-1))-IF(MID(AG142,FIND("-",AG142)+1,10)="",0,MID(AG142,FIND("-",AG142)+1,10)))*($D$25)),)+IFERROR(SUM(($C$142:$C$143=AE142)*($D$142:$D$143=AF142)*($E$142:$E$143=AG142)*($D$26)),)</f>
        <v>0</v>
      </c>
      <c r="AJ142" s="868"/>
      <c r="AK142" s="773"/>
      <c r="AL142" s="773"/>
    </row>
    <row r="143" spans="1:38" ht="15" customHeight="1">
      <c r="A143" s="774"/>
      <c r="B143" s="774"/>
      <c r="C143" s="868" t="str">
        <f>CONCATENATE(MUNDIAL!N87,"-",MUNDIAL!I87)</f>
        <v>W60-W59</v>
      </c>
      <c r="D143" s="868" t="str">
        <f>IF(MUNDIAL!K87&gt;MUNDIAL!L87,2,IF(MUNDIAL!K87&lt;MUNDIAL!L87,1,IF(AND(MUNDIAL!K87=MUNDIAL!L87,MUNDIAL!K87&lt;&gt;"",MUNDIAL!L87&lt;&gt;""),0,"PD")))</f>
        <v>PD</v>
      </c>
      <c r="E143" s="868" t="str">
        <f>CONCATENATE(MUNDIAL!L87,"-",MUNDIAL!K87)</f>
        <v>-</v>
      </c>
      <c r="F143" s="894">
        <v>44909</v>
      </c>
      <c r="G143" s="1046"/>
      <c r="H143" s="814" t="str">
        <f>CONCATENATE(MUNDIAL!I87,"-",MUNDIAL!N87)</f>
        <v>W59-W60</v>
      </c>
      <c r="I143" s="814" t="str">
        <f>(IF(MUNDIAL!K87&gt;MUNDIAL!L87,1,IF(MUNDIAL!K87&lt;MUNDIAL!L87,2,IF(AND(MUNDIAL!K87=MUNDIAL!L87,MUNDIAL!K87&lt;&gt;"",MUNDIAL!L87&lt;&gt;""),0,"PD"))))</f>
        <v>PD</v>
      </c>
      <c r="J143" s="823" t="str">
        <f>CONCATENATE(MUNDIAL!K87,"-",MUNDIAL!L87)</f>
        <v>-</v>
      </c>
      <c r="K143" s="868">
        <f>IFERROR(MID(N143,1,FIND("·",N143)-1),)</f>
        <v>0</v>
      </c>
      <c r="L143" s="868">
        <f>IFERROR(VALUE(MID(N143,FIND("·",N143)+1,1)),)</f>
        <v>0</v>
      </c>
      <c r="M143" s="868" t="str">
        <f>IFERROR(MID(N143,FIND("|",N143)+1,10),"-")</f>
        <v>-</v>
      </c>
      <c r="N143" s="953"/>
      <c r="O143" cm="1">
        <f t="array" ref="O143">IFERROR(SUM(($H$142:$H$143=K143)*($I$142:$I$143=L143)*($D$24)),)
+IFERROR(SUM(($H$142:$H$143=K143)*($I$142:$I$143=L143)*(IF(MID($J$142:$J$143,1,FIND("-",$J$142:$J$143)-1)="",0,MID($J$142:$J$143,1,FIND("-",$J$142:$J$143)-1))-IFERROR(MID($J$142:$J$143,IF($E$142:$E$143="-",0,FIND("-",$J$142:$J$143)+1),10),0)=IF(MID(M143,1,FIND("-",M143)-1)="",0,MID(M143,1,FIND("-",M143)-1))-IF(MID(M143,FIND("-",M143)+1,10)="",0,MID(M143,FIND("-",M143)+1,10)))*($D$25)),)
+IFERROR(SUM(($H$142:$H$143=K143)*($I$142:$I$143=L143)*($J$142:$J$143=M143)*($D$26)),)
+IFERROR(SUM(($C$142:$C$143=K143)*($D$142:$D$143=L143)*($D$24)),)
+IFERROR(SUM(($C$142:$C$143=K143)*($D$142:$D$143=L143)*(IF(MID($E$142:$E$143,1,FIND("-",$E$142:$E$143)-1)="",0,MID($E$142:$E$143,1,FIND("-",$E$142:$E$143)-1))-IFERROR(MID($E$142:$E$143,IF($E$142:$E$143="-",0,FIND("-",$E$142:$E$143)+1),10),0)=IF(MID(M143,1,FIND("-",M143)-1)="",0,MID(M143,1,FIND("-",M143)-1))-IF(MID(M143,FIND("-",M143)+1,10)="",0,MID(M143,FIND("-",M143)+1,10)))*($D$25)),)+IFERROR(SUM(($C$142:$C$143=K143)*($D$142:$D$143=L143)*($E$142:$E$143=M143)*($D$26)),)</f>
        <v>0</v>
      </c>
      <c r="P143" s="868">
        <f t="shared" si="410"/>
        <v>0</v>
      </c>
      <c r="Q143" s="868">
        <f t="shared" si="411"/>
        <v>0</v>
      </c>
      <c r="R143" s="868" t="str">
        <f t="shared" ref="R143" si="422">IFERROR(MID(S143,FIND("|",S143)+1,10),"-")</f>
        <v>-</v>
      </c>
      <c r="S143" s="820"/>
      <c r="T143" cm="1">
        <f t="array" ref="T143">IFERROR(SUM(($H$142:$H$143=P143)*($I$142:$I$143=Q143)*($D$24)),)
+IFERROR(SUM(($H$142:$H$143=P143)*($I$142:$I$143=Q143)*(IF(MID($J$142:$J$143,1,FIND("-",$J$142:$J$143)-1)="",0,MID($J$142:$J$143,1,FIND("-",$J$142:$J$143)-1))-IFERROR(MID($J$142:$J$143,IF($E$142:$E$143="-",0,FIND("-",$J$142:$J$143)+1),10),0)=IF(MID(R143,1,FIND("-",R143)-1)="",0,MID(R143,1,FIND("-",R143)-1))-IF(MID(R143,FIND("-",R143)+1,10)="",0,MID(R143,FIND("-",R143)+1,10)))*($D$25)),)
+IFERROR(SUM(($H$142:$H$143=P143)*($I$142:$I$143=Q143)*($J$142:$J$143=R143)*($D$26)),)
+IFERROR(SUM(($C$142:$C$143=P143)*($D$142:$D$143=Q143)*($D$24)),)
+IFERROR(SUM(($C$142:$C$143=P143)*($D$142:$D$143=Q143)*(IF(MID($E$142:$E$143,1,FIND("-",$E$142:$E$143)-1)="",0,MID($E$142:$E$143,1,FIND("-",$E$142:$E$143)-1))-IFERROR(MID($E$142:$E$143,IF($E$142:$E$143="-",0,FIND("-",$E$142:$E$143)+1),10),0)=IF(MID(R143,1,FIND("-",R143)-1)="",0,MID(R143,1,FIND("-",R143)-1))-IF(MID(R143,FIND("-",R143)+1,10)="",0,MID(R143,FIND("-",R143)+1,10)))*($D$25)),)+IFERROR(SUM(($C$142:$C$143=P143)*($D$142:$D$143=Q143)*($E$142:$E$143=R143)*($D$26)),)</f>
        <v>0</v>
      </c>
      <c r="U143" s="868">
        <f t="shared" si="413"/>
        <v>0</v>
      </c>
      <c r="V143" s="868">
        <f t="shared" si="414"/>
        <v>0</v>
      </c>
      <c r="W143" s="868" t="str">
        <f t="shared" ref="W143" si="423">IFERROR(MID(X143,FIND("|",X143)+1,10),"-")</f>
        <v>-</v>
      </c>
      <c r="X143" s="820"/>
      <c r="Y143" cm="1">
        <f t="array" ref="Y143">IFERROR(SUM(($H$142:$H$143=U143)*($I$142:$I$143=V143)*($D$24)),)
+IFERROR(SUM(($H$142:$H$143=U143)*($I$142:$I$143=V143)*(IF(MID($J$142:$J$143,1,FIND("-",$J$142:$J$143)-1)="",0,MID($J$142:$J$143,1,FIND("-",$J$142:$J$143)-1))-IFERROR(MID($J$142:$J$143,IF($E$142:$E$143="-",0,FIND("-",$J$142:$J$143)+1),10),0)=IF(MID(W143,1,FIND("-",W143)-1)="",0,MID(W143,1,FIND("-",W143)-1))-IF(MID(W143,FIND("-",W143)+1,10)="",0,MID(W143,FIND("-",W143)+1,10)))*($D$25)),)
+IFERROR(SUM(($H$142:$H$143=U143)*($I$142:$I$143=V143)*($J$142:$J$143=W143)*($D$26)),)
+IFERROR(SUM(($C$142:$C$143=U143)*($D$142:$D$143=V143)*($D$24)),)
+IFERROR(SUM(($C$142:$C$143=U143)*($D$142:$D$143=V143)*(IF(MID($E$142:$E$143,1,FIND("-",$E$142:$E$143)-1)="",0,MID($E$142:$E$143,1,FIND("-",$E$142:$E$143)-1))-IFERROR(MID($E$142:$E$143,IF($E$142:$E$143="-",0,FIND("-",$E$142:$E$143)+1),10),0)=IF(MID(W143,1,FIND("-",W143)-1)="",0,MID(W143,1,FIND("-",W143)-1))-IF(MID(W143,FIND("-",W143)+1,10)="",0,MID(W143,FIND("-",W143)+1,10)))*($D$25)),)+IFERROR(SUM(($C$142:$C$143=U143)*($D$142:$D$143=V143)*($E$142:$E$143=W143)*($D$26)),)</f>
        <v>0</v>
      </c>
      <c r="Z143" s="868">
        <f t="shared" si="416"/>
        <v>0</v>
      </c>
      <c r="AA143" s="868">
        <f t="shared" si="417"/>
        <v>0</v>
      </c>
      <c r="AB143" s="868" t="str">
        <f t="shared" ref="AB143" si="424">IFERROR(MID(AC143,FIND("|",AC143)+1,10),"-")</f>
        <v>-</v>
      </c>
      <c r="AC143" s="820"/>
      <c r="AD143" cm="1">
        <f t="array" ref="AD143">IFERROR(SUM(($H$142:$H$143=Z143)*($I$142:$I$143=AA143)*($D$24)),)
+IFERROR(SUM(($H$142:$H$143=Z143)*($I$142:$I$143=AA143)*(IF(MID($J$142:$J$143,1,FIND("-",$J$142:$J$143)-1)="",0,MID($J$142:$J$143,1,FIND("-",$J$142:$J$143)-1))-IFERROR(MID($J$142:$J$143,IF($E$142:$E$143="-",0,FIND("-",$J$142:$J$143)+1),10),0)=IF(MID(AB143,1,FIND("-",AB143)-1)="",0,MID(AB143,1,FIND("-",AB143)-1))-IF(MID(AB143,FIND("-",AB143)+1,10)="",0,MID(AB143,FIND("-",AB143)+1,10)))*($D$25)),)
+IFERROR(SUM(($H$142:$H$143=Z143)*($I$142:$I$143=AA143)*($J$142:$J$143=AB143)*($D$26)),)
+IFERROR(SUM(($C$142:$C$143=Z143)*($D$142:$D$143=AA143)*($D$24)),)
+IFERROR(SUM(($C$142:$C$143=Z143)*($D$142:$D$143=AA143)*(IF(MID($E$142:$E$143,1,FIND("-",$E$142:$E$143)-1)="",0,MID($E$142:$E$143,1,FIND("-",$E$142:$E$143)-1))-IFERROR(MID($E$142:$E$143,IF($E$142:$E$143="-",0,FIND("-",$E$142:$E$143)+1),10),0)=IF(MID(AB143,1,FIND("-",AB143)-1)="",0,MID(AB143,1,FIND("-",AB143)-1))-IF(MID(AB143,FIND("-",AB143)+1,10)="",0,MID(AB143,FIND("-",AB143)+1,10)))*($D$25)),)+IFERROR(SUM(($C$142:$C$143=Z143)*($D$142:$D$143=AA143)*($E$142:$E$143=AB143)*($D$26)),)</f>
        <v>0</v>
      </c>
      <c r="AE143" s="868">
        <f t="shared" si="419"/>
        <v>0</v>
      </c>
      <c r="AF143" s="868">
        <f t="shared" si="420"/>
        <v>0</v>
      </c>
      <c r="AG143" s="868" t="str">
        <f t="shared" ref="AG143" si="425">IFERROR(MID(AH143,FIND("|",AH143)+1,10),"-")</f>
        <v>-</v>
      </c>
      <c r="AH143" s="953"/>
      <c r="AI143" cm="1">
        <f t="array" ref="AI143">IFERROR(SUM(($H$142:$H$143=AE143)*($I$142:$I$143=AF143)*($D$24)),)
+IFERROR(SUM(($H$142:$H$143=AE143)*($I$142:$I$143=AF143)*(IF(MID($J$142:$J$143,1,FIND("-",$J$142:$J$143)-1)="",0,MID($J$142:$J$143,1,FIND("-",$J$142:$J$143)-1))-IFERROR(MID($J$142:$J$143,IF($E$142:$E$143="-",0,FIND("-",$J$142:$J$143)+1),10),0)=IF(MID(AG143,1,FIND("-",AG143)-1)="",0,MID(AG143,1,FIND("-",AG143)-1))-IF(MID(AG143,FIND("-",AG143)+1,10)="",0,MID(AG143,FIND("-",AG143)+1,10)))*($D$25)),)
+IFERROR(SUM(($H$142:$H$143=AE143)*($I$142:$I$143=AF143)*($J$142:$J$143=AG143)*($D$26)),)
+IFERROR(SUM(($C$142:$C$143=AE143)*($D$142:$D$143=AF143)*($D$24)),)
+IFERROR(SUM(($C$142:$C$143=AE143)*($D$142:$D$143=AF143)*(IF(MID($E$142:$E$143,1,FIND("-",$E$142:$E$143)-1)="",0,MID($E$142:$E$143,1,FIND("-",$E$142:$E$143)-1))-IFERROR(MID($E$142:$E$143,IF($E$142:$E$143="-",0,FIND("-",$E$142:$E$143)+1),10),0)=IF(MID(AG143,1,FIND("-",AG143)-1)="",0,MID(AG143,1,FIND("-",AG143)-1))-IF(MID(AG143,FIND("-",AG143)+1,10)="",0,MID(AG143,FIND("-",AG143)+1,10)))*($D$25)),)+IFERROR(SUM(($C$142:$C$143=AE143)*($D$142:$D$143=AF143)*($E$142:$E$143=AG143)*($D$26)),)</f>
        <v>0</v>
      </c>
      <c r="AJ143" s="868"/>
      <c r="AK143" s="773"/>
      <c r="AL143" s="773"/>
    </row>
    <row r="144" spans="1:38">
      <c r="A144" s="774"/>
      <c r="B144" s="774"/>
      <c r="C144" s="868"/>
      <c r="D144" s="868"/>
      <c r="E144" s="868"/>
      <c r="F144" s="895"/>
      <c r="G144" s="774"/>
      <c r="H144" s="782"/>
      <c r="I144" s="774"/>
      <c r="J144" s="152"/>
      <c r="K144" s="868"/>
      <c r="L144" s="868"/>
      <c r="M144" s="868"/>
      <c r="N144" s="957"/>
      <c r="O144" s="782" t="str">
        <f>CONCATENATE(SUM(O142:O143),"/",SUM($D$24:$D$26)*COUNT(O142:O143))</f>
        <v>0/0</v>
      </c>
      <c r="P144" s="868"/>
      <c r="Q144" s="868"/>
      <c r="R144" s="868"/>
      <c r="S144" s="816"/>
      <c r="T144" s="782" t="str">
        <f t="shared" ref="T144" si="426">CONCATENATE(SUM(T142:T143),"/",SUM($D$24:$D$26)*COUNT(T142:T143))</f>
        <v>0/0</v>
      </c>
      <c r="U144" s="868"/>
      <c r="V144" s="868"/>
      <c r="W144" s="868"/>
      <c r="X144" s="816"/>
      <c r="Y144" s="782" t="str">
        <f t="shared" ref="Y144" si="427">CONCATENATE(SUM(Y142:Y143),"/",SUM($D$24:$D$26)*COUNT(Y142:Y143))</f>
        <v>0/0</v>
      </c>
      <c r="Z144" s="868"/>
      <c r="AA144" s="868"/>
      <c r="AB144" s="868"/>
      <c r="AC144" s="816"/>
      <c r="AD144" s="782" t="str">
        <f t="shared" ref="AD144" si="428">CONCATENATE(SUM(AD142:AD143),"/",SUM($D$24:$D$26)*COUNT(AD142:AD143))</f>
        <v>0/0</v>
      </c>
      <c r="AE144" s="868"/>
      <c r="AF144" s="868"/>
      <c r="AG144" s="868"/>
      <c r="AH144" s="957"/>
      <c r="AI144" s="782" t="str">
        <f t="shared" ref="AI144" si="429">CONCATENATE(SUM(AI142:AI143),"/",SUM($D$24:$D$26)*COUNT(AI142:AI143))</f>
        <v>0/0</v>
      </c>
      <c r="AJ144" s="868"/>
      <c r="AK144" s="773"/>
      <c r="AL144" s="773"/>
    </row>
    <row r="145" spans="1:38" ht="15" customHeight="1">
      <c r="A145" s="774"/>
      <c r="B145" s="774"/>
      <c r="C145" s="868"/>
      <c r="D145" s="868"/>
      <c r="E145" s="868"/>
      <c r="F145" s="895"/>
      <c r="G145" s="817"/>
      <c r="H145" s="883" t="s">
        <v>174</v>
      </c>
      <c r="I145" s="883"/>
      <c r="J145" s="885"/>
      <c r="K145" s="868"/>
      <c r="L145" s="868"/>
      <c r="M145" s="868"/>
      <c r="N145" s="957"/>
      <c r="O145" s="774"/>
      <c r="P145" s="868"/>
      <c r="Q145" s="868"/>
      <c r="R145" s="868"/>
      <c r="S145" s="816"/>
      <c r="T145" s="774"/>
      <c r="U145" s="868"/>
      <c r="V145" s="868"/>
      <c r="W145" s="868"/>
      <c r="X145" s="816"/>
      <c r="Y145" s="774"/>
      <c r="Z145" s="868"/>
      <c r="AA145" s="868"/>
      <c r="AB145" s="868"/>
      <c r="AC145" s="816"/>
      <c r="AD145" s="774"/>
      <c r="AE145" s="868"/>
      <c r="AF145" s="868"/>
      <c r="AG145" s="868"/>
      <c r="AH145" s="957"/>
      <c r="AI145" s="774"/>
      <c r="AJ145" s="868"/>
      <c r="AK145" s="773"/>
      <c r="AL145" s="773"/>
    </row>
    <row r="146" spans="1:38" ht="15" customHeight="1">
      <c r="A146" s="774"/>
      <c r="B146" s="774"/>
      <c r="C146" s="868"/>
      <c r="D146" s="868"/>
      <c r="E146" s="868"/>
      <c r="F146" s="894">
        <v>44908</v>
      </c>
      <c r="G146" s="1045" t="s">
        <v>169</v>
      </c>
      <c r="H146" s="828" t="s">
        <v>189</v>
      </c>
      <c r="I146" s="819"/>
      <c r="J146" s="819" t="str">
        <f>MUNDIAL!I90</f>
        <v>L61</v>
      </c>
      <c r="K146" s="868"/>
      <c r="L146" s="868"/>
      <c r="M146" s="868"/>
      <c r="N146" s="953"/>
      <c r="O146">
        <f>COUNTIF($J$146:$J$147,N146)*$D$27</f>
        <v>0</v>
      </c>
      <c r="P146" s="868"/>
      <c r="Q146" s="868"/>
      <c r="R146" s="868"/>
      <c r="S146" s="820"/>
      <c r="T146">
        <f>COUNTIF($J$146:$J$147,S146)*$D$27</f>
        <v>0</v>
      </c>
      <c r="U146" s="868"/>
      <c r="V146" s="868"/>
      <c r="W146" s="868"/>
      <c r="X146" s="820"/>
      <c r="Y146">
        <f>COUNTIF($J$146:$J$147,X146)*$D$27</f>
        <v>0</v>
      </c>
      <c r="Z146" s="868"/>
      <c r="AA146" s="868"/>
      <c r="AB146" s="868"/>
      <c r="AC146" s="820"/>
      <c r="AD146">
        <f>COUNTIF($J$146:$J$147,AC146)*$D$27</f>
        <v>0</v>
      </c>
      <c r="AE146" s="868"/>
      <c r="AF146" s="868"/>
      <c r="AG146" s="868"/>
      <c r="AH146" s="953"/>
      <c r="AI146">
        <f>COUNTIF($J$146:$J$147,AH146)*$D$27</f>
        <v>0</v>
      </c>
      <c r="AJ146" s="868"/>
      <c r="AK146" s="773"/>
      <c r="AL146" s="773"/>
    </row>
    <row r="147" spans="1:38" ht="15" customHeight="1">
      <c r="A147" s="774"/>
      <c r="B147" s="774"/>
      <c r="C147" s="868"/>
      <c r="D147" s="868"/>
      <c r="E147" s="868"/>
      <c r="F147" s="894">
        <v>44909</v>
      </c>
      <c r="G147" s="1046"/>
      <c r="H147" s="829" t="s">
        <v>324</v>
      </c>
      <c r="I147" s="823"/>
      <c r="J147" s="823" t="str">
        <f>MUNDIAL!N90</f>
        <v>L62</v>
      </c>
      <c r="K147" s="868"/>
      <c r="L147" s="868"/>
      <c r="M147" s="868"/>
      <c r="N147" s="953"/>
      <c r="O147">
        <f>COUNTIF($J$146:$J$147,N147)*$D$27</f>
        <v>0</v>
      </c>
      <c r="P147" s="868"/>
      <c r="Q147" s="868"/>
      <c r="R147" s="868"/>
      <c r="S147" s="820"/>
      <c r="T147">
        <f>COUNTIF($J$146:$J$147,S147)*$D$27</f>
        <v>0</v>
      </c>
      <c r="U147" s="868"/>
      <c r="V147" s="868"/>
      <c r="W147" s="868"/>
      <c r="X147" s="820"/>
      <c r="Y147">
        <f>COUNTIF($J$146:$J$147,X147)*$D$27</f>
        <v>0</v>
      </c>
      <c r="Z147" s="868"/>
      <c r="AA147" s="868"/>
      <c r="AB147" s="868"/>
      <c r="AC147" s="820"/>
      <c r="AD147">
        <f>COUNTIF($J$146:$J$147,AC147)*$D$27</f>
        <v>0</v>
      </c>
      <c r="AE147" s="868"/>
      <c r="AF147" s="868"/>
      <c r="AG147" s="868"/>
      <c r="AH147" s="953"/>
      <c r="AI147">
        <f>COUNTIF($J$146:$J$147,AH147)*$D$27</f>
        <v>0</v>
      </c>
      <c r="AJ147" s="868"/>
      <c r="AK147" s="773"/>
      <c r="AL147" s="773"/>
    </row>
    <row r="148" spans="1:38">
      <c r="A148" s="774"/>
      <c r="B148" s="774"/>
      <c r="C148" s="868"/>
      <c r="D148" s="868"/>
      <c r="E148" s="868"/>
      <c r="F148" s="895"/>
      <c r="G148" s="774"/>
      <c r="H148" s="774"/>
      <c r="I148" s="774"/>
      <c r="J148" s="152"/>
      <c r="K148" s="868"/>
      <c r="L148" s="868"/>
      <c r="M148" s="868"/>
      <c r="N148" s="957"/>
      <c r="O148" s="782" t="str">
        <f>CONCATENATE(SUM(O146:O147),"/",$D$27*COUNT(O146:O147))</f>
        <v>0/0</v>
      </c>
      <c r="P148" s="868"/>
      <c r="Q148" s="868"/>
      <c r="R148" s="868"/>
      <c r="S148" s="816"/>
      <c r="T148" s="782" t="str">
        <f t="shared" ref="T148" si="430">CONCATENATE(SUM(T146:T147),"/",$D$27*COUNT(T146:T147))</f>
        <v>0/0</v>
      </c>
      <c r="U148" s="868"/>
      <c r="V148" s="868"/>
      <c r="W148" s="868"/>
      <c r="X148" s="816"/>
      <c r="Y148" s="782" t="str">
        <f t="shared" ref="Y148" si="431">CONCATENATE(SUM(Y146:Y147),"/",$D$27*COUNT(Y146:Y147))</f>
        <v>0/0</v>
      </c>
      <c r="Z148" s="868"/>
      <c r="AA148" s="868"/>
      <c r="AB148" s="868"/>
      <c r="AC148" s="816"/>
      <c r="AD148" s="782" t="str">
        <f t="shared" ref="AD148" si="432">CONCATENATE(SUM(AD146:AD147),"/",$D$27*COUNT(AD146:AD147))</f>
        <v>0/0</v>
      </c>
      <c r="AE148" s="868"/>
      <c r="AF148" s="868"/>
      <c r="AG148" s="868"/>
      <c r="AH148" s="957"/>
      <c r="AI148" s="782" t="str">
        <f t="shared" ref="AI148" si="433">CONCATENATE(SUM(AI146:AI147),"/",$D$27*COUNT(AI146:AI147))</f>
        <v>0/0</v>
      </c>
      <c r="AJ148" s="868"/>
      <c r="AK148" s="773"/>
      <c r="AL148" s="773"/>
    </row>
    <row r="149" spans="1:38" ht="15" customHeight="1">
      <c r="A149" s="774"/>
      <c r="B149" s="774"/>
      <c r="C149" s="868"/>
      <c r="D149" s="868"/>
      <c r="E149" s="868"/>
      <c r="F149" s="895"/>
      <c r="G149" s="817"/>
      <c r="H149" s="883" t="s">
        <v>311</v>
      </c>
      <c r="I149" s="883"/>
      <c r="J149" s="885"/>
      <c r="K149" s="868"/>
      <c r="L149" s="868"/>
      <c r="M149" s="868"/>
      <c r="N149" s="957"/>
      <c r="O149" s="774"/>
      <c r="P149" s="868"/>
      <c r="Q149" s="868"/>
      <c r="R149" s="868"/>
      <c r="S149" s="816"/>
      <c r="T149" s="774"/>
      <c r="U149" s="868"/>
      <c r="V149" s="868"/>
      <c r="W149" s="868"/>
      <c r="X149" s="816"/>
      <c r="Y149" s="774"/>
      <c r="Z149" s="868"/>
      <c r="AA149" s="868"/>
      <c r="AB149" s="868"/>
      <c r="AC149" s="816"/>
      <c r="AD149" s="774"/>
      <c r="AE149" s="868"/>
      <c r="AF149" s="868"/>
      <c r="AG149" s="868"/>
      <c r="AH149" s="957"/>
      <c r="AI149" s="774"/>
      <c r="AJ149" s="868"/>
      <c r="AK149" s="773"/>
      <c r="AL149" s="773"/>
    </row>
    <row r="150" spans="1:38" ht="15" customHeight="1">
      <c r="A150" s="774"/>
      <c r="B150" s="774"/>
      <c r="C150" s="868"/>
      <c r="D150" s="868"/>
      <c r="E150" s="868"/>
      <c r="F150" s="894">
        <v>44908</v>
      </c>
      <c r="G150" s="1045" t="s">
        <v>4</v>
      </c>
      <c r="H150" s="828" t="s">
        <v>434</v>
      </c>
      <c r="I150" s="819"/>
      <c r="J150" s="819" t="str">
        <f>MUNDIAL!I93</f>
        <v>W61</v>
      </c>
      <c r="K150" s="868"/>
      <c r="L150" s="868"/>
      <c r="M150" s="868"/>
      <c r="N150" s="953"/>
      <c r="O150">
        <f>COUNTIF($J$150:$J$151,N150)*$D$28</f>
        <v>0</v>
      </c>
      <c r="P150" s="868"/>
      <c r="Q150" s="868"/>
      <c r="R150" s="868"/>
      <c r="S150" s="820"/>
      <c r="T150">
        <f t="shared" ref="T150" si="434">COUNTIF($J$150:$J$151,S150)*$D$28</f>
        <v>0</v>
      </c>
      <c r="U150" s="868"/>
      <c r="V150" s="868"/>
      <c r="W150" s="868"/>
      <c r="X150" s="820"/>
      <c r="Y150">
        <f t="shared" ref="Y150" si="435">COUNTIF($J$150:$J$151,X150)*$D$28</f>
        <v>0</v>
      </c>
      <c r="Z150" s="868"/>
      <c r="AA150" s="868"/>
      <c r="AB150" s="868"/>
      <c r="AC150" s="820"/>
      <c r="AD150">
        <f t="shared" ref="AD150" si="436">COUNTIF($J$150:$J$151,AC150)*$D$28</f>
        <v>0</v>
      </c>
      <c r="AE150" s="868"/>
      <c r="AF150" s="868"/>
      <c r="AG150" s="868"/>
      <c r="AH150" s="953"/>
      <c r="AI150">
        <f t="shared" ref="AI150" si="437">COUNTIF($J$150:$J$151,AH150)*$D$28</f>
        <v>0</v>
      </c>
      <c r="AJ150" s="868"/>
      <c r="AK150" s="773"/>
      <c r="AL150" s="773"/>
    </row>
    <row r="151" spans="1:38" ht="15" customHeight="1">
      <c r="A151" s="774"/>
      <c r="B151" s="774"/>
      <c r="C151" s="868"/>
      <c r="D151" s="868"/>
      <c r="E151" s="868"/>
      <c r="F151" s="894">
        <v>44909</v>
      </c>
      <c r="G151" s="1046"/>
      <c r="H151" s="829" t="s">
        <v>435</v>
      </c>
      <c r="I151" s="823"/>
      <c r="J151" s="823" t="str">
        <f>MUNDIAL!N93</f>
        <v>W62</v>
      </c>
      <c r="K151" s="868"/>
      <c r="L151" s="868"/>
      <c r="M151" s="868"/>
      <c r="N151" s="953"/>
      <c r="O151">
        <f>COUNTIF($J$150:$J$151,N151)*$D$28</f>
        <v>0</v>
      </c>
      <c r="P151" s="868"/>
      <c r="Q151" s="868"/>
      <c r="R151" s="868"/>
      <c r="S151" s="820"/>
      <c r="T151">
        <f t="shared" ref="T151" si="438">COUNTIF($J$150:$J$151,S151)*$D$28</f>
        <v>0</v>
      </c>
      <c r="U151" s="868"/>
      <c r="V151" s="868"/>
      <c r="W151" s="868"/>
      <c r="X151" s="820"/>
      <c r="Y151">
        <f t="shared" ref="Y151" si="439">COUNTIF($J$150:$J$151,X151)*$D$28</f>
        <v>0</v>
      </c>
      <c r="Z151" s="868"/>
      <c r="AA151" s="868"/>
      <c r="AB151" s="868"/>
      <c r="AC151" s="820"/>
      <c r="AD151">
        <f t="shared" ref="AD151" si="440">COUNTIF($J$150:$J$151,AC151)*$D$28</f>
        <v>0</v>
      </c>
      <c r="AE151" s="868"/>
      <c r="AF151" s="868"/>
      <c r="AG151" s="868"/>
      <c r="AH151" s="953"/>
      <c r="AI151">
        <f t="shared" ref="AI151" si="441">COUNTIF($J$150:$J$151,AH151)*$D$28</f>
        <v>0</v>
      </c>
      <c r="AJ151" s="868"/>
      <c r="AK151" s="773"/>
      <c r="AL151" s="773"/>
    </row>
    <row r="152" spans="1:38">
      <c r="A152" s="774"/>
      <c r="B152" s="774"/>
      <c r="C152" s="868"/>
      <c r="D152" s="868"/>
      <c r="E152" s="868"/>
      <c r="F152" s="895"/>
      <c r="G152" s="774"/>
      <c r="H152" s="880"/>
      <c r="I152" s="774"/>
      <c r="J152" s="152"/>
      <c r="K152" s="868"/>
      <c r="L152" s="868"/>
      <c r="M152" s="868"/>
      <c r="N152" s="957"/>
      <c r="O152" s="782" t="str">
        <f>CONCATENATE(SUM(O150:O151),"/",$D$28*COUNT(O150:O151))</f>
        <v>0/0</v>
      </c>
      <c r="P152" s="868"/>
      <c r="Q152" s="868"/>
      <c r="R152" s="868"/>
      <c r="S152" s="816"/>
      <c r="T152" s="782" t="str">
        <f t="shared" ref="T152" si="442">CONCATENATE(SUM(T150:T151),"/",$D$28*COUNT(T150:T151))</f>
        <v>0/0</v>
      </c>
      <c r="U152" s="868"/>
      <c r="V152" s="868"/>
      <c r="W152" s="868"/>
      <c r="X152" s="816"/>
      <c r="Y152" s="782" t="str">
        <f t="shared" ref="Y152" si="443">CONCATENATE(SUM(Y150:Y151),"/",$D$28*COUNT(Y150:Y151))</f>
        <v>0/0</v>
      </c>
      <c r="Z152" s="868"/>
      <c r="AA152" s="868"/>
      <c r="AB152" s="868"/>
      <c r="AC152" s="816"/>
      <c r="AD152" s="782" t="str">
        <f t="shared" ref="AD152" si="444">CONCATENATE(SUM(AD150:AD151),"/",$D$28*COUNT(AD150:AD151))</f>
        <v>0/0</v>
      </c>
      <c r="AE152" s="868"/>
      <c r="AF152" s="868"/>
      <c r="AG152" s="868"/>
      <c r="AH152" s="957"/>
      <c r="AI152" s="782" t="str">
        <f t="shared" ref="AI152" si="445">CONCATENATE(SUM(AI150:AI151),"/",$D$28*COUNT(AI150:AI151))</f>
        <v>0/0</v>
      </c>
      <c r="AJ152" s="868"/>
      <c r="AK152" s="773"/>
      <c r="AL152" s="773"/>
    </row>
    <row r="153" spans="1:38" ht="16">
      <c r="A153" s="774"/>
      <c r="B153" s="774"/>
      <c r="C153" s="868"/>
      <c r="D153" s="868"/>
      <c r="E153" s="868"/>
      <c r="F153" s="895"/>
      <c r="G153" s="817"/>
      <c r="H153" s="883" t="s">
        <v>331</v>
      </c>
      <c r="I153" s="883"/>
      <c r="J153" s="885"/>
      <c r="K153" s="868"/>
      <c r="L153" s="868"/>
      <c r="M153" s="868"/>
      <c r="N153" s="957"/>
      <c r="O153" s="774"/>
      <c r="P153" s="868"/>
      <c r="Q153" s="868"/>
      <c r="R153" s="868"/>
      <c r="S153" s="816"/>
      <c r="T153" s="774"/>
      <c r="U153" s="868"/>
      <c r="V153" s="868"/>
      <c r="W153" s="868"/>
      <c r="X153" s="816"/>
      <c r="Y153" s="774"/>
      <c r="Z153" s="868"/>
      <c r="AA153" s="868"/>
      <c r="AB153" s="868"/>
      <c r="AC153" s="816"/>
      <c r="AD153" s="774"/>
      <c r="AE153" s="868"/>
      <c r="AF153" s="868"/>
      <c r="AG153" s="868"/>
      <c r="AH153" s="957"/>
      <c r="AI153" s="774"/>
      <c r="AJ153" s="868"/>
      <c r="AK153" s="773"/>
      <c r="AL153" s="773"/>
    </row>
    <row r="154" spans="1:38" ht="22">
      <c r="A154" s="774"/>
      <c r="B154" s="774"/>
      <c r="C154" s="868" t="str">
        <f>CONCATENATE(MUNDIAL!N90,"-",MUNDIAL!I90)</f>
        <v>L62-L61</v>
      </c>
      <c r="D154" s="868" t="str">
        <f>IF(MUNDIAL!K90&gt;MUNDIAL!L90,2,IF(MUNDIAL!K90&lt;MUNDIAL!L90,1,IF(AND(MUNDIAL!K90=MUNDIAL!L90,MUNDIAL!K90&lt;&gt;"",MUNDIAL!L90&lt;&gt;""),0,"PD")))</f>
        <v>PD</v>
      </c>
      <c r="E154" s="868" t="str">
        <f>CONCATENATE(MUNDIAL!L90,"-",MUNDIAL!K90)</f>
        <v>-</v>
      </c>
      <c r="F154" s="894">
        <v>44912</v>
      </c>
      <c r="G154" s="830" t="s">
        <v>4</v>
      </c>
      <c r="H154" s="831" t="str">
        <f>CONCATENATE(MUNDIAL!I90,"-",MUNDIAL!N90)</f>
        <v>L61-L62</v>
      </c>
      <c r="I154" s="831" t="str">
        <f>(IF(MUNDIAL!K90&gt;MUNDIAL!L90,1,IF(MUNDIAL!K90&lt;MUNDIAL!L90,2,IF(AND(MUNDIAL!K90=MUNDIAL!L90,MUNDIAL!K90&lt;&gt;"",MUNDIAL!L90&lt;&gt;""),0,"PD"))))</f>
        <v>PD</v>
      </c>
      <c r="J154" s="906" t="str">
        <f>CONCATENATE(MUNDIAL!K90,"-",MUNDIAL!L90)</f>
        <v>-</v>
      </c>
      <c r="K154" s="868">
        <f>IFERROR(MID(N154,1,FIND("·",N154)-1),)</f>
        <v>0</v>
      </c>
      <c r="L154" s="868">
        <f>IFERROR(VALUE(MID(N154,FIND("·",N154)+1,1)),)</f>
        <v>0</v>
      </c>
      <c r="M154" s="868" t="str">
        <f>IFERROR(MID(N154,FIND("|",N154)+1,10),"-")</f>
        <v>-</v>
      </c>
      <c r="N154" s="958" t="s">
        <v>313</v>
      </c>
      <c r="O154">
        <f>IFERROR(SUM(($H$154=K154)*($I$154=L154)*($D$29)),)
+IFERROR(SUM(($H$154=K154)*($I$154=L154)*(IF(MID($J$154,1,FIND("-",$J$154)-1)="",0,MID($J$154,1,FIND("-",$J$154)-1))-IFERROR(MID($J$154,IF($E$154="-",0,FIND("-",$J$154)+1),10),0)=IF(MID(M154,1,FIND("-",M154)-1)="",0,MID(M154,1,FIND("-",M154)-1))-IF(MID(M154,FIND("-",M154)+1,10)="",0,MID(M154,FIND("-",M154)+1,10)))*($D$30)),)
+IFERROR(SUM(($H$154=K154)*($I$154=L154)*($J$154=M154)*($D$31)),)
+IFERROR(SUM(($C$154=K154)*($D$154=L154)*($D$29)),)
+IFERROR(SUM(($C$154=K154)*($D$154=L154)*(IF(MID($E$154,1,FIND("-",$E$154)-1)="",0,MID($E$154,1,FIND("-",$E$154)-1))-IFERROR(MID($E$154,IF($E$154="-",0,FIND("-",$E$154)+1),10),0)=IF(MID(M154,1,FIND("-",M154)-1)="",0,MID(M154,1,FIND("-",M154)-1))-IF(MID(M154,FIND("-",M154)+1,10)="",0,MID(M154,FIND("-",M154)+1,10)))*($D$30)),)+IFERROR(SUM(($C$154=K154)*($D$154=L154)*($E$154=M154)*($D$31)),)</f>
        <v>0</v>
      </c>
      <c r="P154" s="868">
        <f t="shared" ref="P154" si="446">IFERROR(MID(S154,1,FIND("·",S154)-1),)</f>
        <v>0</v>
      </c>
      <c r="Q154" s="868">
        <f t="shared" ref="Q154" si="447">IFERROR(VALUE(MID(S154,FIND("·",S154)+1,1)),)</f>
        <v>0</v>
      </c>
      <c r="R154" s="868" t="str">
        <f t="shared" ref="R154" si="448">IFERROR(MID(S154,FIND("|",S154)+1,10),"-")</f>
        <v>-</v>
      </c>
      <c r="S154" s="827" t="s">
        <v>313</v>
      </c>
      <c r="T154">
        <f t="shared" ref="T154" si="449">IFERROR(SUM(($H$154=P154)*($I$154=Q154)*($D$29)),)
+IFERROR(SUM(($H$154=P154)*($I$154=Q154)*(IF(MID($J$154,1,FIND("-",$J$154)-1)="",0,MID($J$154,1,FIND("-",$J$154)-1))-IFERROR(MID($J$154,IF($E$154="-",0,FIND("-",$J$154)+1),10),0)=IF(MID(R154,1,FIND("-",R154)-1)="",0,MID(R154,1,FIND("-",R154)-1))-IF(MID(R154,FIND("-",R154)+1,10)="",0,MID(R154,FIND("-",R154)+1,10)))*($D$30)),)
+IFERROR(SUM(($H$154=P154)*($I$154=Q154)*($J$154=R154)*($D$31)),)
+IFERROR(SUM(($C$154=P154)*($D$154=Q154)*($D$29)),)
+IFERROR(SUM(($C$154=P154)*($D$154=Q154)*(IF(MID($E$154,1,FIND("-",$E$154)-1)="",0,MID($E$154,1,FIND("-",$E$154)-1))-IFERROR(MID($E$154,IF($E$154="-",0,FIND("-",$E$154)+1),10),0)=IF(MID(R154,1,FIND("-",R154)-1)="",0,MID(R154,1,FIND("-",R154)-1))-IF(MID(R154,FIND("-",R154)+1,10)="",0,MID(R154,FIND("-",R154)+1,10)))*($D$30)),)+IFERROR(SUM(($C$154=P154)*($D$154=Q154)*($E$154=R154)*($D$31)),)</f>
        <v>0</v>
      </c>
      <c r="U154" s="868">
        <f t="shared" ref="U154" si="450">IFERROR(MID(X154,1,FIND("·",X154)-1),)</f>
        <v>0</v>
      </c>
      <c r="V154" s="868">
        <f t="shared" ref="V154" si="451">IFERROR(VALUE(MID(X154,FIND("·",X154)+1,1)),)</f>
        <v>0</v>
      </c>
      <c r="W154" s="868" t="str">
        <f t="shared" ref="W154" si="452">IFERROR(MID(X154,FIND("|",X154)+1,10),"-")</f>
        <v>-</v>
      </c>
      <c r="X154" s="827" t="s">
        <v>313</v>
      </c>
      <c r="Y154">
        <f t="shared" ref="Y154" si="453">IFERROR(SUM(($H$154=U154)*($I$154=V154)*($D$29)),)
+IFERROR(SUM(($H$154=U154)*($I$154=V154)*(IF(MID($J$154,1,FIND("-",$J$154)-1)="",0,MID($J$154,1,FIND("-",$J$154)-1))-IFERROR(MID($J$154,IF($E$154="-",0,FIND("-",$J$154)+1),10),0)=IF(MID(W154,1,FIND("-",W154)-1)="",0,MID(W154,1,FIND("-",W154)-1))-IF(MID(W154,FIND("-",W154)+1,10)="",0,MID(W154,FIND("-",W154)+1,10)))*($D$30)),)
+IFERROR(SUM(($H$154=U154)*($I$154=V154)*($J$154=W154)*($D$31)),)
+IFERROR(SUM(($C$154=U154)*($D$154=V154)*($D$29)),)
+IFERROR(SUM(($C$154=U154)*($D$154=V154)*(IF(MID($E$154,1,FIND("-",$E$154)-1)="",0,MID($E$154,1,FIND("-",$E$154)-1))-IFERROR(MID($E$154,IF($E$154="-",0,FIND("-",$E$154)+1),10),0)=IF(MID(W154,1,FIND("-",W154)-1)="",0,MID(W154,1,FIND("-",W154)-1))-IF(MID(W154,FIND("-",W154)+1,10)="",0,MID(W154,FIND("-",W154)+1,10)))*($D$30)),)+IFERROR(SUM(($C$154=U154)*($D$154=V154)*($E$154=W154)*($D$31)),)</f>
        <v>0</v>
      </c>
      <c r="Z154" s="868">
        <f t="shared" ref="Z154" si="454">IFERROR(MID(AC154,1,FIND("·",AC154)-1),)</f>
        <v>0</v>
      </c>
      <c r="AA154" s="868">
        <f t="shared" ref="AA154" si="455">IFERROR(VALUE(MID(AC154,FIND("·",AC154)+1,1)),)</f>
        <v>0</v>
      </c>
      <c r="AB154" s="868" t="str">
        <f t="shared" ref="AB154" si="456">IFERROR(MID(AC154,FIND("|",AC154)+1,10),"-")</f>
        <v>-</v>
      </c>
      <c r="AC154" s="827" t="s">
        <v>313</v>
      </c>
      <c r="AD154">
        <f t="shared" ref="AD154" si="457">IFERROR(SUM(($H$154=Z154)*($I$154=AA154)*($D$29)),)
+IFERROR(SUM(($H$154=Z154)*($I$154=AA154)*(IF(MID($J$154,1,FIND("-",$J$154)-1)="",0,MID($J$154,1,FIND("-",$J$154)-1))-IFERROR(MID($J$154,IF($E$154="-",0,FIND("-",$J$154)+1),10),0)=IF(MID(AB154,1,FIND("-",AB154)-1)="",0,MID(AB154,1,FIND("-",AB154)-1))-IF(MID(AB154,FIND("-",AB154)+1,10)="",0,MID(AB154,FIND("-",AB154)+1,10)))*($D$30)),)
+IFERROR(SUM(($H$154=Z154)*($I$154=AA154)*($J$154=AB154)*($D$31)),)
+IFERROR(SUM(($C$154=Z154)*($D$154=AA154)*($D$29)),)
+IFERROR(SUM(($C$154=Z154)*($D$154=AA154)*(IF(MID($E$154,1,FIND("-",$E$154)-1)="",0,MID($E$154,1,FIND("-",$E$154)-1))-IFERROR(MID($E$154,IF($E$154="-",0,FIND("-",$E$154)+1),10),0)=IF(MID(AB154,1,FIND("-",AB154)-1)="",0,MID(AB154,1,FIND("-",AB154)-1))-IF(MID(AB154,FIND("-",AB154)+1,10)="",0,MID(AB154,FIND("-",AB154)+1,10)))*($D$30)),)+IFERROR(SUM(($C$154=Z154)*($D$154=AA154)*($E$154=AB154)*($D$31)),)</f>
        <v>0</v>
      </c>
      <c r="AE154" s="868">
        <f t="shared" ref="AE154" si="458">IFERROR(MID(AH154,1,FIND("·",AH154)-1),)</f>
        <v>0</v>
      </c>
      <c r="AF154" s="868">
        <f t="shared" ref="AF154" si="459">IFERROR(VALUE(MID(AH154,FIND("·",AH154)+1,1)),)</f>
        <v>0</v>
      </c>
      <c r="AG154" s="868" t="str">
        <f t="shared" ref="AG154" si="460">IFERROR(MID(AH154,FIND("|",AH154)+1,10),"-")</f>
        <v>-</v>
      </c>
      <c r="AH154" s="958" t="s">
        <v>313</v>
      </c>
      <c r="AI154">
        <f t="shared" ref="AI154" si="461">IFERROR(SUM(($H$154=AE154)*($I$154=AF154)*($D$29)),)
+IFERROR(SUM(($H$154=AE154)*($I$154=AF154)*(IF(MID($J$154,1,FIND("-",$J$154)-1)="",0,MID($J$154,1,FIND("-",$J$154)-1))-IFERROR(MID($J$154,IF($E$154="-",0,FIND("-",$J$154)+1),10),0)=IF(MID(AG154,1,FIND("-",AG154)-1)="",0,MID(AG154,1,FIND("-",AG154)-1))-IF(MID(AG154,FIND("-",AG154)+1,10)="",0,MID(AG154,FIND("-",AG154)+1,10)))*($D$30)),)
+IFERROR(SUM(($H$154=AE154)*($I$154=AF154)*($J$154=AG154)*($D$31)),)
+IFERROR(SUM(($C$154=AE154)*($D$154=AF154)*($D$29)),)
+IFERROR(SUM(($C$154=AE154)*($D$154=AF154)*(IF(MID($E$154,1,FIND("-",$E$154)-1)="",0,MID($E$154,1,FIND("-",$E$154)-1))-IFERROR(MID($E$154,IF($E$154="-",0,FIND("-",$E$154)+1),10),0)=IF(MID(AG154,1,FIND("-",AG154)-1)="",0,MID(AG154,1,FIND("-",AG154)-1))-IF(MID(AG154,FIND("-",AG154)+1,10)="",0,MID(AG154,FIND("-",AG154)+1,10)))*($D$30)),)+IFERROR(SUM(($C$154=AE154)*($D$154=AF154)*($E$154=AG154)*($D$31)),)</f>
        <v>0</v>
      </c>
      <c r="AJ154" s="868"/>
      <c r="AK154" s="773"/>
      <c r="AL154" s="773"/>
    </row>
    <row r="155" spans="1:38">
      <c r="A155" s="774"/>
      <c r="B155" s="774"/>
      <c r="C155" s="868"/>
      <c r="D155" s="868"/>
      <c r="E155" s="868"/>
      <c r="F155" s="894"/>
      <c r="G155" s="774"/>
      <c r="H155" s="774"/>
      <c r="I155" s="774"/>
      <c r="J155" s="152"/>
      <c r="K155" s="868"/>
      <c r="L155" s="868"/>
      <c r="M155" s="868"/>
      <c r="N155" s="957"/>
      <c r="O155" s="782" t="str">
        <f>CONCATENATE(O154,"/",SUM($D$29:$D$31))</f>
        <v>0/0</v>
      </c>
      <c r="P155" s="868"/>
      <c r="Q155" s="868"/>
      <c r="R155" s="868"/>
      <c r="S155" s="816"/>
      <c r="T155" s="782" t="str">
        <f t="shared" ref="T155" si="462">CONCATENATE(T154,"/",SUM($D$29:$D$31))</f>
        <v>0/0</v>
      </c>
      <c r="U155" s="868"/>
      <c r="V155" s="868"/>
      <c r="W155" s="868"/>
      <c r="X155" s="816"/>
      <c r="Y155" s="782" t="str">
        <f t="shared" ref="Y155" si="463">CONCATENATE(Y154,"/",SUM($D$29:$D$31))</f>
        <v>0/0</v>
      </c>
      <c r="Z155" s="868"/>
      <c r="AA155" s="868"/>
      <c r="AB155" s="868"/>
      <c r="AC155" s="816"/>
      <c r="AD155" s="782" t="str">
        <f t="shared" ref="AD155" si="464">CONCATENATE(AD154,"/",SUM($D$29:$D$31))</f>
        <v>0/0</v>
      </c>
      <c r="AE155" s="868"/>
      <c r="AF155" s="868"/>
      <c r="AG155" s="868"/>
      <c r="AH155" s="957"/>
      <c r="AI155" s="782" t="str">
        <f t="shared" ref="AI155" si="465">CONCATENATE(AI154,"/",SUM($D$29:$D$31))</f>
        <v>0/0</v>
      </c>
      <c r="AJ155" s="868"/>
      <c r="AK155" s="774"/>
      <c r="AL155" s="774"/>
    </row>
    <row r="156" spans="1:38" ht="16">
      <c r="A156" s="774"/>
      <c r="B156" s="774"/>
      <c r="C156" s="868"/>
      <c r="D156" s="868"/>
      <c r="E156" s="868"/>
      <c r="F156" s="895"/>
      <c r="G156" s="817"/>
      <c r="H156" s="883" t="s">
        <v>312</v>
      </c>
      <c r="I156" s="883"/>
      <c r="J156" s="885"/>
      <c r="K156" s="868"/>
      <c r="L156" s="868"/>
      <c r="M156" s="868"/>
      <c r="N156" s="957"/>
      <c r="O156" s="774"/>
      <c r="P156" s="868"/>
      <c r="Q156" s="868"/>
      <c r="R156" s="868"/>
      <c r="S156" s="816"/>
      <c r="T156" s="774"/>
      <c r="U156" s="868"/>
      <c r="V156" s="868"/>
      <c r="W156" s="868"/>
      <c r="X156" s="816"/>
      <c r="Y156" s="774"/>
      <c r="Z156" s="868"/>
      <c r="AA156" s="868"/>
      <c r="AB156" s="868"/>
      <c r="AC156" s="816"/>
      <c r="AD156" s="774"/>
      <c r="AE156" s="868"/>
      <c r="AF156" s="868"/>
      <c r="AG156" s="868"/>
      <c r="AH156" s="957"/>
      <c r="AI156" s="774"/>
      <c r="AJ156" s="868"/>
      <c r="AK156" s="773"/>
      <c r="AL156" s="773"/>
    </row>
    <row r="157" spans="1:38" ht="22">
      <c r="A157" s="774"/>
      <c r="B157" s="774"/>
      <c r="C157" s="868" t="str">
        <f>CONCATENATE(MUNDIAL!N93,"-",MUNDIAL!I93)</f>
        <v>W62-W61</v>
      </c>
      <c r="D157" s="868" t="str">
        <f>IF(MUNDIAL!K93&gt;MUNDIAL!L93,2,IF(MUNDIAL!K93&lt;MUNDIAL!L93,1,IF(AND(MUNDIAL!K93=MUNDIAL!L93,MUNDIAL!K93&lt;&gt;"",MUNDIAL!L93&lt;&gt;""),0,"PD")))</f>
        <v>PD</v>
      </c>
      <c r="E157" s="868" t="str">
        <f>CONCATENATE(MUNDIAL!L93,"-",MUNDIAL!K93)</f>
        <v>-</v>
      </c>
      <c r="F157" s="894">
        <v>44913</v>
      </c>
      <c r="G157" s="830" t="s">
        <v>4</v>
      </c>
      <c r="H157" s="831" t="str">
        <f>CONCATENATE(MUNDIAL!I93,"-",MUNDIAL!N93)</f>
        <v>W61-W62</v>
      </c>
      <c r="I157" s="831" t="str">
        <f>(IF(MUNDIAL!K93&gt;MUNDIAL!L93,1,IF(MUNDIAL!K93&lt;MUNDIAL!L93,2,IF(AND(MUNDIAL!K93=MUNDIAL!L93,MUNDIAL!K93&lt;&gt;"",MUNDIAL!L93&lt;&gt;""),0,"PD"))))</f>
        <v>PD</v>
      </c>
      <c r="J157" s="906" t="str">
        <f>CONCATENATE(MUNDIAL!K93,"-",MUNDIAL!L93)</f>
        <v>-</v>
      </c>
      <c r="K157" s="868">
        <f>IFERROR(MID(N157,1,FIND("·",N157)-1),)</f>
        <v>0</v>
      </c>
      <c r="L157" s="868">
        <f>IFERROR(VALUE(MID(N157,FIND("·",N157)+1,1)),)</f>
        <v>0</v>
      </c>
      <c r="M157" s="868" t="str">
        <f>IFERROR(MID(N157,FIND("|",N157)+1,10),"-")</f>
        <v>-</v>
      </c>
      <c r="N157" s="958"/>
      <c r="O157">
        <f>IFERROR(SUM(($H$157=K157)*($I$157=L157)*($D$32)),)
+IFERROR(SUM(($H$157=K157)*($I$157=L157)*(IF(MID($J$157,1,FIND("-",$J$157)-1)="",0,MID($J$157,1,FIND("-",$J$157)-1))-IFERROR(MID($J$157,IF($E$157="-",0,FIND("-",$J$157)+1),10),0)=IF(MID(M157,1,FIND("-",M157)-1)="",0,MID(M157,1,FIND("-",M157)-1))-IF(MID(M157,FIND("-",M157)+1,10)="",0,MID(M157,FIND("-",M157)+1,10)))*($D$33)),)
+IFERROR(SUM(($H$157=K157)*($I$157=L157)*($J$157=M157)*($D$34)),)
+IFERROR(SUM(($C$157=K157)*($D$157=L157)*($D$32)),)
+IFERROR(SUM(($C$157=K157)*($D$157=L157)*(IF(MID($E$157,1,FIND("-",$E$157)-1)="",0,MID($E$157,1,FIND("-",$E$157)-1))-IFERROR(MID($E$157,IF($E$157="-",0,FIND("-",$E$157)+1),10),0)=IF(MID(M157,1,FIND("-",M157)-1)="",0,MID(M157,1,FIND("-",M157)-1))-IF(MID(M157,FIND("-",M157)+1,10)="",0,MID(M157,FIND("-",M157)+1,10)))*($D$33)),)+IFERROR(SUM(($C$157=K157)*($D$157=L157)*($E$157=M157)*($D$34)),)</f>
        <v>0</v>
      </c>
      <c r="P157" s="868">
        <f t="shared" ref="P157" si="466">IFERROR(MID(S157,1,FIND("·",S157)-1),)</f>
        <v>0</v>
      </c>
      <c r="Q157" s="868">
        <f t="shared" ref="Q157" si="467">IFERROR(VALUE(MID(S157,FIND("·",S157)+1,1)),)</f>
        <v>0</v>
      </c>
      <c r="R157" s="868" t="str">
        <f t="shared" ref="R157" si="468">IFERROR(MID(S157,FIND("|",S157)+1,10),"-")</f>
        <v>-</v>
      </c>
      <c r="S157" s="827"/>
      <c r="T157">
        <f t="shared" ref="T157" si="469">IFERROR(SUM(($H$157=P157)*($I$157=Q157)*($D$32)),)
+IFERROR(SUM(($H$157=P157)*($I$157=Q157)*(IF(MID($J$157,1,FIND("-",$J$157)-1)="",0,MID($J$157,1,FIND("-",$J$157)-1))-IFERROR(MID($J$157,IF($E$157="-",0,FIND("-",$J$157)+1),10),0)=IF(MID(R157,1,FIND("-",R157)-1)="",0,MID(R157,1,FIND("-",R157)-1))-IF(MID(R157,FIND("-",R157)+1,10)="",0,MID(R157,FIND("-",R157)+1,10)))*($D$33)),)
+IFERROR(SUM(($H$157=P157)*($I$157=Q157)*($J$157=R157)*($D$34)),)
+IFERROR(SUM(($C$157=P157)*($D$157=Q157)*($D$32)),)
+IFERROR(SUM(($C$157=P157)*($D$157=Q157)*(IF(MID($E$157,1,FIND("-",$E$157)-1)="",0,MID($E$157,1,FIND("-",$E$157)-1))-IFERROR(MID($E$157,IF($E$157="-",0,FIND("-",$E$157)+1),10),0)=IF(MID(R157,1,FIND("-",R157)-1)="",0,MID(R157,1,FIND("-",R157)-1))-IF(MID(R157,FIND("-",R157)+1,10)="",0,MID(R157,FIND("-",R157)+1,10)))*($D$33)),)+IFERROR(SUM(($C$157=P157)*($D$157=Q157)*($E$157=R157)*($D$34)),)</f>
        <v>0</v>
      </c>
      <c r="U157" s="868">
        <f t="shared" ref="U157" si="470">IFERROR(MID(X157,1,FIND("·",X157)-1),)</f>
        <v>0</v>
      </c>
      <c r="V157" s="868">
        <f t="shared" ref="V157" si="471">IFERROR(VALUE(MID(X157,FIND("·",X157)+1,1)),)</f>
        <v>0</v>
      </c>
      <c r="W157" s="868" t="str">
        <f t="shared" ref="W157" si="472">IFERROR(MID(X157,FIND("|",X157)+1,10),"-")</f>
        <v>-</v>
      </c>
      <c r="X157" s="827"/>
      <c r="Y157">
        <f t="shared" ref="Y157" si="473">IFERROR(SUM(($H$157=U157)*($I$157=V157)*($D$32)),)
+IFERROR(SUM(($H$157=U157)*($I$157=V157)*(IF(MID($J$157,1,FIND("-",$J$157)-1)="",0,MID($J$157,1,FIND("-",$J$157)-1))-IFERROR(MID($J$157,IF($E$157="-",0,FIND("-",$J$157)+1),10),0)=IF(MID(W157,1,FIND("-",W157)-1)="",0,MID(W157,1,FIND("-",W157)-1))-IF(MID(W157,FIND("-",W157)+1,10)="",0,MID(W157,FIND("-",W157)+1,10)))*($D$33)),)
+IFERROR(SUM(($H$157=U157)*($I$157=V157)*($J$157=W157)*($D$34)),)
+IFERROR(SUM(($C$157=U157)*($D$157=V157)*($D$32)),)
+IFERROR(SUM(($C$157=U157)*($D$157=V157)*(IF(MID($E$157,1,FIND("-",$E$157)-1)="",0,MID($E$157,1,FIND("-",$E$157)-1))-IFERROR(MID($E$157,IF($E$157="-",0,FIND("-",$E$157)+1),10),0)=IF(MID(W157,1,FIND("-",W157)-1)="",0,MID(W157,1,FIND("-",W157)-1))-IF(MID(W157,FIND("-",W157)+1,10)="",0,MID(W157,FIND("-",W157)+1,10)))*($D$33)),)+IFERROR(SUM(($C$157=U157)*($D$157=V157)*($E$157=W157)*($D$34)),)</f>
        <v>0</v>
      </c>
      <c r="Z157" s="868">
        <f t="shared" ref="Z157" si="474">IFERROR(MID(AC157,1,FIND("·",AC157)-1),)</f>
        <v>0</v>
      </c>
      <c r="AA157" s="868">
        <f t="shared" ref="AA157" si="475">IFERROR(VALUE(MID(AC157,FIND("·",AC157)+1,1)),)</f>
        <v>0</v>
      </c>
      <c r="AB157" s="868" t="str">
        <f t="shared" ref="AB157" si="476">IFERROR(MID(AC157,FIND("|",AC157)+1,10),"-")</f>
        <v>-</v>
      </c>
      <c r="AC157" s="827"/>
      <c r="AD157">
        <f t="shared" ref="AD157" si="477">IFERROR(SUM(($H$157=Z157)*($I$157=AA157)*($D$32)),)
+IFERROR(SUM(($H$157=Z157)*($I$157=AA157)*(IF(MID($J$157,1,FIND("-",$J$157)-1)="",0,MID($J$157,1,FIND("-",$J$157)-1))-IFERROR(MID($J$157,IF($E$157="-",0,FIND("-",$J$157)+1),10),0)=IF(MID(AB157,1,FIND("-",AB157)-1)="",0,MID(AB157,1,FIND("-",AB157)-1))-IF(MID(AB157,FIND("-",AB157)+1,10)="",0,MID(AB157,FIND("-",AB157)+1,10)))*($D$33)),)
+IFERROR(SUM(($H$157=Z157)*($I$157=AA157)*($J$157=AB157)*($D$34)),)
+IFERROR(SUM(($C$157=Z157)*($D$157=AA157)*($D$32)),)
+IFERROR(SUM(($C$157=Z157)*($D$157=AA157)*(IF(MID($E$157,1,FIND("-",$E$157)-1)="",0,MID($E$157,1,FIND("-",$E$157)-1))-IFERROR(MID($E$157,IF($E$157="-",0,FIND("-",$E$157)+1),10),0)=IF(MID(AB157,1,FIND("-",AB157)-1)="",0,MID(AB157,1,FIND("-",AB157)-1))-IF(MID(AB157,FIND("-",AB157)+1,10)="",0,MID(AB157,FIND("-",AB157)+1,10)))*($D$33)),)+IFERROR(SUM(($C$157=Z157)*($D$157=AA157)*($E$157=AB157)*($D$34)),)</f>
        <v>0</v>
      </c>
      <c r="AE157" s="868">
        <f t="shared" ref="AE157" si="478">IFERROR(MID(AH157,1,FIND("·",AH157)-1),)</f>
        <v>0</v>
      </c>
      <c r="AF157" s="868">
        <f t="shared" ref="AF157" si="479">IFERROR(VALUE(MID(AH157,FIND("·",AH157)+1,1)),)</f>
        <v>0</v>
      </c>
      <c r="AG157" s="868" t="str">
        <f t="shared" ref="AG157" si="480">IFERROR(MID(AH157,FIND("|",AH157)+1,10),"-")</f>
        <v>-</v>
      </c>
      <c r="AH157" s="958"/>
      <c r="AI157">
        <f t="shared" ref="AI157" si="481">IFERROR(SUM(($H$157=AE157)*($I$157=AF157)*($D$32)),)
+IFERROR(SUM(($H$157=AE157)*($I$157=AF157)*(IF(MID($J$157,1,FIND("-",$J$157)-1)="",0,MID($J$157,1,FIND("-",$J$157)-1))-IFERROR(MID($J$157,IF($E$157="-",0,FIND("-",$J$157)+1),10),0)=IF(MID(AG157,1,FIND("-",AG157)-1)="",0,MID(AG157,1,FIND("-",AG157)-1))-IF(MID(AG157,FIND("-",AG157)+1,10)="",0,MID(AG157,FIND("-",AG157)+1,10)))*($D$33)),)
+IFERROR(SUM(($H$157=AE157)*($I$157=AF157)*($J$157=AG157)*($D$34)),)
+IFERROR(SUM(($C$157=AE157)*($D$157=AF157)*($D$32)),)
+IFERROR(SUM(($C$157=AE157)*($D$157=AF157)*(IF(MID($E$157,1,FIND("-",$E$157)-1)="",0,MID($E$157,1,FIND("-",$E$157)-1))-IFERROR(MID($E$157,IF($E$157="-",0,FIND("-",$E$157)+1),10),0)=IF(MID(AG157,1,FIND("-",AG157)-1)="",0,MID(AG157,1,FIND("-",AG157)-1))-IF(MID(AG157,FIND("-",AG157)+1,10)="",0,MID(AG157,FIND("-",AG157)+1,10)))*($D$33)),)+IFERROR(SUM(($C$157=AE157)*($D$157=AF157)*($E$157=AG157)*($D$34)),)</f>
        <v>0</v>
      </c>
      <c r="AJ157" s="868"/>
      <c r="AK157" s="773"/>
      <c r="AL157" s="773"/>
    </row>
    <row r="158" spans="1:38">
      <c r="A158" s="774"/>
      <c r="B158" s="774"/>
      <c r="C158" s="774"/>
      <c r="D158" s="774"/>
      <c r="E158" s="774"/>
      <c r="F158" s="895"/>
      <c r="G158" s="774"/>
      <c r="H158" s="774"/>
      <c r="I158" s="774"/>
      <c r="J158" s="152"/>
      <c r="K158" s="868"/>
      <c r="L158" s="868"/>
      <c r="M158" s="868"/>
      <c r="N158" s="957"/>
      <c r="O158" s="782" t="str">
        <f>CONCATENATE(O157,"/",SUM($D$32:$D$34))</f>
        <v>0/0</v>
      </c>
      <c r="P158" s="868"/>
      <c r="Q158" s="868"/>
      <c r="R158" s="868"/>
      <c r="S158" s="816"/>
      <c r="T158" s="782" t="str">
        <f t="shared" ref="T158" si="482">CONCATENATE(T157,"/",SUM($D$32:$D$34))</f>
        <v>0/0</v>
      </c>
      <c r="U158" s="868"/>
      <c r="V158" s="868"/>
      <c r="W158" s="868"/>
      <c r="X158" s="816"/>
      <c r="Y158" s="782" t="str">
        <f t="shared" ref="Y158" si="483">CONCATENATE(Y157,"/",SUM($D$32:$D$34))</f>
        <v>0/0</v>
      </c>
      <c r="Z158" s="868"/>
      <c r="AA158" s="868"/>
      <c r="AB158" s="868"/>
      <c r="AC158" s="816"/>
      <c r="AD158" s="782" t="str">
        <f t="shared" ref="AD158" si="484">CONCATENATE(AD157,"/",SUM($D$32:$D$34))</f>
        <v>0/0</v>
      </c>
      <c r="AE158" s="868"/>
      <c r="AF158" s="868"/>
      <c r="AG158" s="868"/>
      <c r="AH158" s="957"/>
      <c r="AI158" s="782" t="str">
        <f t="shared" ref="AI158" si="485">CONCATENATE(AI157,"/",SUM($D$32:$D$34))</f>
        <v>0/0</v>
      </c>
      <c r="AJ158" s="868"/>
      <c r="AK158" s="774"/>
      <c r="AL158" s="774"/>
    </row>
    <row r="159" spans="1:38" ht="16">
      <c r="A159" s="774"/>
      <c r="B159" s="774"/>
      <c r="C159" s="774"/>
      <c r="D159" s="774"/>
      <c r="E159" s="774"/>
      <c r="F159" s="895"/>
      <c r="G159" s="817"/>
      <c r="H159" s="883" t="s">
        <v>314</v>
      </c>
      <c r="I159" s="883"/>
      <c r="J159" s="885"/>
      <c r="K159" s="868"/>
      <c r="L159" s="868"/>
      <c r="M159" s="868"/>
      <c r="N159" s="957"/>
      <c r="O159" s="774"/>
      <c r="P159" s="774"/>
      <c r="Q159" s="774"/>
      <c r="R159" s="774"/>
      <c r="S159" s="816"/>
      <c r="T159" s="774"/>
      <c r="U159" s="774"/>
      <c r="V159" s="774"/>
      <c r="W159" s="774"/>
      <c r="X159" s="816"/>
      <c r="Y159" s="774"/>
      <c r="Z159" s="774"/>
      <c r="AA159" s="774"/>
      <c r="AB159" s="774"/>
      <c r="AC159" s="816"/>
      <c r="AD159" s="774"/>
      <c r="AE159" s="774"/>
      <c r="AF159" s="774"/>
      <c r="AG159" s="774"/>
      <c r="AH159" s="957"/>
      <c r="AI159" s="774"/>
      <c r="AJ159" s="774"/>
      <c r="AK159" s="774"/>
      <c r="AL159" s="774"/>
    </row>
    <row r="160" spans="1:38">
      <c r="A160" s="774"/>
      <c r="B160" s="774"/>
      <c r="C160" s="774"/>
      <c r="D160" s="774"/>
      <c r="E160" s="774"/>
      <c r="F160" s="894">
        <v>44913</v>
      </c>
      <c r="G160" s="832"/>
      <c r="H160" s="818" t="s">
        <v>34</v>
      </c>
      <c r="I160" s="819"/>
      <c r="J160" s="905" t="str">
        <f>MUNDIAL!I97</f>
        <v>WF</v>
      </c>
      <c r="K160" s="868"/>
      <c r="L160" s="868"/>
      <c r="M160" s="868"/>
      <c r="N160" s="953"/>
      <c r="O160">
        <f>COUNTIF($J$160,N160)*$D$35</f>
        <v>0</v>
      </c>
      <c r="P160" s="868"/>
      <c r="Q160" s="868"/>
      <c r="R160" s="868"/>
      <c r="S160" s="820"/>
      <c r="T160">
        <f>COUNTIF($J$160,S160)*$D$35</f>
        <v>0</v>
      </c>
      <c r="U160" s="868"/>
      <c r="V160" s="868"/>
      <c r="W160" s="868"/>
      <c r="X160" s="820"/>
      <c r="Y160">
        <f t="shared" ref="Y160" si="486">COUNTIF($J$160,X160)*$D$35</f>
        <v>0</v>
      </c>
      <c r="Z160" s="868"/>
      <c r="AA160" s="868"/>
      <c r="AB160" s="868"/>
      <c r="AC160" s="820"/>
      <c r="AD160">
        <f t="shared" ref="AD160" si="487">COUNTIF($J$160,AC160)*$D$35</f>
        <v>0</v>
      </c>
      <c r="AE160" s="868"/>
      <c r="AF160" s="868"/>
      <c r="AG160" s="868"/>
      <c r="AH160" s="953"/>
      <c r="AI160">
        <f t="shared" ref="AI160" si="488">COUNTIF($J$160,AH160)*$D$35</f>
        <v>0</v>
      </c>
      <c r="AJ160" s="868"/>
      <c r="AK160" s="774"/>
      <c r="AL160" s="774"/>
    </row>
    <row r="161" spans="1:38">
      <c r="A161" s="774"/>
      <c r="B161" s="774"/>
      <c r="C161" s="774"/>
      <c r="D161" s="774"/>
      <c r="E161" s="774"/>
      <c r="F161" s="894">
        <v>44913</v>
      </c>
      <c r="G161" s="832"/>
      <c r="H161" s="9" t="s">
        <v>35</v>
      </c>
      <c r="I161" s="821"/>
      <c r="J161" s="821" t="str">
        <f>MUNDIAL!I98</f>
        <v>LF</v>
      </c>
      <c r="K161" s="868"/>
      <c r="L161" s="868"/>
      <c r="M161" s="868"/>
      <c r="N161" s="953"/>
      <c r="O161">
        <f>COUNTIF($J$161,N161)*$D$36</f>
        <v>0</v>
      </c>
      <c r="P161" s="868"/>
      <c r="Q161" s="868"/>
      <c r="R161" s="868"/>
      <c r="S161" s="820"/>
      <c r="T161">
        <f>COUNTIF($J$161,S161)*$D$36</f>
        <v>0</v>
      </c>
      <c r="U161" s="868"/>
      <c r="V161" s="868"/>
      <c r="W161" s="868"/>
      <c r="X161" s="820"/>
      <c r="Y161">
        <f t="shared" ref="Y161" si="489">COUNTIF($J$161,X161)*$D$36</f>
        <v>0</v>
      </c>
      <c r="Z161" s="868"/>
      <c r="AA161" s="868"/>
      <c r="AB161" s="868"/>
      <c r="AC161" s="820"/>
      <c r="AD161">
        <f t="shared" ref="AD161" si="490">COUNTIF($J$161,AC161)*$D$36</f>
        <v>0</v>
      </c>
      <c r="AE161" s="868"/>
      <c r="AF161" s="868"/>
      <c r="AG161" s="868"/>
      <c r="AH161" s="953"/>
      <c r="AI161">
        <f t="shared" ref="AI161" si="491">COUNTIF($J$161,AH161)*$D$36</f>
        <v>0</v>
      </c>
      <c r="AJ161" s="868"/>
      <c r="AK161" s="774"/>
      <c r="AL161" s="774"/>
    </row>
    <row r="162" spans="1:38">
      <c r="A162" s="774"/>
      <c r="B162" s="774"/>
      <c r="C162" s="774"/>
      <c r="D162" s="774"/>
      <c r="E162" s="774"/>
      <c r="F162" s="894">
        <v>44912</v>
      </c>
      <c r="G162" s="832"/>
      <c r="H162" s="9" t="s">
        <v>175</v>
      </c>
      <c r="I162" s="821"/>
      <c r="J162" s="821" t="str">
        <f>MUNDIAL!I99</f>
        <v>W34</v>
      </c>
      <c r="K162" s="868"/>
      <c r="L162" s="868"/>
      <c r="M162" s="868"/>
      <c r="N162" s="953"/>
      <c r="O162">
        <f>COUNTIF($J$162,N162)*$D$37</f>
        <v>0</v>
      </c>
      <c r="P162" s="868"/>
      <c r="Q162" s="868"/>
      <c r="R162" s="868"/>
      <c r="S162" s="820"/>
      <c r="T162">
        <f>COUNTIF($J$162,S162)*$D$37</f>
        <v>0</v>
      </c>
      <c r="U162" s="868"/>
      <c r="V162" s="868"/>
      <c r="W162" s="868"/>
      <c r="X162" s="820"/>
      <c r="Y162">
        <f t="shared" ref="Y162" si="492">COUNTIF($J$162,X162)*$D$37</f>
        <v>0</v>
      </c>
      <c r="Z162" s="868"/>
      <c r="AA162" s="868"/>
      <c r="AB162" s="868"/>
      <c r="AC162" s="820"/>
      <c r="AD162">
        <f t="shared" ref="AD162" si="493">COUNTIF($J$162,AC162)*$D$37</f>
        <v>0</v>
      </c>
      <c r="AE162" s="868"/>
      <c r="AF162" s="868"/>
      <c r="AG162" s="868"/>
      <c r="AH162" s="953"/>
      <c r="AI162">
        <f t="shared" ref="AI162" si="494">COUNTIF($J$162,AH162)*$D$37</f>
        <v>0</v>
      </c>
      <c r="AJ162" s="868"/>
      <c r="AK162" s="774"/>
      <c r="AL162" s="774"/>
    </row>
    <row r="163" spans="1:38">
      <c r="A163" s="774"/>
      <c r="B163" s="774"/>
      <c r="C163" s="774"/>
      <c r="D163" s="774"/>
      <c r="E163" s="774"/>
      <c r="F163" s="894">
        <v>44913</v>
      </c>
      <c r="G163" s="832"/>
      <c r="H163" s="9" t="s">
        <v>325</v>
      </c>
      <c r="I163" s="821"/>
      <c r="J163" s="821" t="str">
        <f>MUNDIAL!I101</f>
        <v>Nombre jugador</v>
      </c>
      <c r="K163" s="868"/>
      <c r="L163" s="868"/>
      <c r="M163" s="868"/>
      <c r="N163" s="953" t="s">
        <v>315</v>
      </c>
      <c r="O163">
        <f>COUNTIF($J$163,N163)*$D$38</f>
        <v>0</v>
      </c>
      <c r="P163" s="868"/>
      <c r="Q163" s="868"/>
      <c r="R163" s="868"/>
      <c r="S163" s="820" t="s">
        <v>315</v>
      </c>
      <c r="T163">
        <f>COUNTIF($J$163,S163)*$D$38</f>
        <v>0</v>
      </c>
      <c r="U163" s="868"/>
      <c r="V163" s="868"/>
      <c r="W163" s="868"/>
      <c r="X163" s="820" t="s">
        <v>315</v>
      </c>
      <c r="Y163">
        <f t="shared" ref="Y163" si="495">COUNTIF($J$163,X163)*$D$38</f>
        <v>0</v>
      </c>
      <c r="Z163" s="868"/>
      <c r="AA163" s="868"/>
      <c r="AB163" s="868"/>
      <c r="AC163" s="820" t="s">
        <v>315</v>
      </c>
      <c r="AD163">
        <f t="shared" ref="AD163" si="496">COUNTIF($J$163,AC163)*$D$38</f>
        <v>0</v>
      </c>
      <c r="AE163" s="868"/>
      <c r="AF163" s="868"/>
      <c r="AG163" s="868"/>
      <c r="AH163" s="953" t="s">
        <v>315</v>
      </c>
      <c r="AI163">
        <f t="shared" ref="AI163" si="497">COUNTIF($J$163,AH163)*$D$38</f>
        <v>0</v>
      </c>
      <c r="AJ163" s="868"/>
      <c r="AK163" s="774"/>
      <c r="AL163" s="774"/>
    </row>
    <row r="164" spans="1:38">
      <c r="A164" s="774"/>
      <c r="B164" s="774"/>
      <c r="C164" s="774"/>
      <c r="D164" s="774"/>
      <c r="E164" s="774"/>
      <c r="F164" s="894">
        <v>44913</v>
      </c>
      <c r="G164" s="832"/>
      <c r="H164" s="9" t="s">
        <v>326</v>
      </c>
      <c r="I164" s="821"/>
      <c r="J164" s="821" t="str">
        <f>MUNDIAL!I102</f>
        <v>Nombre jugador</v>
      </c>
      <c r="K164" s="868"/>
      <c r="L164" s="868"/>
      <c r="M164" s="868"/>
      <c r="N164" s="953"/>
      <c r="O164">
        <f>COUNTIF($J$164,N164)*$D$39</f>
        <v>0</v>
      </c>
      <c r="P164" s="868"/>
      <c r="Q164" s="868"/>
      <c r="R164" s="868"/>
      <c r="S164" s="820"/>
      <c r="T164">
        <f>COUNTIF($J$164,S164)*$D$39</f>
        <v>0</v>
      </c>
      <c r="U164" s="868"/>
      <c r="V164" s="868"/>
      <c r="W164" s="868"/>
      <c r="X164" s="820"/>
      <c r="Y164">
        <f t="shared" ref="Y164" si="498">COUNTIF($J$164,X164)*$D$39</f>
        <v>0</v>
      </c>
      <c r="Z164" s="868"/>
      <c r="AA164" s="868"/>
      <c r="AB164" s="868"/>
      <c r="AC164" s="820"/>
      <c r="AD164">
        <f t="shared" ref="AD164" si="499">COUNTIF($J$164,AC164)*$D$39</f>
        <v>0</v>
      </c>
      <c r="AE164" s="868"/>
      <c r="AF164" s="868"/>
      <c r="AG164" s="868"/>
      <c r="AH164" s="953"/>
      <c r="AI164">
        <f t="shared" ref="AI164" si="500">COUNTIF($J$164,AH164)*$D$39</f>
        <v>0</v>
      </c>
      <c r="AJ164" s="868"/>
      <c r="AK164" s="774"/>
      <c r="AL164" s="774"/>
    </row>
    <row r="165" spans="1:38">
      <c r="A165" s="774"/>
      <c r="B165" s="774"/>
      <c r="C165" s="774"/>
      <c r="D165" s="774"/>
      <c r="E165" s="774"/>
      <c r="F165" s="894">
        <v>44913</v>
      </c>
      <c r="G165" s="832"/>
      <c r="H165" s="9" t="s">
        <v>327</v>
      </c>
      <c r="I165" s="821"/>
      <c r="J165" s="821" t="str">
        <f>MUNDIAL!I103</f>
        <v>Nombre jugador</v>
      </c>
      <c r="K165" s="868"/>
      <c r="L165" s="868"/>
      <c r="M165" s="868"/>
      <c r="N165" s="953"/>
      <c r="O165">
        <f>COUNTIF($J$165,N165)*$D$40</f>
        <v>0</v>
      </c>
      <c r="P165" s="868"/>
      <c r="Q165" s="868"/>
      <c r="R165" s="868"/>
      <c r="S165" s="820"/>
      <c r="T165">
        <f>COUNTIF($J$165,S165)*$D$40</f>
        <v>0</v>
      </c>
      <c r="U165" s="868"/>
      <c r="V165" s="868"/>
      <c r="W165" s="868"/>
      <c r="X165" s="820"/>
      <c r="Y165">
        <f t="shared" ref="Y165" si="501">COUNTIF($J$165,X165)*$D$40</f>
        <v>0</v>
      </c>
      <c r="Z165" s="868"/>
      <c r="AA165" s="868"/>
      <c r="AB165" s="868"/>
      <c r="AC165" s="820"/>
      <c r="AD165">
        <f t="shared" ref="AD165" si="502">COUNTIF($J$165,AC165)*$D$40</f>
        <v>0</v>
      </c>
      <c r="AE165" s="868"/>
      <c r="AF165" s="868"/>
      <c r="AG165" s="868"/>
      <c r="AH165" s="953"/>
      <c r="AI165">
        <f t="shared" ref="AI165" si="503">COUNTIF($J$165,AH165)*$D$40</f>
        <v>0</v>
      </c>
      <c r="AJ165" s="868"/>
      <c r="AK165" s="774"/>
      <c r="AL165" s="774"/>
    </row>
    <row r="166" spans="1:38">
      <c r="A166" s="774"/>
      <c r="B166" s="774"/>
      <c r="C166" s="774"/>
      <c r="D166" s="774"/>
      <c r="E166" s="774"/>
      <c r="F166" s="894">
        <v>44913</v>
      </c>
      <c r="G166" s="832"/>
      <c r="H166" s="9" t="s">
        <v>328</v>
      </c>
      <c r="I166" s="821"/>
      <c r="J166" s="821" t="str">
        <f>MUNDIAL!I105</f>
        <v>Nombre jugador</v>
      </c>
      <c r="K166" s="868"/>
      <c r="L166" s="868"/>
      <c r="M166" s="868"/>
      <c r="N166" s="953"/>
      <c r="O166">
        <f>COUNTIF($J$166,N166)*$D$41</f>
        <v>0</v>
      </c>
      <c r="P166" s="868"/>
      <c r="Q166" s="868"/>
      <c r="R166" s="868"/>
      <c r="S166" s="820"/>
      <c r="T166">
        <f>COUNTIF($J$166,S166)*$D$41</f>
        <v>0</v>
      </c>
      <c r="U166" s="868"/>
      <c r="V166" s="868"/>
      <c r="W166" s="868"/>
      <c r="X166" s="820"/>
      <c r="Y166">
        <f t="shared" ref="Y166" si="504">COUNTIF($J$166,X166)*$D$41</f>
        <v>0</v>
      </c>
      <c r="Z166" s="868"/>
      <c r="AA166" s="868"/>
      <c r="AB166" s="868"/>
      <c r="AC166" s="820"/>
      <c r="AD166">
        <f t="shared" ref="AD166" si="505">COUNTIF($J$166,AC166)*$D$41</f>
        <v>0</v>
      </c>
      <c r="AE166" s="868"/>
      <c r="AF166" s="868"/>
      <c r="AG166" s="868"/>
      <c r="AH166" s="953"/>
      <c r="AI166">
        <f t="shared" ref="AI166" si="506">COUNTIF($J$166,AH166)*$D$41</f>
        <v>0</v>
      </c>
      <c r="AJ166" s="868"/>
      <c r="AK166" s="774"/>
      <c r="AL166" s="774"/>
    </row>
    <row r="167" spans="1:38">
      <c r="A167" s="774"/>
      <c r="B167" s="774"/>
      <c r="C167" s="774"/>
      <c r="D167" s="774"/>
      <c r="E167" s="774"/>
      <c r="F167" s="894">
        <v>44913</v>
      </c>
      <c r="G167" s="832"/>
      <c r="H167" s="9" t="s">
        <v>329</v>
      </c>
      <c r="I167" s="821"/>
      <c r="J167" s="821" t="str">
        <f>MUNDIAL!I106</f>
        <v>Nombre jugador</v>
      </c>
      <c r="K167" s="868"/>
      <c r="L167" s="868"/>
      <c r="M167" s="868"/>
      <c r="N167" s="953"/>
      <c r="O167">
        <f>COUNTIF($J$167,N167)*$D$42</f>
        <v>0</v>
      </c>
      <c r="P167" s="868"/>
      <c r="Q167" s="868"/>
      <c r="R167" s="868"/>
      <c r="S167" s="820"/>
      <c r="T167">
        <f>COUNTIF($J$167,S167)*$D$42</f>
        <v>0</v>
      </c>
      <c r="U167" s="868"/>
      <c r="V167" s="868"/>
      <c r="W167" s="868"/>
      <c r="X167" s="820"/>
      <c r="Y167">
        <f t="shared" ref="Y167" si="507">COUNTIF($J$167,X167)*$D$42</f>
        <v>0</v>
      </c>
      <c r="Z167" s="868"/>
      <c r="AA167" s="868"/>
      <c r="AB167" s="868"/>
      <c r="AC167" s="820"/>
      <c r="AD167">
        <f t="shared" ref="AD167" si="508">COUNTIF($J$167,AC167)*$D$42</f>
        <v>0</v>
      </c>
      <c r="AE167" s="868"/>
      <c r="AF167" s="868"/>
      <c r="AG167" s="868"/>
      <c r="AH167" s="953"/>
      <c r="AI167">
        <f t="shared" ref="AI167" si="509">COUNTIF($J$167,AH167)*$D$42</f>
        <v>0</v>
      </c>
      <c r="AJ167" s="868"/>
      <c r="AK167" s="774"/>
      <c r="AL167" s="774"/>
    </row>
    <row r="168" spans="1:38">
      <c r="A168" s="774"/>
      <c r="B168" s="774"/>
      <c r="C168" s="774"/>
      <c r="D168" s="774"/>
      <c r="E168" s="774"/>
      <c r="F168" s="894">
        <v>44913</v>
      </c>
      <c r="G168" s="832"/>
      <c r="H168" s="822" t="s">
        <v>330</v>
      </c>
      <c r="I168" s="823"/>
      <c r="J168" s="823" t="str">
        <f>MUNDIAL!I107</f>
        <v>Nombre jugador</v>
      </c>
      <c r="K168" s="868"/>
      <c r="L168" s="868"/>
      <c r="M168" s="868"/>
      <c r="N168" s="953"/>
      <c r="O168">
        <f>COUNTIF($J$168,N168)*$D$43</f>
        <v>0</v>
      </c>
      <c r="P168" s="868"/>
      <c r="Q168" s="868"/>
      <c r="R168" s="868"/>
      <c r="S168" s="820"/>
      <c r="T168">
        <f>COUNTIF($J$168,S168)*$D$43</f>
        <v>0</v>
      </c>
      <c r="U168" s="868"/>
      <c r="V168" s="868"/>
      <c r="W168" s="868"/>
      <c r="X168" s="820"/>
      <c r="Y168">
        <f t="shared" ref="Y168" si="510">COUNTIF($J$168,X168)*$D$43</f>
        <v>0</v>
      </c>
      <c r="Z168" s="868"/>
      <c r="AA168" s="868"/>
      <c r="AB168" s="868"/>
      <c r="AC168" s="820"/>
      <c r="AD168">
        <f t="shared" ref="AD168" si="511">COUNTIF($J$168,AC168)*$D$43</f>
        <v>0</v>
      </c>
      <c r="AE168" s="868"/>
      <c r="AF168" s="868"/>
      <c r="AG168" s="868"/>
      <c r="AH168" s="953"/>
      <c r="AI168">
        <f t="shared" ref="AI168" si="512">COUNTIF($J$168,AH168)*$D$43</f>
        <v>0</v>
      </c>
      <c r="AJ168" s="868"/>
      <c r="AK168" s="774"/>
      <c r="AL168" s="774"/>
    </row>
    <row r="169" spans="1:38">
      <c r="A169" s="774"/>
      <c r="B169" s="774"/>
      <c r="C169" s="774"/>
      <c r="D169" s="774"/>
      <c r="E169" s="774"/>
      <c r="F169" s="774"/>
      <c r="G169" s="774"/>
      <c r="H169" s="774"/>
      <c r="I169" s="774"/>
      <c r="J169" s="774"/>
      <c r="K169" s="774"/>
      <c r="L169" s="774"/>
      <c r="M169" s="774"/>
      <c r="N169" s="774"/>
      <c r="O169" s="782" t="str">
        <f>CONCATENATE(SUM(O160:O168),"/",SUM($D$35:$D$43))</f>
        <v>0/0</v>
      </c>
      <c r="P169" s="774"/>
      <c r="Q169" s="774"/>
      <c r="R169" s="774"/>
      <c r="S169" s="774"/>
      <c r="T169" s="782" t="str">
        <f t="shared" ref="T169" si="513">CONCATENATE(SUM(T160:T168),"/",SUM($D$35:$D$43))</f>
        <v>0/0</v>
      </c>
      <c r="U169" s="774"/>
      <c r="V169" s="774"/>
      <c r="W169" s="774"/>
      <c r="X169" s="774"/>
      <c r="Y169" s="782" t="str">
        <f t="shared" ref="Y169" si="514">CONCATENATE(SUM(Y160:Y168),"/",SUM($D$35:$D$43))</f>
        <v>0/0</v>
      </c>
      <c r="Z169" s="774"/>
      <c r="AA169" s="774"/>
      <c r="AB169" s="774"/>
      <c r="AC169" s="774"/>
      <c r="AD169" s="782" t="str">
        <f t="shared" ref="AD169" si="515">CONCATENATE(SUM(AD160:AD168),"/",SUM($D$35:$D$43))</f>
        <v>0/0</v>
      </c>
      <c r="AE169" s="774"/>
      <c r="AF169" s="774"/>
      <c r="AG169" s="774"/>
      <c r="AH169" s="774"/>
      <c r="AI169" s="782" t="str">
        <f t="shared" ref="AI169" si="516">CONCATENATE(SUM(AI160:AI168),"/",SUM($D$35:$D$43))</f>
        <v>0/0</v>
      </c>
      <c r="AJ169" s="774"/>
      <c r="AK169" s="774"/>
      <c r="AL169" s="774"/>
    </row>
    <row r="170" spans="1:38">
      <c r="A170" s="774"/>
      <c r="B170" s="774"/>
      <c r="C170" s="774"/>
      <c r="D170" s="774"/>
      <c r="E170" s="774"/>
      <c r="F170" s="774"/>
      <c r="G170" s="774"/>
      <c r="H170" s="774"/>
      <c r="I170" s="774"/>
      <c r="J170" s="774"/>
      <c r="K170" s="774"/>
      <c r="L170" s="774"/>
      <c r="M170" s="774"/>
      <c r="N170" s="774"/>
      <c r="O170" s="774"/>
      <c r="P170" s="774"/>
      <c r="Q170" s="774"/>
      <c r="R170" s="774"/>
      <c r="S170" s="774"/>
      <c r="T170" s="774"/>
      <c r="U170" s="774"/>
      <c r="V170" s="774"/>
      <c r="W170" s="774"/>
      <c r="X170" s="774"/>
      <c r="Y170" s="774"/>
      <c r="Z170" s="774"/>
      <c r="AA170" s="774"/>
      <c r="AB170" s="774"/>
      <c r="AC170" s="774"/>
      <c r="AD170" s="774"/>
      <c r="AE170" s="774"/>
      <c r="AF170" s="774"/>
      <c r="AG170" s="774"/>
      <c r="AH170" s="774"/>
      <c r="AI170" s="774"/>
      <c r="AJ170" s="774"/>
      <c r="AK170" s="774"/>
      <c r="AL170" s="774"/>
    </row>
  </sheetData>
  <sheetProtection algorithmName="SHA-512" hashValue="d8ET/2TvszWaVKUrEDCUVs1OjBAHCilm+Ey8c/scSc8/SlQid4GPwqpRn2jbfsgGVK3VxhORCxa9KMZzzqB/Ww==" saltValue="5ujUYuVx7aeNjWfQuthBWw==" spinCount="100000" sheet="1" scenarios="1" selectLockedCells="1"/>
  <mergeCells count="18">
    <mergeCell ref="G150:G151"/>
    <mergeCell ref="G74:G77"/>
    <mergeCell ref="G78:G81"/>
    <mergeCell ref="G146:G147"/>
    <mergeCell ref="G130:G133"/>
    <mergeCell ref="G136:G139"/>
    <mergeCell ref="G142:G143"/>
    <mergeCell ref="G92:G107"/>
    <mergeCell ref="G58:G61"/>
    <mergeCell ref="C46:D46"/>
    <mergeCell ref="C47:D48"/>
    <mergeCell ref="G110:G117"/>
    <mergeCell ref="G120:G127"/>
    <mergeCell ref="G62:G65"/>
    <mergeCell ref="G66:G69"/>
    <mergeCell ref="G70:G73"/>
    <mergeCell ref="G82:G85"/>
    <mergeCell ref="G86:G89"/>
  </mergeCells>
  <phoneticPr fontId="23" type="noConversion"/>
  <hyperlinks>
    <hyperlink ref="C47:D48" r:id="rId1" display="https://matejero.es/puntuaciones-excel-mundial-2022/" xr:uid="{F587F295-D013-A649-82C8-C631F4E0B7AC}"/>
  </hyperlinks>
  <pageMargins left="0.7" right="0.7" top="0.75" bottom="0.75" header="0.3" footer="0.3"/>
  <pageSetup paperSize="9" orientation="portrait" horizontalDpi="0" verticalDpi="0"/>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6098BF4A-F5FB-BF4C-8330-C713BD262C68}">
          <x14:formula1>
            <xm:f>Equipos!$N$2:$N$6</xm:f>
          </x14:formula1>
          <xm:sqref>D3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BA1B-B712-5F42-8738-56C411D4F124}">
  <sheetPr codeName="Hoja8"/>
  <dimension ref="A1:R143"/>
  <sheetViews>
    <sheetView showGridLines="0" zoomScaleNormal="100" workbookViewId="0"/>
  </sheetViews>
  <sheetFormatPr baseColWidth="10" defaultColWidth="11.5" defaultRowHeight="15"/>
  <cols>
    <col min="1" max="1" width="4.5" customWidth="1"/>
    <col min="2" max="2" width="4.1640625" bestFit="1" customWidth="1"/>
    <col min="3" max="3" width="25.1640625" customWidth="1"/>
    <col min="4" max="4" width="10.83203125" bestFit="1" customWidth="1"/>
    <col min="5" max="5" width="11.5" bestFit="1" customWidth="1"/>
    <col min="6" max="7" width="10.5" bestFit="1" customWidth="1"/>
    <col min="8" max="8" width="10.83203125" bestFit="1" customWidth="1"/>
    <col min="9" max="9" width="10.5" bestFit="1" customWidth="1"/>
    <col min="10" max="10" width="10.83203125" bestFit="1" customWidth="1"/>
    <col min="11" max="11" width="9" bestFit="1" customWidth="1"/>
    <col min="12" max="12" width="12.5" bestFit="1" customWidth="1"/>
    <col min="13" max="14" width="11.5" bestFit="1" customWidth="1"/>
    <col min="15" max="15" width="9.83203125" bestFit="1" customWidth="1"/>
    <col min="16" max="16" width="12.6640625" customWidth="1"/>
    <col min="17" max="16383" width="11.5" customWidth="1"/>
  </cols>
  <sheetData>
    <row r="1" spans="1:18" ht="45.75" customHeight="1">
      <c r="A1" s="836"/>
      <c r="B1" s="836"/>
      <c r="C1" s="836"/>
      <c r="D1" s="836"/>
      <c r="E1" s="837"/>
      <c r="F1" s="837"/>
      <c r="G1" s="837"/>
      <c r="H1" s="837"/>
      <c r="I1" s="837"/>
      <c r="J1" s="837"/>
      <c r="K1" s="837"/>
      <c r="L1" s="837"/>
      <c r="M1" s="837"/>
      <c r="N1" s="837"/>
      <c r="O1" s="837"/>
      <c r="P1" s="837"/>
      <c r="Q1" s="837"/>
      <c r="R1" s="837"/>
    </row>
    <row r="2" spans="1:18">
      <c r="A2" s="839"/>
      <c r="B2" s="1054"/>
      <c r="C2" s="1054"/>
      <c r="D2" s="1054"/>
      <c r="E2" s="840">
        <v>56</v>
      </c>
      <c r="F2" s="840">
        <v>90</v>
      </c>
      <c r="G2" s="840">
        <v>108</v>
      </c>
      <c r="H2" s="840">
        <v>118</v>
      </c>
      <c r="I2" s="840">
        <v>128</v>
      </c>
      <c r="J2" s="840">
        <v>134</v>
      </c>
      <c r="K2" s="840">
        <v>140</v>
      </c>
      <c r="L2" s="840">
        <v>144</v>
      </c>
      <c r="M2" s="840">
        <v>148</v>
      </c>
      <c r="N2" s="840">
        <v>155</v>
      </c>
      <c r="O2" s="840">
        <v>152</v>
      </c>
      <c r="P2" s="840">
        <v>158</v>
      </c>
      <c r="Q2" s="840">
        <v>169</v>
      </c>
      <c r="R2" s="840">
        <v>169</v>
      </c>
    </row>
    <row r="3" spans="1:18">
      <c r="A3" s="841"/>
      <c r="B3" s="842" t="s">
        <v>17</v>
      </c>
      <c r="C3" s="842" t="s">
        <v>332</v>
      </c>
      <c r="D3" s="842" t="s">
        <v>333</v>
      </c>
      <c r="E3" s="842" t="s">
        <v>334</v>
      </c>
      <c r="F3" s="842" t="s">
        <v>335</v>
      </c>
      <c r="G3" s="842" t="s">
        <v>336</v>
      </c>
      <c r="H3" s="842" t="s">
        <v>337</v>
      </c>
      <c r="I3" s="842" t="s">
        <v>338</v>
      </c>
      <c r="J3" s="842" t="s">
        <v>339</v>
      </c>
      <c r="K3" s="842" t="s">
        <v>340</v>
      </c>
      <c r="L3" s="842" t="s">
        <v>341</v>
      </c>
      <c r="M3" s="842" t="s">
        <v>345</v>
      </c>
      <c r="N3" s="842" t="s">
        <v>344</v>
      </c>
      <c r="O3" s="842" t="s">
        <v>342</v>
      </c>
      <c r="P3" s="842" t="s">
        <v>312</v>
      </c>
      <c r="Q3" s="842" t="s">
        <v>343</v>
      </c>
      <c r="R3" s="838"/>
    </row>
    <row r="4" spans="1:18" ht="21">
      <c r="A4" s="843">
        <f>ROW()-3</f>
        <v>1</v>
      </c>
      <c r="B4" s="844">
        <f ca="1">IFERROR(HLOOKUP(A4,OFFSET(Administrador!$N$1,0,0,4,Administrador!$D$3*5),2,FALSE),"-")</f>
        <v>1</v>
      </c>
      <c r="C4" s="844" t="str">
        <f ca="1">IFERROR(HLOOKUP(A4,OFFSET(Administrador!$N$1,0,0,4,Administrador!$D$3*5),3,FALSE),"-")</f>
        <v>Nombre J1</v>
      </c>
      <c r="D4" s="845">
        <f ca="1">IFERROR(HLOOKUP(A4,OFFSET(Administrador!$N$1,0,0,4,Administrador!$D$3*5),4,FALSE),"-")</f>
        <v>0</v>
      </c>
      <c r="E4" s="846" t="str">
        <f ca="1">IFERROR(INDEX(Administrador!$N$1:'Administrador'!$AJ$169,E$2,MATCH($A4,Administrador!$N$1:'Administrador'!$AJ$1,0)+1),"-")</f>
        <v>0/0</v>
      </c>
      <c r="F4" s="846" t="str">
        <f ca="1">IFERROR(INDEX(Administrador!$N$1:'Administrador'!$AJ$169,F$2,MATCH($A4,Administrador!$N$1:'Administrador'!$AJ$1,0)+1),"-")</f>
        <v>0/0</v>
      </c>
      <c r="G4" s="846" t="str">
        <f ca="1">IFERROR(INDEX(Administrador!$N$1:'Administrador'!$AJ$169,G$2,MATCH($A4,Administrador!$N$1:'Administrador'!$AJ$1,0)+1),"-")</f>
        <v>0/0</v>
      </c>
      <c r="H4" s="846" t="str">
        <f ca="1">IFERROR(INDEX(Administrador!$N$1:'Administrador'!$AJ$169,H$2,MATCH($A4,Administrador!$N$1:'Administrador'!$AJ$1,0)+1),"-")</f>
        <v>0/0</v>
      </c>
      <c r="I4" s="846" t="str">
        <f ca="1">IFERROR(INDEX(Administrador!$N$1:'Administrador'!$AJ$169,I$2,MATCH($A4,Administrador!$N$1:'Administrador'!$AJ$1,0)+1),"-")</f>
        <v>0/0</v>
      </c>
      <c r="J4" s="846" t="str">
        <f ca="1">IFERROR(INDEX(Administrador!$N$1:'Administrador'!$AJ$169,J$2,MATCH($A4,Administrador!$N$1:'Administrador'!$AJ$1,0)+1),"-")</f>
        <v>0/0</v>
      </c>
      <c r="K4" s="846" t="str">
        <f ca="1">IFERROR(INDEX(Administrador!$N$1:'Administrador'!$AJ$169,K$2,MATCH($A4,Administrador!$N$1:'Administrador'!$AJ$1,0)+1),"-")</f>
        <v>0/0</v>
      </c>
      <c r="L4" s="846" t="str">
        <f ca="1">IFERROR(INDEX(Administrador!$N$1:'Administrador'!$AJ$169,L$2,MATCH($A4,Administrador!$N$1:'Administrador'!$AJ$1,0)+1),"-")</f>
        <v>0/0</v>
      </c>
      <c r="M4" s="846" t="str">
        <f ca="1">IFERROR(INDEX(Administrador!$N$1:'Administrador'!$AJ$169,M$2,MATCH($A4,Administrador!$N$1:'Administrador'!$AJ$1,0)+1),"-")</f>
        <v>0/0</v>
      </c>
      <c r="N4" s="846" t="str">
        <f ca="1">IFERROR(INDEX(Administrador!$N$1:'Administrador'!$AJ$169,N$2,MATCH($A4,Administrador!$N$1:'Administrador'!$AJ$1,0)+1),"-")</f>
        <v>0/0</v>
      </c>
      <c r="O4" s="846" t="str">
        <f ca="1">IFERROR(INDEX(Administrador!$N$1:'Administrador'!$AJ$169,O$2,MATCH($A4,Administrador!$N$1:'Administrador'!$AJ$1,0)+1),"-")</f>
        <v>0/0</v>
      </c>
      <c r="P4" s="846" t="str">
        <f ca="1">IFERROR(INDEX(Administrador!$N$1:'Administrador'!$AJ$169,P$2,MATCH($A4,Administrador!$N$1:'Administrador'!$AJ$1,0)+1),"-")</f>
        <v>0/0</v>
      </c>
      <c r="Q4" s="846" t="str">
        <f ca="1">IFERROR(INDEX(Administrador!$N$1:'Administrador'!$AJ$169,Q$2,MATCH($A4,Administrador!$N$1:'Administrador'!$AJ$1,0)+1),"-")</f>
        <v>0/0</v>
      </c>
      <c r="R4" s="838"/>
    </row>
    <row r="5" spans="1:18" ht="19">
      <c r="A5" s="843">
        <f>ROW()-3</f>
        <v>2</v>
      </c>
      <c r="B5" s="847">
        <f ca="1">IFERROR(HLOOKUP(A5,OFFSET(Administrador!$N$1,0,0,4,Administrador!$D$3*5),2,FALSE),"-")</f>
        <v>1</v>
      </c>
      <c r="C5" s="847" t="str">
        <f ca="1">IFERROR(HLOOKUP(A5,OFFSET(Administrador!$N$1,0,0,4,Administrador!$D$3*5),3,FALSE),"-")</f>
        <v>Nombre J2</v>
      </c>
      <c r="D5" s="848">
        <f ca="1">IFERROR(HLOOKUP(A5,OFFSET(Administrador!$N$1,0,0,4,Administrador!$D$3*5),4,FALSE),"-")</f>
        <v>0</v>
      </c>
      <c r="E5" s="849" t="str">
        <f ca="1">IFERROR(INDEX(Administrador!$N$1:'Administrador'!$AJ$169,E$2,MATCH($A5,Administrador!$N$1:'Administrador'!$AJ$1,0)+1),"-")</f>
        <v>0/0</v>
      </c>
      <c r="F5" s="849" t="str">
        <f ca="1">IFERROR(INDEX(Administrador!$N$1:'Administrador'!$AJ$169,F$2,MATCH($A5,Administrador!$N$1:'Administrador'!$AJ$1,0)+1),"-")</f>
        <v>0/0</v>
      </c>
      <c r="G5" s="849" t="str">
        <f ca="1">IFERROR(INDEX(Administrador!$N$1:'Administrador'!$AJ$169,G$2,MATCH($A5,Administrador!$N$1:'Administrador'!$AJ$1,0)+1),"-")</f>
        <v>0/0</v>
      </c>
      <c r="H5" s="849" t="str">
        <f ca="1">IFERROR(INDEX(Administrador!$N$1:'Administrador'!$AJ$169,H$2,MATCH($A5,Administrador!$N$1:'Administrador'!$AJ$1,0)+1),"-")</f>
        <v>0/0</v>
      </c>
      <c r="I5" s="849" t="str">
        <f ca="1">IFERROR(INDEX(Administrador!$N$1:'Administrador'!$AJ$169,I$2,MATCH($A5,Administrador!$N$1:'Administrador'!$AJ$1,0)+1),"-")</f>
        <v>0/0</v>
      </c>
      <c r="J5" s="849" t="str">
        <f ca="1">IFERROR(INDEX(Administrador!$N$1:'Administrador'!$AJ$169,J$2,MATCH($A5,Administrador!$N$1:'Administrador'!$AJ$1,0)+1),"-")</f>
        <v>0/0</v>
      </c>
      <c r="K5" s="849" t="str">
        <f ca="1">IFERROR(INDEX(Administrador!$N$1:'Administrador'!$AJ$169,K$2,MATCH($A5,Administrador!$N$1:'Administrador'!$AJ$1,0)+1),"-")</f>
        <v>0/0</v>
      </c>
      <c r="L5" s="849" t="str">
        <f ca="1">IFERROR(INDEX(Administrador!$N$1:'Administrador'!$AJ$169,L$2,MATCH($A5,Administrador!$N$1:'Administrador'!$AJ$1,0)+1),"-")</f>
        <v>0/0</v>
      </c>
      <c r="M5" s="849" t="str">
        <f ca="1">IFERROR(INDEX(Administrador!$N$1:'Administrador'!$AJ$169,M$2,MATCH($A5,Administrador!$N$1:'Administrador'!$AJ$1,0)+1),"-")</f>
        <v>0/0</v>
      </c>
      <c r="N5" s="849" t="str">
        <f ca="1">IFERROR(INDEX(Administrador!$N$1:'Administrador'!$AJ$169,N$2,MATCH($A5,Administrador!$N$1:'Administrador'!$AJ$1,0)+1),"-")</f>
        <v>0/0</v>
      </c>
      <c r="O5" s="849" t="str">
        <f ca="1">IFERROR(INDEX(Administrador!$N$1:'Administrador'!$AJ$169,O$2,MATCH($A5,Administrador!$N$1:'Administrador'!$AJ$1,0)+1),"-")</f>
        <v>0/0</v>
      </c>
      <c r="P5" s="849" t="str">
        <f ca="1">IFERROR(INDEX(Administrador!$N$1:'Administrador'!$AJ$169,P$2,MATCH($A5,Administrador!$N$1:'Administrador'!$AJ$1,0)+1),"-")</f>
        <v>0/0</v>
      </c>
      <c r="Q5" s="849" t="str">
        <f ca="1">IFERROR(INDEX(Administrador!$N$1:'Administrador'!$AJ$169,Q$2,MATCH($A5,Administrador!$N$1:'Administrador'!$AJ$1,0)+1),"-")</f>
        <v>0/0</v>
      </c>
      <c r="R5" s="838"/>
    </row>
    <row r="6" spans="1:18" ht="16">
      <c r="A6" s="843">
        <f t="shared" ref="A6:A8" si="0">ROW()-3</f>
        <v>3</v>
      </c>
      <c r="B6" s="850">
        <f ca="1">IFERROR(HLOOKUP(A6,OFFSET(Administrador!$N$1,0,0,4,Administrador!$D$3*5),2,FALSE),"-")</f>
        <v>1</v>
      </c>
      <c r="C6" s="850" t="str">
        <f ca="1">IFERROR(HLOOKUP(A6,OFFSET(Administrador!$N$1,0,0,4,Administrador!$D$3*5),3,FALSE),"-")</f>
        <v>Nombre J3</v>
      </c>
      <c r="D6" s="851">
        <f ca="1">IFERROR(HLOOKUP(A6,OFFSET(Administrador!$N$1,0,0,4,Administrador!$D$3*5),4,FALSE),"-")</f>
        <v>0</v>
      </c>
      <c r="E6" s="852" t="str">
        <f ca="1">IFERROR(INDEX(Administrador!$N$1:'Administrador'!$AJ$169,E$2,MATCH($A6,Administrador!$N$1:'Administrador'!$AJ$1,0)+1),"-")</f>
        <v>0/0</v>
      </c>
      <c r="F6" s="852" t="str">
        <f ca="1">IFERROR(INDEX(Administrador!$N$1:'Administrador'!$AJ$169,F$2,MATCH($A6,Administrador!$N$1:'Administrador'!$AJ$1,0)+1),"-")</f>
        <v>0/0</v>
      </c>
      <c r="G6" s="852" t="str">
        <f ca="1">IFERROR(INDEX(Administrador!$N$1:'Administrador'!$AJ$169,G$2,MATCH($A6,Administrador!$N$1:'Administrador'!$AJ$1,0)+1),"-")</f>
        <v>0/0</v>
      </c>
      <c r="H6" s="852" t="str">
        <f ca="1">IFERROR(INDEX(Administrador!$N$1:'Administrador'!$AJ$169,H$2,MATCH($A6,Administrador!$N$1:'Administrador'!$AJ$1,0)+1),"-")</f>
        <v>0/0</v>
      </c>
      <c r="I6" s="852" t="str">
        <f ca="1">IFERROR(INDEX(Administrador!$N$1:'Administrador'!$AJ$169,I$2,MATCH($A6,Administrador!$N$1:'Administrador'!$AJ$1,0)+1),"-")</f>
        <v>0/0</v>
      </c>
      <c r="J6" s="852" t="str">
        <f ca="1">IFERROR(INDEX(Administrador!$N$1:'Administrador'!$AJ$169,J$2,MATCH($A6,Administrador!$N$1:'Administrador'!$AJ$1,0)+1),"-")</f>
        <v>0/0</v>
      </c>
      <c r="K6" s="852" t="str">
        <f ca="1">IFERROR(INDEX(Administrador!$N$1:'Administrador'!$AJ$169,K$2,MATCH($A6,Administrador!$N$1:'Administrador'!$AJ$1,0)+1),"-")</f>
        <v>0/0</v>
      </c>
      <c r="L6" s="852" t="str">
        <f ca="1">IFERROR(INDEX(Administrador!$N$1:'Administrador'!$AJ$169,L$2,MATCH($A6,Administrador!$N$1:'Administrador'!$AJ$1,0)+1),"-")</f>
        <v>0/0</v>
      </c>
      <c r="M6" s="852" t="str">
        <f ca="1">IFERROR(INDEX(Administrador!$N$1:'Administrador'!$AJ$169,M$2,MATCH($A6,Administrador!$N$1:'Administrador'!$AJ$1,0)+1),"-")</f>
        <v>0/0</v>
      </c>
      <c r="N6" s="852" t="str">
        <f ca="1">IFERROR(INDEX(Administrador!$N$1:'Administrador'!$AJ$169,N$2,MATCH($A6,Administrador!$N$1:'Administrador'!$AJ$1,0)+1),"-")</f>
        <v>0/0</v>
      </c>
      <c r="O6" s="852" t="str">
        <f ca="1">IFERROR(INDEX(Administrador!$N$1:'Administrador'!$AJ$169,O$2,MATCH($A6,Administrador!$N$1:'Administrador'!$AJ$1,0)+1),"-")</f>
        <v>0/0</v>
      </c>
      <c r="P6" s="852" t="str">
        <f ca="1">IFERROR(INDEX(Administrador!$N$1:'Administrador'!$AJ$169,P$2,MATCH($A6,Administrador!$N$1:'Administrador'!$AJ$1,0)+1),"-")</f>
        <v>0/0</v>
      </c>
      <c r="Q6" s="852" t="str">
        <f ca="1">IFERROR(INDEX(Administrador!$N$1:'Administrador'!$AJ$169,Q$2,MATCH($A6,Administrador!$N$1:'Administrador'!$AJ$1,0)+1),"-")</f>
        <v>0/0</v>
      </c>
      <c r="R6" s="838"/>
    </row>
    <row r="7" spans="1:18">
      <c r="A7" s="843">
        <f t="shared" si="0"/>
        <v>4</v>
      </c>
      <c r="B7" s="853">
        <f ca="1">IFERROR(HLOOKUP(A7,OFFSET(Administrador!$N$1,0,0,4,Administrador!$D$3*5),2,FALSE),"-")</f>
        <v>1</v>
      </c>
      <c r="C7" s="853" t="str">
        <f ca="1">IFERROR(HLOOKUP(A7,OFFSET(Administrador!$N$1,0,0,4,Administrador!$D$3*5),3,FALSE),"-")</f>
        <v>Nombre J4</v>
      </c>
      <c r="D7" s="854">
        <f ca="1">IFERROR(HLOOKUP(A7,OFFSET(Administrador!$N$1,0,0,4,Administrador!$D$3*5),4,FALSE),"-")</f>
        <v>0</v>
      </c>
      <c r="E7" s="855" t="str">
        <f ca="1">IFERROR(INDEX(Administrador!$N$1:'Administrador'!$AJ$169,E$2,MATCH($A7,Administrador!$N$1:'Administrador'!$AJ$1,0)+1),"-")</f>
        <v>0/0</v>
      </c>
      <c r="F7" s="855" t="str">
        <f ca="1">IFERROR(INDEX(Administrador!$N$1:'Administrador'!$AJ$169,F$2,MATCH($A7,Administrador!$N$1:'Administrador'!$AJ$1,0)+1),"-")</f>
        <v>0/0</v>
      </c>
      <c r="G7" s="855" t="str">
        <f ca="1">IFERROR(INDEX(Administrador!$N$1:'Administrador'!$AJ$169,G$2,MATCH($A7,Administrador!$N$1:'Administrador'!$AJ$1,0)+1),"-")</f>
        <v>0/0</v>
      </c>
      <c r="H7" s="855" t="str">
        <f ca="1">IFERROR(INDEX(Administrador!$N$1:'Administrador'!$AJ$169,H$2,MATCH($A7,Administrador!$N$1:'Administrador'!$AJ$1,0)+1),"-")</f>
        <v>0/0</v>
      </c>
      <c r="I7" s="855" t="str">
        <f ca="1">IFERROR(INDEX(Administrador!$N$1:'Administrador'!$AJ$169,I$2,MATCH($A7,Administrador!$N$1:'Administrador'!$AJ$1,0)+1),"-")</f>
        <v>0/0</v>
      </c>
      <c r="J7" s="855" t="str">
        <f ca="1">IFERROR(INDEX(Administrador!$N$1:'Administrador'!$AJ$169,J$2,MATCH($A7,Administrador!$N$1:'Administrador'!$AJ$1,0)+1),"-")</f>
        <v>0/0</v>
      </c>
      <c r="K7" s="855" t="str">
        <f ca="1">IFERROR(INDEX(Administrador!$N$1:'Administrador'!$AJ$169,K$2,MATCH($A7,Administrador!$N$1:'Administrador'!$AJ$1,0)+1),"-")</f>
        <v>0/0</v>
      </c>
      <c r="L7" s="855" t="str">
        <f ca="1">IFERROR(INDEX(Administrador!$N$1:'Administrador'!$AJ$169,L$2,MATCH($A7,Administrador!$N$1:'Administrador'!$AJ$1,0)+1),"-")</f>
        <v>0/0</v>
      </c>
      <c r="M7" s="855" t="str">
        <f ca="1">IFERROR(INDEX(Administrador!$N$1:'Administrador'!$AJ$169,M$2,MATCH($A7,Administrador!$N$1:'Administrador'!$AJ$1,0)+1),"-")</f>
        <v>0/0</v>
      </c>
      <c r="N7" s="855" t="str">
        <f ca="1">IFERROR(INDEX(Administrador!$N$1:'Administrador'!$AJ$169,N$2,MATCH($A7,Administrador!$N$1:'Administrador'!$AJ$1,0)+1),"-")</f>
        <v>0/0</v>
      </c>
      <c r="O7" s="855" t="str">
        <f ca="1">IFERROR(INDEX(Administrador!$N$1:'Administrador'!$AJ$169,O$2,MATCH($A7,Administrador!$N$1:'Administrador'!$AJ$1,0)+1),"-")</f>
        <v>0/0</v>
      </c>
      <c r="P7" s="855" t="str">
        <f ca="1">IFERROR(INDEX(Administrador!$N$1:'Administrador'!$AJ$169,P$2,MATCH($A7,Administrador!$N$1:'Administrador'!$AJ$1,0)+1),"-")</f>
        <v>0/0</v>
      </c>
      <c r="Q7" s="855" t="str">
        <f ca="1">IFERROR(INDEX(Administrador!$N$1:'Administrador'!$AJ$169,Q$2,MATCH($A7,Administrador!$N$1:'Administrador'!$AJ$1,0)+1),"-")</f>
        <v>0/0</v>
      </c>
      <c r="R7" s="838"/>
    </row>
    <row r="8" spans="1:18">
      <c r="A8" s="843">
        <f t="shared" si="0"/>
        <v>5</v>
      </c>
      <c r="B8" s="853">
        <f ca="1">IFERROR(HLOOKUP(A8,OFFSET(Administrador!$N$1,0,0,4,Administrador!$D$3*5),2,FALSE),"-")</f>
        <v>1</v>
      </c>
      <c r="C8" s="853" t="str">
        <f ca="1">IFERROR(HLOOKUP(A8,OFFSET(Administrador!$N$1,0,0,4,Administrador!$D$3*5),3,FALSE),"-")</f>
        <v>Nombre J5</v>
      </c>
      <c r="D8" s="854">
        <f ca="1">IFERROR(HLOOKUP(A8,OFFSET(Administrador!$N$1,0,0,4,Administrador!$D$3*5),4,FALSE),"-")</f>
        <v>0</v>
      </c>
      <c r="E8" s="855" t="str">
        <f ca="1">IFERROR(INDEX(Administrador!$N$1:'Administrador'!$AJ$169,E$2,MATCH($A8,Administrador!$N$1:'Administrador'!$AJ$1,0)+1),"-")</f>
        <v>0/0</v>
      </c>
      <c r="F8" s="855" t="str">
        <f ca="1">IFERROR(INDEX(Administrador!$N$1:'Administrador'!$AJ$169,F$2,MATCH($A8,Administrador!$N$1:'Administrador'!$AJ$1,0)+1),"-")</f>
        <v>0/0</v>
      </c>
      <c r="G8" s="855" t="str">
        <f ca="1">IFERROR(INDEX(Administrador!$N$1:'Administrador'!$AJ$169,G$2,MATCH($A8,Administrador!$N$1:'Administrador'!$AJ$1,0)+1),"-")</f>
        <v>0/0</v>
      </c>
      <c r="H8" s="855" t="str">
        <f ca="1">IFERROR(INDEX(Administrador!$N$1:'Administrador'!$AJ$169,H$2,MATCH($A8,Administrador!$N$1:'Administrador'!$AJ$1,0)+1),"-")</f>
        <v>0/0</v>
      </c>
      <c r="I8" s="855" t="str">
        <f ca="1">IFERROR(INDEX(Administrador!$N$1:'Administrador'!$AJ$169,I$2,MATCH($A8,Administrador!$N$1:'Administrador'!$AJ$1,0)+1),"-")</f>
        <v>0/0</v>
      </c>
      <c r="J8" s="855" t="str">
        <f ca="1">IFERROR(INDEX(Administrador!$N$1:'Administrador'!$AJ$169,J$2,MATCH($A8,Administrador!$N$1:'Administrador'!$AJ$1,0)+1),"-")</f>
        <v>0/0</v>
      </c>
      <c r="K8" s="855" t="str">
        <f ca="1">IFERROR(INDEX(Administrador!$N$1:'Administrador'!$AJ$169,K$2,MATCH($A8,Administrador!$N$1:'Administrador'!$AJ$1,0)+1),"-")</f>
        <v>0/0</v>
      </c>
      <c r="L8" s="855" t="str">
        <f ca="1">IFERROR(INDEX(Administrador!$N$1:'Administrador'!$AJ$169,L$2,MATCH($A8,Administrador!$N$1:'Administrador'!$AJ$1,0)+1),"-")</f>
        <v>0/0</v>
      </c>
      <c r="M8" s="855" t="str">
        <f ca="1">IFERROR(INDEX(Administrador!$N$1:'Administrador'!$AJ$169,M$2,MATCH($A8,Administrador!$N$1:'Administrador'!$AJ$1,0)+1),"-")</f>
        <v>0/0</v>
      </c>
      <c r="N8" s="855" t="str">
        <f ca="1">IFERROR(INDEX(Administrador!$N$1:'Administrador'!$AJ$169,N$2,MATCH($A8,Administrador!$N$1:'Administrador'!$AJ$1,0)+1),"-")</f>
        <v>0/0</v>
      </c>
      <c r="O8" s="855" t="str">
        <f ca="1">IFERROR(INDEX(Administrador!$N$1:'Administrador'!$AJ$169,O$2,MATCH($A8,Administrador!$N$1:'Administrador'!$AJ$1,0)+1),"-")</f>
        <v>0/0</v>
      </c>
      <c r="P8" s="855" t="str">
        <f ca="1">IFERROR(INDEX(Administrador!$N$1:'Administrador'!$AJ$169,P$2,MATCH($A8,Administrador!$N$1:'Administrador'!$AJ$1,0)+1),"-")</f>
        <v>0/0</v>
      </c>
      <c r="Q8" s="855" t="str">
        <f ca="1">IFERROR(INDEX(Administrador!$N$1:'Administrador'!$AJ$169,Q$2,MATCH($A8,Administrador!$N$1:'Administrador'!$AJ$1,0)+1),"-")</f>
        <v>0/0</v>
      </c>
      <c r="R8" s="838"/>
    </row>
    <row r="9" spans="1:18">
      <c r="A9" s="853"/>
      <c r="B9" s="853"/>
      <c r="C9" s="853"/>
      <c r="D9" s="853"/>
      <c r="E9" s="856"/>
      <c r="F9" s="856"/>
      <c r="G9" s="856"/>
      <c r="H9" s="856"/>
      <c r="I9" s="856"/>
      <c r="J9" s="856"/>
      <c r="K9" s="856"/>
      <c r="L9" s="856"/>
      <c r="M9" s="856"/>
      <c r="N9" s="856"/>
      <c r="O9" s="856"/>
      <c r="P9" s="838"/>
      <c r="Q9" s="838"/>
      <c r="R9" s="838"/>
    </row>
    <row r="10" spans="1:18">
      <c r="A10" s="853"/>
      <c r="B10" s="853"/>
      <c r="C10" s="853"/>
      <c r="D10" s="853"/>
      <c r="E10" s="856"/>
      <c r="F10" s="856"/>
      <c r="G10" s="856"/>
      <c r="H10" s="856"/>
      <c r="I10" s="856"/>
      <c r="J10" s="856"/>
      <c r="K10" s="856"/>
      <c r="L10" s="856"/>
      <c r="M10" s="856"/>
      <c r="N10" s="856"/>
      <c r="O10" s="856"/>
      <c r="P10" s="838"/>
      <c r="Q10" s="838"/>
      <c r="R10" s="838"/>
    </row>
    <row r="11" spans="1:18">
      <c r="A11" s="896"/>
      <c r="E11" s="896"/>
      <c r="F11" s="896"/>
      <c r="G11" s="896"/>
      <c r="H11" s="896"/>
      <c r="I11" s="896"/>
      <c r="J11" s="896"/>
      <c r="K11" s="896"/>
      <c r="L11" s="896"/>
      <c r="M11" s="896"/>
      <c r="N11" s="896"/>
      <c r="O11" s="896"/>
      <c r="P11" s="896"/>
    </row>
    <row r="12" spans="1:18">
      <c r="A12" s="896"/>
      <c r="E12" s="896"/>
      <c r="F12" s="896"/>
      <c r="G12" s="896"/>
      <c r="H12" s="896"/>
      <c r="I12" s="896"/>
      <c r="J12" s="896"/>
      <c r="K12" s="896"/>
      <c r="L12" s="896"/>
      <c r="M12" s="896"/>
      <c r="N12" s="896"/>
      <c r="O12" s="896"/>
      <c r="P12" s="896"/>
    </row>
    <row r="13" spans="1:18">
      <c r="A13" s="896"/>
      <c r="E13" s="896"/>
      <c r="F13" s="896"/>
      <c r="G13" s="896"/>
      <c r="H13" s="896"/>
      <c r="I13" s="896"/>
      <c r="J13" s="896"/>
      <c r="K13" s="896"/>
      <c r="L13" s="896"/>
      <c r="M13" s="896"/>
      <c r="N13" s="896"/>
      <c r="O13" s="896"/>
      <c r="P13" s="896"/>
    </row>
    <row r="14" spans="1:18">
      <c r="A14" s="896"/>
      <c r="E14" s="896"/>
      <c r="F14" s="896"/>
      <c r="G14" s="896"/>
      <c r="H14" s="896"/>
      <c r="I14" s="896"/>
      <c r="J14" s="896"/>
      <c r="K14" s="896"/>
      <c r="L14" s="896"/>
      <c r="M14" s="896"/>
      <c r="N14" s="896"/>
      <c r="O14" s="896"/>
      <c r="P14" s="896"/>
    </row>
    <row r="15" spans="1:18">
      <c r="A15" s="896"/>
      <c r="E15" s="896"/>
      <c r="F15" s="896"/>
      <c r="G15" s="896"/>
      <c r="H15" s="896"/>
      <c r="I15" s="896"/>
      <c r="J15" s="896"/>
      <c r="K15" s="896"/>
      <c r="L15" s="896"/>
      <c r="M15" s="896"/>
      <c r="N15" s="896"/>
      <c r="O15" s="896"/>
      <c r="P15" s="896"/>
    </row>
    <row r="16" spans="1:18">
      <c r="A16" s="896"/>
      <c r="E16" s="896"/>
      <c r="F16" s="896"/>
      <c r="G16" s="896"/>
      <c r="H16" s="896"/>
      <c r="I16" s="896"/>
      <c r="J16" s="896"/>
      <c r="K16" s="896"/>
      <c r="L16" s="896"/>
      <c r="M16" s="896"/>
      <c r="N16" s="896"/>
      <c r="O16" s="896"/>
      <c r="P16" s="896"/>
    </row>
    <row r="17" spans="1:16">
      <c r="A17" s="896"/>
      <c r="E17" s="896"/>
      <c r="F17" s="896"/>
      <c r="G17" s="896"/>
      <c r="H17" s="896"/>
      <c r="I17" s="896"/>
      <c r="J17" s="896"/>
      <c r="K17" s="896"/>
      <c r="L17" s="896"/>
      <c r="M17" s="896"/>
      <c r="N17" s="896"/>
      <c r="O17" s="896"/>
      <c r="P17" s="896"/>
    </row>
    <row r="18" spans="1:16">
      <c r="A18" s="896"/>
      <c r="E18" s="896"/>
      <c r="F18" s="896"/>
      <c r="G18" s="896"/>
      <c r="H18" s="896"/>
      <c r="I18" s="896"/>
      <c r="J18" s="896"/>
      <c r="K18" s="896"/>
      <c r="L18" s="896"/>
      <c r="M18" s="896"/>
      <c r="N18" s="896"/>
      <c r="O18" s="896"/>
      <c r="P18" s="896"/>
    </row>
    <row r="19" spans="1:16">
      <c r="A19" s="896"/>
      <c r="E19" s="896"/>
      <c r="F19" s="896"/>
      <c r="G19" s="896"/>
      <c r="H19" s="896"/>
      <c r="I19" s="896"/>
      <c r="J19" s="896"/>
      <c r="K19" s="896"/>
      <c r="L19" s="896"/>
      <c r="M19" s="896"/>
      <c r="N19" s="896"/>
      <c r="O19" s="896"/>
      <c r="P19" s="896"/>
    </row>
    <row r="20" spans="1:16">
      <c r="A20" s="896"/>
      <c r="E20" s="896"/>
      <c r="F20" s="896"/>
      <c r="G20" s="896"/>
      <c r="H20" s="896"/>
      <c r="I20" s="896"/>
      <c r="J20" s="896"/>
      <c r="K20" s="896"/>
      <c r="L20" s="896"/>
      <c r="M20" s="896"/>
      <c r="N20" s="896"/>
      <c r="O20" s="896"/>
      <c r="P20" s="896"/>
    </row>
    <row r="21" spans="1:16">
      <c r="A21" s="896"/>
      <c r="E21" s="896"/>
      <c r="F21" s="896"/>
      <c r="G21" s="896"/>
      <c r="H21" s="896"/>
      <c r="I21" s="896"/>
      <c r="J21" s="896"/>
      <c r="K21" s="896"/>
      <c r="L21" s="896"/>
      <c r="M21" s="896"/>
      <c r="N21" s="896"/>
      <c r="O21" s="896"/>
      <c r="P21" s="896"/>
    </row>
    <row r="22" spans="1:16">
      <c r="A22" s="896"/>
      <c r="E22" s="896"/>
      <c r="F22" s="896"/>
      <c r="G22" s="896"/>
      <c r="H22" s="896"/>
      <c r="I22" s="896"/>
      <c r="J22" s="896"/>
      <c r="K22" s="896"/>
      <c r="L22" s="896"/>
      <c r="M22" s="896"/>
      <c r="N22" s="896"/>
      <c r="O22" s="896"/>
      <c r="P22" s="896"/>
    </row>
    <row r="23" spans="1:16">
      <c r="A23" s="896"/>
      <c r="E23" s="896"/>
      <c r="F23" s="896"/>
      <c r="G23" s="896"/>
      <c r="H23" s="896"/>
      <c r="I23" s="896"/>
      <c r="J23" s="896"/>
      <c r="K23" s="896"/>
      <c r="L23" s="896"/>
      <c r="M23" s="896"/>
      <c r="N23" s="896"/>
      <c r="O23" s="896"/>
      <c r="P23" s="896"/>
    </row>
    <row r="24" spans="1:16">
      <c r="A24" s="896"/>
      <c r="E24" s="896"/>
      <c r="F24" s="896"/>
      <c r="G24" s="896"/>
      <c r="H24" s="896"/>
      <c r="I24" s="896"/>
      <c r="J24" s="896"/>
      <c r="K24" s="896"/>
      <c r="L24" s="896"/>
      <c r="M24" s="896"/>
      <c r="N24" s="896"/>
      <c r="O24" s="896"/>
      <c r="P24" s="896"/>
    </row>
    <row r="25" spans="1:16">
      <c r="A25" s="896"/>
      <c r="E25" s="896"/>
      <c r="F25" s="896"/>
      <c r="G25" s="896"/>
      <c r="H25" s="896"/>
      <c r="I25" s="896"/>
      <c r="J25" s="896"/>
      <c r="K25" s="896"/>
      <c r="L25" s="896"/>
      <c r="M25" s="896"/>
      <c r="N25" s="896"/>
      <c r="O25" s="896"/>
      <c r="P25" s="896"/>
    </row>
    <row r="26" spans="1:16">
      <c r="A26" s="896"/>
      <c r="E26" s="896"/>
      <c r="F26" s="896"/>
      <c r="G26" s="896"/>
      <c r="H26" s="896"/>
      <c r="I26" s="896"/>
      <c r="J26" s="896"/>
      <c r="K26" s="896"/>
      <c r="L26" s="896"/>
      <c r="M26" s="896"/>
      <c r="N26" s="896"/>
      <c r="O26" s="896"/>
      <c r="P26" s="896"/>
    </row>
    <row r="27" spans="1:16">
      <c r="A27" s="896"/>
      <c r="E27" s="896"/>
      <c r="F27" s="896"/>
      <c r="G27" s="896"/>
      <c r="H27" s="896"/>
      <c r="I27" s="896"/>
      <c r="J27" s="896"/>
      <c r="K27" s="896"/>
      <c r="L27" s="896"/>
      <c r="M27" s="896"/>
      <c r="N27" s="896"/>
      <c r="O27" s="896"/>
      <c r="P27" s="896"/>
    </row>
    <row r="28" spans="1:16">
      <c r="A28" s="896"/>
      <c r="E28" s="896"/>
      <c r="F28" s="896"/>
      <c r="G28" s="896"/>
      <c r="H28" s="896"/>
      <c r="I28" s="896"/>
      <c r="J28" s="896"/>
      <c r="K28" s="896"/>
      <c r="L28" s="896"/>
      <c r="M28" s="896"/>
      <c r="N28" s="896"/>
      <c r="O28" s="896"/>
      <c r="P28" s="896"/>
    </row>
    <row r="29" spans="1:16">
      <c r="A29" s="896"/>
      <c r="E29" s="896"/>
      <c r="F29" s="896"/>
      <c r="G29" s="896"/>
      <c r="H29" s="896"/>
      <c r="I29" s="896"/>
      <c r="J29" s="896"/>
      <c r="K29" s="896"/>
      <c r="L29" s="896"/>
      <c r="M29" s="896"/>
      <c r="N29" s="896"/>
      <c r="O29" s="896"/>
      <c r="P29" s="896"/>
    </row>
    <row r="30" spans="1:16">
      <c r="A30" s="896"/>
      <c r="E30" s="896"/>
      <c r="F30" s="896"/>
      <c r="G30" s="896"/>
      <c r="H30" s="896"/>
      <c r="I30" s="896"/>
      <c r="J30" s="896"/>
      <c r="K30" s="896"/>
      <c r="L30" s="896"/>
      <c r="M30" s="896"/>
      <c r="N30" s="896"/>
      <c r="O30" s="896"/>
      <c r="P30" s="896"/>
    </row>
    <row r="31" spans="1:16">
      <c r="A31" s="896"/>
      <c r="E31" s="896"/>
      <c r="F31" s="896"/>
      <c r="G31" s="896"/>
      <c r="H31" s="896"/>
      <c r="I31" s="896"/>
      <c r="J31" s="896"/>
      <c r="K31" s="896"/>
      <c r="L31" s="896"/>
      <c r="M31" s="896"/>
      <c r="N31" s="896"/>
      <c r="O31" s="896"/>
      <c r="P31" s="896"/>
    </row>
    <row r="32" spans="1:16">
      <c r="A32" s="896"/>
      <c r="E32" s="896"/>
      <c r="F32" s="896"/>
      <c r="G32" s="896"/>
      <c r="H32" s="896"/>
      <c r="I32" s="896"/>
      <c r="J32" s="896"/>
      <c r="K32" s="896"/>
      <c r="L32" s="896"/>
      <c r="M32" s="896"/>
      <c r="N32" s="896"/>
      <c r="O32" s="896"/>
      <c r="P32" s="896"/>
    </row>
    <row r="33" spans="1:16">
      <c r="A33" s="896"/>
      <c r="E33" s="896"/>
      <c r="F33" s="896"/>
      <c r="G33" s="896"/>
      <c r="H33" s="896"/>
      <c r="I33" s="896"/>
      <c r="J33" s="896"/>
      <c r="K33" s="896"/>
      <c r="L33" s="896"/>
      <c r="M33" s="896"/>
      <c r="N33" s="896"/>
      <c r="O33" s="896"/>
      <c r="P33" s="896"/>
    </row>
    <row r="34" spans="1:16">
      <c r="A34" s="896"/>
      <c r="E34" s="896"/>
      <c r="F34" s="896"/>
      <c r="G34" s="896"/>
      <c r="H34" s="896"/>
      <c r="I34" s="896"/>
      <c r="J34" s="896"/>
      <c r="K34" s="896"/>
      <c r="L34" s="896"/>
      <c r="M34" s="896"/>
      <c r="N34" s="896"/>
      <c r="O34" s="896"/>
      <c r="P34" s="896"/>
    </row>
    <row r="35" spans="1:16">
      <c r="A35" s="896"/>
      <c r="E35" s="896"/>
      <c r="F35" s="896"/>
      <c r="G35" s="896"/>
      <c r="H35" s="896"/>
      <c r="I35" s="896"/>
      <c r="J35" s="896"/>
      <c r="K35" s="896"/>
      <c r="L35" s="896"/>
      <c r="M35" s="896"/>
      <c r="N35" s="896"/>
      <c r="O35" s="896"/>
      <c r="P35" s="896"/>
    </row>
    <row r="36" spans="1:16">
      <c r="A36" s="896"/>
      <c r="E36" s="896"/>
      <c r="F36" s="896"/>
      <c r="G36" s="896"/>
      <c r="H36" s="896"/>
      <c r="I36" s="896"/>
      <c r="J36" s="896"/>
      <c r="K36" s="896"/>
      <c r="L36" s="896"/>
      <c r="M36" s="896"/>
      <c r="N36" s="896"/>
      <c r="O36" s="896"/>
      <c r="P36" s="896"/>
    </row>
    <row r="37" spans="1:16">
      <c r="A37" s="896"/>
      <c r="E37" s="896"/>
      <c r="F37" s="896"/>
      <c r="G37" s="896"/>
      <c r="H37" s="896"/>
      <c r="I37" s="896"/>
      <c r="J37" s="896"/>
      <c r="K37" s="896"/>
      <c r="L37" s="896"/>
      <c r="M37" s="896"/>
      <c r="N37" s="896"/>
      <c r="O37" s="896"/>
      <c r="P37" s="896"/>
    </row>
    <row r="38" spans="1:16">
      <c r="A38" s="896"/>
      <c r="E38" s="896"/>
      <c r="F38" s="896"/>
      <c r="G38" s="896"/>
      <c r="H38" s="896"/>
      <c r="I38" s="896"/>
      <c r="J38" s="896"/>
      <c r="K38" s="896"/>
      <c r="L38" s="896"/>
      <c r="M38" s="896"/>
      <c r="N38" s="896"/>
      <c r="O38" s="896"/>
      <c r="P38" s="896"/>
    </row>
    <row r="39" spans="1:16">
      <c r="A39" s="896"/>
      <c r="E39" s="896"/>
      <c r="F39" s="896"/>
      <c r="G39" s="896"/>
      <c r="H39" s="896"/>
      <c r="I39" s="896"/>
      <c r="J39" s="896"/>
      <c r="K39" s="896"/>
      <c r="L39" s="896"/>
      <c r="M39" s="896"/>
      <c r="N39" s="896"/>
      <c r="O39" s="896"/>
      <c r="P39" s="896"/>
    </row>
    <row r="40" spans="1:16">
      <c r="A40" s="896"/>
      <c r="E40" s="896"/>
      <c r="F40" s="896"/>
      <c r="G40" s="896"/>
      <c r="H40" s="896"/>
      <c r="I40" s="896"/>
      <c r="J40" s="896"/>
      <c r="K40" s="896"/>
      <c r="L40" s="896"/>
      <c r="M40" s="896"/>
      <c r="N40" s="896"/>
      <c r="O40" s="896"/>
      <c r="P40" s="896"/>
    </row>
    <row r="41" spans="1:16">
      <c r="A41" s="896"/>
      <c r="E41" s="896"/>
      <c r="F41" s="896"/>
      <c r="G41" s="896"/>
      <c r="H41" s="896"/>
      <c r="I41" s="896"/>
      <c r="J41" s="896"/>
      <c r="K41" s="896"/>
      <c r="L41" s="896"/>
      <c r="M41" s="896"/>
      <c r="N41" s="896"/>
      <c r="O41" s="896"/>
      <c r="P41" s="896"/>
    </row>
    <row r="42" spans="1:16">
      <c r="A42" s="896"/>
      <c r="E42" s="896"/>
      <c r="F42" s="896"/>
      <c r="G42" s="896"/>
      <c r="H42" s="896"/>
      <c r="I42" s="896"/>
      <c r="J42" s="896"/>
      <c r="K42" s="896"/>
      <c r="L42" s="896"/>
      <c r="M42" s="896"/>
      <c r="N42" s="896"/>
      <c r="O42" s="896"/>
      <c r="P42" s="896"/>
    </row>
    <row r="43" spans="1:16">
      <c r="A43" s="896"/>
      <c r="E43" s="896"/>
      <c r="F43" s="896"/>
      <c r="G43" s="896"/>
      <c r="H43" s="896"/>
      <c r="I43" s="896"/>
      <c r="J43" s="896"/>
      <c r="K43" s="896"/>
      <c r="L43" s="896"/>
      <c r="M43" s="896"/>
      <c r="N43" s="896"/>
      <c r="O43" s="896"/>
      <c r="P43" s="896"/>
    </row>
    <row r="44" spans="1:16">
      <c r="A44" s="896"/>
      <c r="E44" s="896"/>
      <c r="F44" s="896"/>
      <c r="G44" s="896"/>
      <c r="H44" s="896"/>
      <c r="I44" s="896"/>
      <c r="J44" s="896"/>
      <c r="K44" s="896"/>
      <c r="L44" s="896"/>
      <c r="M44" s="896"/>
      <c r="N44" s="896"/>
      <c r="O44" s="896"/>
      <c r="P44" s="896"/>
    </row>
    <row r="45" spans="1:16">
      <c r="A45" s="896"/>
      <c r="E45" s="896"/>
      <c r="F45" s="896"/>
      <c r="G45" s="896"/>
      <c r="H45" s="896"/>
      <c r="I45" s="896"/>
      <c r="J45" s="896"/>
      <c r="K45" s="896"/>
      <c r="L45" s="896"/>
      <c r="M45" s="896"/>
      <c r="N45" s="896"/>
      <c r="O45" s="896"/>
      <c r="P45" s="896"/>
    </row>
    <row r="46" spans="1:16">
      <c r="A46" s="896"/>
      <c r="E46" s="896"/>
      <c r="F46" s="896"/>
      <c r="G46" s="896"/>
      <c r="H46" s="896"/>
      <c r="I46" s="896"/>
      <c r="J46" s="896"/>
      <c r="K46" s="896"/>
      <c r="L46" s="896"/>
      <c r="M46" s="896"/>
      <c r="N46" s="896"/>
      <c r="O46" s="896"/>
      <c r="P46" s="896"/>
    </row>
    <row r="47" spans="1:16">
      <c r="A47" s="896"/>
      <c r="E47" s="896"/>
      <c r="F47" s="896"/>
      <c r="G47" s="896"/>
      <c r="H47" s="896"/>
      <c r="I47" s="896"/>
      <c r="J47" s="896"/>
      <c r="K47" s="896"/>
      <c r="L47" s="896"/>
      <c r="M47" s="896"/>
      <c r="N47" s="896"/>
      <c r="O47" s="896"/>
      <c r="P47" s="896"/>
    </row>
    <row r="48" spans="1:16">
      <c r="A48" s="896"/>
      <c r="E48" s="896"/>
      <c r="F48" s="896"/>
      <c r="G48" s="896"/>
      <c r="H48" s="896"/>
      <c r="I48" s="896"/>
      <c r="J48" s="896"/>
      <c r="K48" s="896"/>
      <c r="L48" s="896"/>
      <c r="M48" s="896"/>
      <c r="N48" s="896"/>
      <c r="O48" s="896"/>
      <c r="P48" s="896"/>
    </row>
    <row r="49" spans="1:16">
      <c r="A49" s="896"/>
      <c r="E49" s="896"/>
      <c r="F49" s="896"/>
      <c r="G49" s="896"/>
      <c r="H49" s="896"/>
      <c r="I49" s="896"/>
      <c r="J49" s="896"/>
      <c r="K49" s="896"/>
      <c r="L49" s="896"/>
      <c r="M49" s="896"/>
      <c r="N49" s="896"/>
      <c r="O49" s="896"/>
      <c r="P49" s="896"/>
    </row>
    <row r="50" spans="1:16">
      <c r="A50" s="896"/>
      <c r="E50" s="896"/>
      <c r="F50" s="896"/>
      <c r="G50" s="896"/>
      <c r="H50" s="896"/>
      <c r="I50" s="896"/>
      <c r="J50" s="896"/>
      <c r="K50" s="896"/>
      <c r="L50" s="896"/>
      <c r="M50" s="896"/>
      <c r="N50" s="896"/>
      <c r="O50" s="896"/>
      <c r="P50" s="896"/>
    </row>
    <row r="51" spans="1:16">
      <c r="A51" s="896"/>
      <c r="E51" s="896"/>
      <c r="F51" s="896"/>
      <c r="G51" s="896"/>
      <c r="H51" s="896"/>
      <c r="I51" s="896"/>
      <c r="J51" s="896"/>
      <c r="K51" s="896"/>
      <c r="L51" s="896"/>
      <c r="M51" s="896"/>
      <c r="N51" s="896"/>
      <c r="O51" s="896"/>
      <c r="P51" s="896"/>
    </row>
    <row r="52" spans="1:16">
      <c r="A52" s="896"/>
      <c r="E52" s="896"/>
      <c r="F52" s="896"/>
      <c r="G52" s="896"/>
      <c r="H52" s="896"/>
      <c r="I52" s="896"/>
      <c r="J52" s="896"/>
      <c r="K52" s="896"/>
      <c r="L52" s="896"/>
      <c r="M52" s="896"/>
      <c r="N52" s="896"/>
      <c r="O52" s="896"/>
      <c r="P52" s="896"/>
    </row>
    <row r="53" spans="1:16">
      <c r="A53" s="896"/>
      <c r="E53" s="896"/>
      <c r="F53" s="896"/>
      <c r="G53" s="896"/>
      <c r="H53" s="896"/>
      <c r="I53" s="896"/>
      <c r="J53" s="896"/>
      <c r="K53" s="896"/>
      <c r="L53" s="896"/>
      <c r="M53" s="896"/>
      <c r="N53" s="896"/>
      <c r="O53" s="896"/>
      <c r="P53" s="896"/>
    </row>
    <row r="54" spans="1:16">
      <c r="A54" s="896"/>
      <c r="E54" s="896"/>
      <c r="F54" s="896"/>
      <c r="G54" s="896"/>
      <c r="H54" s="896"/>
      <c r="I54" s="896"/>
      <c r="J54" s="896"/>
      <c r="K54" s="896"/>
      <c r="L54" s="896"/>
      <c r="M54" s="896"/>
      <c r="N54" s="896"/>
      <c r="O54" s="896"/>
      <c r="P54" s="896"/>
    </row>
    <row r="55" spans="1:16">
      <c r="A55" s="896"/>
      <c r="E55" s="896"/>
      <c r="F55" s="896"/>
      <c r="G55" s="896"/>
      <c r="H55" s="896"/>
      <c r="I55" s="896"/>
      <c r="J55" s="896"/>
      <c r="K55" s="896"/>
      <c r="L55" s="896"/>
      <c r="M55" s="896"/>
      <c r="N55" s="896"/>
      <c r="O55" s="896"/>
      <c r="P55" s="896"/>
    </row>
    <row r="56" spans="1:16">
      <c r="A56" s="896"/>
      <c r="E56" s="896"/>
      <c r="F56" s="896"/>
      <c r="G56" s="896"/>
      <c r="H56" s="896"/>
      <c r="I56" s="896"/>
      <c r="J56" s="896"/>
      <c r="K56" s="896"/>
      <c r="L56" s="896"/>
      <c r="M56" s="896"/>
      <c r="N56" s="896"/>
      <c r="O56" s="896"/>
      <c r="P56" s="896"/>
    </row>
    <row r="57" spans="1:16">
      <c r="A57" s="896"/>
      <c r="E57" s="896"/>
      <c r="F57" s="896"/>
      <c r="G57" s="896"/>
      <c r="H57" s="896"/>
      <c r="I57" s="896"/>
      <c r="J57" s="896"/>
      <c r="K57" s="896"/>
      <c r="L57" s="896"/>
      <c r="M57" s="896"/>
      <c r="N57" s="896"/>
      <c r="O57" s="896"/>
      <c r="P57" s="896"/>
    </row>
    <row r="58" spans="1:16">
      <c r="A58" s="896"/>
      <c r="E58" s="896"/>
      <c r="F58" s="896"/>
      <c r="G58" s="896"/>
      <c r="H58" s="896"/>
      <c r="I58" s="896"/>
      <c r="J58" s="896"/>
      <c r="K58" s="896"/>
      <c r="L58" s="896"/>
      <c r="M58" s="896"/>
      <c r="N58" s="896"/>
      <c r="O58" s="896"/>
      <c r="P58" s="896"/>
    </row>
    <row r="59" spans="1:16">
      <c r="A59" s="896"/>
      <c r="E59" s="896"/>
      <c r="F59" s="896"/>
      <c r="G59" s="896"/>
      <c r="H59" s="896"/>
      <c r="I59" s="896"/>
      <c r="J59" s="896"/>
      <c r="K59" s="896"/>
      <c r="L59" s="896"/>
      <c r="M59" s="896"/>
      <c r="N59" s="896"/>
      <c r="O59" s="896"/>
      <c r="P59" s="896"/>
    </row>
    <row r="60" spans="1:16">
      <c r="A60" s="896"/>
      <c r="E60" s="896"/>
      <c r="F60" s="896"/>
      <c r="G60" s="896"/>
      <c r="H60" s="896"/>
      <c r="I60" s="896"/>
      <c r="J60" s="896"/>
      <c r="K60" s="896"/>
      <c r="L60" s="896"/>
      <c r="M60" s="896"/>
      <c r="N60" s="896"/>
      <c r="O60" s="896"/>
      <c r="P60" s="896"/>
    </row>
    <row r="61" spans="1:16">
      <c r="A61" s="896"/>
      <c r="E61" s="896"/>
      <c r="F61" s="896"/>
      <c r="G61" s="896"/>
      <c r="H61" s="896"/>
      <c r="I61" s="896"/>
      <c r="J61" s="896"/>
      <c r="K61" s="896"/>
      <c r="L61" s="896"/>
      <c r="M61" s="896"/>
      <c r="N61" s="896"/>
      <c r="O61" s="896"/>
      <c r="P61" s="896"/>
    </row>
    <row r="62" spans="1:16">
      <c r="A62" s="896"/>
      <c r="E62" s="896"/>
      <c r="F62" s="896"/>
      <c r="G62" s="896"/>
      <c r="H62" s="896"/>
      <c r="I62" s="896"/>
      <c r="J62" s="896"/>
      <c r="K62" s="896"/>
      <c r="L62" s="896"/>
      <c r="M62" s="896"/>
      <c r="N62" s="896"/>
      <c r="O62" s="896"/>
      <c r="P62" s="896"/>
    </row>
    <row r="63" spans="1:16">
      <c r="A63" s="896"/>
      <c r="E63" s="896"/>
      <c r="F63" s="896"/>
      <c r="G63" s="896"/>
      <c r="H63" s="896"/>
      <c r="I63" s="896"/>
      <c r="J63" s="896"/>
      <c r="K63" s="896"/>
      <c r="L63" s="896"/>
      <c r="M63" s="896"/>
      <c r="N63" s="896"/>
      <c r="O63" s="896"/>
      <c r="P63" s="896"/>
    </row>
    <row r="64" spans="1:16">
      <c r="A64" s="896"/>
      <c r="E64" s="896"/>
      <c r="F64" s="896"/>
      <c r="G64" s="896"/>
      <c r="H64" s="896"/>
      <c r="I64" s="896"/>
      <c r="J64" s="896"/>
      <c r="K64" s="896"/>
      <c r="L64" s="896"/>
      <c r="M64" s="896"/>
      <c r="N64" s="896"/>
      <c r="O64" s="896"/>
      <c r="P64" s="896"/>
    </row>
    <row r="65" spans="1:16">
      <c r="A65" s="896"/>
      <c r="E65" s="896"/>
      <c r="F65" s="896"/>
      <c r="G65" s="896"/>
      <c r="H65" s="896"/>
      <c r="I65" s="896"/>
      <c r="J65" s="896"/>
      <c r="K65" s="896"/>
      <c r="L65" s="896"/>
      <c r="M65" s="896"/>
      <c r="N65" s="896"/>
      <c r="O65" s="896"/>
      <c r="P65" s="896"/>
    </row>
    <row r="66" spans="1:16">
      <c r="A66" s="896"/>
      <c r="E66" s="896"/>
      <c r="F66" s="896"/>
      <c r="G66" s="896"/>
      <c r="H66" s="896"/>
      <c r="I66" s="896"/>
      <c r="J66" s="896"/>
      <c r="K66" s="896"/>
      <c r="L66" s="896"/>
      <c r="M66" s="896"/>
      <c r="N66" s="896"/>
      <c r="O66" s="896"/>
      <c r="P66" s="896"/>
    </row>
    <row r="67" spans="1:16">
      <c r="A67" s="896"/>
      <c r="E67" s="896"/>
      <c r="F67" s="896"/>
      <c r="G67" s="896"/>
      <c r="H67" s="896"/>
      <c r="I67" s="896"/>
      <c r="J67" s="896"/>
      <c r="K67" s="896"/>
      <c r="L67" s="896"/>
      <c r="M67" s="896"/>
      <c r="N67" s="896"/>
      <c r="O67" s="896"/>
      <c r="P67" s="896"/>
    </row>
    <row r="68" spans="1:16">
      <c r="A68" s="896"/>
      <c r="E68" s="896"/>
      <c r="F68" s="896"/>
      <c r="G68" s="896"/>
      <c r="H68" s="896"/>
      <c r="I68" s="896"/>
      <c r="J68" s="896"/>
      <c r="K68" s="896"/>
      <c r="L68" s="896"/>
      <c r="M68" s="896"/>
      <c r="N68" s="896"/>
      <c r="O68" s="896"/>
      <c r="P68" s="896"/>
    </row>
    <row r="69" spans="1:16">
      <c r="A69" s="896"/>
      <c r="E69" s="896"/>
      <c r="F69" s="896"/>
      <c r="G69" s="896"/>
      <c r="H69" s="896"/>
      <c r="I69" s="896"/>
      <c r="J69" s="896"/>
      <c r="K69" s="896"/>
      <c r="L69" s="896"/>
      <c r="M69" s="896"/>
      <c r="N69" s="896"/>
      <c r="O69" s="896"/>
      <c r="P69" s="896"/>
    </row>
    <row r="70" spans="1:16">
      <c r="A70" s="896"/>
      <c r="E70" s="896"/>
      <c r="F70" s="896"/>
      <c r="G70" s="896"/>
      <c r="H70" s="896"/>
      <c r="I70" s="896"/>
      <c r="J70" s="896"/>
      <c r="K70" s="896"/>
      <c r="L70" s="896"/>
      <c r="M70" s="896"/>
      <c r="N70" s="896"/>
      <c r="O70" s="896"/>
      <c r="P70" s="896"/>
    </row>
    <row r="71" spans="1:16">
      <c r="A71" s="896"/>
      <c r="E71" s="896"/>
      <c r="F71" s="896"/>
      <c r="G71" s="896"/>
      <c r="H71" s="896"/>
      <c r="I71" s="896"/>
      <c r="J71" s="896"/>
      <c r="K71" s="896"/>
      <c r="L71" s="896"/>
      <c r="M71" s="896"/>
      <c r="N71" s="896"/>
      <c r="O71" s="896"/>
      <c r="P71" s="896"/>
    </row>
    <row r="72" spans="1:16">
      <c r="A72" s="896"/>
      <c r="E72" s="896"/>
      <c r="F72" s="896"/>
      <c r="G72" s="896"/>
      <c r="H72" s="896"/>
      <c r="I72" s="896"/>
      <c r="J72" s="896"/>
      <c r="K72" s="896"/>
      <c r="L72" s="896"/>
      <c r="M72" s="896"/>
      <c r="N72" s="896"/>
      <c r="O72" s="896"/>
      <c r="P72" s="896"/>
    </row>
    <row r="73" spans="1:16">
      <c r="A73" s="896"/>
      <c r="E73" s="896"/>
      <c r="F73" s="896"/>
      <c r="G73" s="896"/>
      <c r="H73" s="896"/>
      <c r="I73" s="896"/>
      <c r="J73" s="896"/>
      <c r="K73" s="896"/>
      <c r="L73" s="896"/>
      <c r="M73" s="896"/>
      <c r="N73" s="896"/>
      <c r="O73" s="896"/>
      <c r="P73" s="896"/>
    </row>
    <row r="74" spans="1:16">
      <c r="A74" s="896"/>
      <c r="E74" s="896"/>
      <c r="F74" s="896"/>
      <c r="G74" s="896"/>
      <c r="H74" s="896"/>
      <c r="I74" s="896"/>
      <c r="J74" s="896"/>
      <c r="K74" s="896"/>
      <c r="L74" s="896"/>
      <c r="M74" s="896"/>
      <c r="N74" s="896"/>
      <c r="O74" s="896"/>
      <c r="P74" s="896"/>
    </row>
    <row r="75" spans="1:16">
      <c r="A75" s="896"/>
      <c r="E75" s="896"/>
      <c r="F75" s="896"/>
      <c r="G75" s="896"/>
      <c r="H75" s="896"/>
      <c r="I75" s="896"/>
      <c r="J75" s="896"/>
      <c r="K75" s="896"/>
      <c r="L75" s="896"/>
      <c r="M75" s="896"/>
      <c r="N75" s="896"/>
      <c r="O75" s="896"/>
      <c r="P75" s="896"/>
    </row>
    <row r="76" spans="1:16">
      <c r="A76" s="896"/>
      <c r="E76" s="896"/>
      <c r="F76" s="896"/>
      <c r="G76" s="896"/>
      <c r="H76" s="896"/>
      <c r="I76" s="896"/>
      <c r="J76" s="896"/>
      <c r="K76" s="896"/>
      <c r="L76" s="896"/>
      <c r="M76" s="896"/>
      <c r="N76" s="896"/>
      <c r="O76" s="896"/>
      <c r="P76" s="896"/>
    </row>
    <row r="77" spans="1:16">
      <c r="A77" s="896"/>
      <c r="E77" s="896"/>
      <c r="F77" s="896"/>
      <c r="G77" s="896"/>
      <c r="H77" s="896"/>
      <c r="I77" s="896"/>
      <c r="J77" s="896"/>
      <c r="K77" s="896"/>
      <c r="L77" s="896"/>
      <c r="M77" s="896"/>
      <c r="N77" s="896"/>
      <c r="O77" s="896"/>
      <c r="P77" s="896"/>
    </row>
    <row r="78" spans="1:16">
      <c r="A78" s="896"/>
      <c r="E78" s="896"/>
      <c r="F78" s="896"/>
      <c r="G78" s="896"/>
      <c r="H78" s="896"/>
      <c r="I78" s="896"/>
      <c r="J78" s="896"/>
      <c r="K78" s="896"/>
      <c r="L78" s="896"/>
      <c r="M78" s="896"/>
      <c r="N78" s="896"/>
      <c r="O78" s="896"/>
      <c r="P78" s="896"/>
    </row>
    <row r="79" spans="1:16">
      <c r="A79" s="896"/>
      <c r="E79" s="896"/>
      <c r="F79" s="896"/>
      <c r="G79" s="896"/>
      <c r="H79" s="896"/>
      <c r="I79" s="896"/>
      <c r="J79" s="896"/>
      <c r="K79" s="896"/>
      <c r="L79" s="896"/>
      <c r="M79" s="896"/>
      <c r="N79" s="896"/>
      <c r="O79" s="896"/>
      <c r="P79" s="896"/>
    </row>
    <row r="80" spans="1:16">
      <c r="A80" s="896"/>
      <c r="E80" s="896"/>
      <c r="F80" s="896"/>
      <c r="G80" s="896"/>
      <c r="H80" s="896"/>
      <c r="I80" s="896"/>
      <c r="J80" s="896"/>
      <c r="K80" s="896"/>
      <c r="L80" s="896"/>
      <c r="M80" s="896"/>
      <c r="N80" s="896"/>
      <c r="O80" s="896"/>
      <c r="P80" s="896"/>
    </row>
    <row r="81" spans="1:16">
      <c r="A81" s="896"/>
      <c r="E81" s="896"/>
      <c r="F81" s="896"/>
      <c r="G81" s="896"/>
      <c r="H81" s="896"/>
      <c r="I81" s="896"/>
      <c r="J81" s="896"/>
      <c r="K81" s="896"/>
      <c r="L81" s="896"/>
      <c r="M81" s="896"/>
      <c r="N81" s="896"/>
      <c r="O81" s="896"/>
      <c r="P81" s="896"/>
    </row>
    <row r="82" spans="1:16">
      <c r="A82" s="896"/>
      <c r="E82" s="896"/>
      <c r="F82" s="896"/>
      <c r="G82" s="896"/>
      <c r="H82" s="896"/>
      <c r="I82" s="896"/>
      <c r="J82" s="896"/>
      <c r="K82" s="896"/>
      <c r="L82" s="896"/>
      <c r="M82" s="896"/>
      <c r="N82" s="896"/>
      <c r="O82" s="896"/>
      <c r="P82" s="896"/>
    </row>
    <row r="83" spans="1:16">
      <c r="A83" s="896"/>
      <c r="E83" s="896"/>
      <c r="F83" s="896"/>
      <c r="G83" s="896"/>
      <c r="H83" s="896"/>
      <c r="I83" s="896"/>
      <c r="J83" s="896"/>
      <c r="K83" s="896"/>
      <c r="L83" s="896"/>
      <c r="M83" s="896"/>
      <c r="N83" s="896"/>
      <c r="O83" s="896"/>
      <c r="P83" s="896"/>
    </row>
    <row r="84" spans="1:16">
      <c r="A84" s="896"/>
      <c r="E84" s="896"/>
      <c r="F84" s="896"/>
      <c r="G84" s="896"/>
      <c r="H84" s="896"/>
      <c r="I84" s="896"/>
      <c r="J84" s="896"/>
      <c r="K84" s="896"/>
      <c r="L84" s="896"/>
      <c r="M84" s="896"/>
      <c r="N84" s="896"/>
      <c r="O84" s="896"/>
      <c r="P84" s="896"/>
    </row>
    <row r="85" spans="1:16">
      <c r="A85" s="896"/>
      <c r="E85" s="896"/>
      <c r="F85" s="896"/>
      <c r="G85" s="896"/>
      <c r="H85" s="896"/>
      <c r="I85" s="896"/>
      <c r="J85" s="896"/>
      <c r="K85" s="896"/>
      <c r="L85" s="896"/>
      <c r="M85" s="896"/>
      <c r="N85" s="896"/>
      <c r="O85" s="896"/>
      <c r="P85" s="896"/>
    </row>
    <row r="86" spans="1:16">
      <c r="A86" s="896"/>
      <c r="E86" s="896"/>
      <c r="F86" s="896"/>
      <c r="G86" s="896"/>
      <c r="H86" s="896"/>
      <c r="I86" s="896"/>
      <c r="J86" s="896"/>
      <c r="K86" s="896"/>
      <c r="L86" s="896"/>
      <c r="M86" s="896"/>
      <c r="N86" s="896"/>
      <c r="O86" s="896"/>
      <c r="P86" s="896"/>
    </row>
    <row r="87" spans="1:16">
      <c r="A87" s="896"/>
      <c r="E87" s="896"/>
      <c r="F87" s="896"/>
      <c r="G87" s="896"/>
      <c r="H87" s="896"/>
      <c r="I87" s="896"/>
      <c r="J87" s="896"/>
      <c r="K87" s="896"/>
      <c r="L87" s="896"/>
      <c r="M87" s="896"/>
      <c r="N87" s="896"/>
      <c r="O87" s="896"/>
      <c r="P87" s="896"/>
    </row>
    <row r="88" spans="1:16">
      <c r="A88" s="896"/>
      <c r="E88" s="896"/>
      <c r="F88" s="896"/>
      <c r="G88" s="896"/>
      <c r="H88" s="896"/>
      <c r="I88" s="896"/>
      <c r="J88" s="896"/>
      <c r="K88" s="896"/>
      <c r="L88" s="896"/>
      <c r="M88" s="896"/>
      <c r="N88" s="896"/>
      <c r="O88" s="896"/>
      <c r="P88" s="896"/>
    </row>
    <row r="89" spans="1:16">
      <c r="A89" s="896"/>
      <c r="E89" s="896"/>
      <c r="F89" s="896"/>
      <c r="G89" s="896"/>
      <c r="H89" s="896"/>
      <c r="I89" s="896"/>
      <c r="J89" s="896"/>
      <c r="K89" s="896"/>
      <c r="L89" s="896"/>
      <c r="M89" s="896"/>
      <c r="N89" s="896"/>
      <c r="O89" s="896"/>
      <c r="P89" s="896"/>
    </row>
    <row r="90" spans="1:16">
      <c r="A90" s="896"/>
      <c r="E90" s="896"/>
      <c r="F90" s="896"/>
      <c r="G90" s="896"/>
      <c r="H90" s="896"/>
      <c r="I90" s="896"/>
      <c r="J90" s="896"/>
      <c r="K90" s="896"/>
      <c r="L90" s="896"/>
      <c r="M90" s="896"/>
      <c r="N90" s="896"/>
      <c r="O90" s="896"/>
      <c r="P90" s="896"/>
    </row>
    <row r="91" spans="1:16">
      <c r="A91" s="896"/>
      <c r="E91" s="896"/>
      <c r="F91" s="896"/>
      <c r="G91" s="896"/>
      <c r="H91" s="896"/>
      <c r="I91" s="896"/>
      <c r="J91" s="896"/>
      <c r="K91" s="896"/>
      <c r="L91" s="896"/>
      <c r="M91" s="896"/>
      <c r="N91" s="896"/>
      <c r="O91" s="896"/>
      <c r="P91" s="896"/>
    </row>
    <row r="92" spans="1:16">
      <c r="A92" s="896"/>
      <c r="E92" s="896"/>
      <c r="F92" s="896"/>
      <c r="G92" s="896"/>
      <c r="H92" s="896"/>
      <c r="I92" s="896"/>
      <c r="J92" s="896"/>
      <c r="K92" s="896"/>
      <c r="L92" s="896"/>
      <c r="M92" s="896"/>
      <c r="N92" s="896"/>
      <c r="O92" s="896"/>
      <c r="P92" s="896"/>
    </row>
    <row r="93" spans="1:16">
      <c r="A93" s="896"/>
      <c r="E93" s="896"/>
      <c r="F93" s="896"/>
      <c r="G93" s="896"/>
      <c r="H93" s="896"/>
      <c r="I93" s="896"/>
      <c r="J93" s="896"/>
      <c r="K93" s="896"/>
      <c r="L93" s="896"/>
      <c r="M93" s="896"/>
      <c r="N93" s="896"/>
      <c r="O93" s="896"/>
      <c r="P93" s="896"/>
    </row>
    <row r="94" spans="1:16">
      <c r="A94" s="896"/>
      <c r="E94" s="896"/>
      <c r="F94" s="896"/>
      <c r="G94" s="896"/>
      <c r="H94" s="896"/>
      <c r="I94" s="896"/>
      <c r="J94" s="896"/>
      <c r="K94" s="896"/>
      <c r="L94" s="896"/>
      <c r="M94" s="896"/>
      <c r="N94" s="896"/>
      <c r="O94" s="896"/>
      <c r="P94" s="896"/>
    </row>
    <row r="95" spans="1:16">
      <c r="A95" s="896"/>
      <c r="E95" s="896"/>
      <c r="F95" s="896"/>
      <c r="G95" s="896"/>
      <c r="H95" s="896"/>
      <c r="I95" s="896"/>
      <c r="J95" s="896"/>
      <c r="K95" s="896"/>
      <c r="L95" s="896"/>
      <c r="M95" s="896"/>
      <c r="N95" s="896"/>
      <c r="O95" s="896"/>
      <c r="P95" s="896"/>
    </row>
    <row r="96" spans="1:16">
      <c r="A96" s="896"/>
      <c r="E96" s="896"/>
      <c r="F96" s="896"/>
      <c r="G96" s="896"/>
      <c r="H96" s="896"/>
      <c r="I96" s="896"/>
      <c r="J96" s="896"/>
      <c r="K96" s="896"/>
      <c r="L96" s="896"/>
      <c r="M96" s="896"/>
      <c r="N96" s="896"/>
      <c r="O96" s="896"/>
      <c r="P96" s="896"/>
    </row>
    <row r="97" spans="1:16">
      <c r="A97" s="896"/>
      <c r="E97" s="896"/>
      <c r="F97" s="896"/>
      <c r="G97" s="896"/>
      <c r="H97" s="896"/>
      <c r="I97" s="896"/>
      <c r="J97" s="896"/>
      <c r="K97" s="896"/>
      <c r="L97" s="896"/>
      <c r="M97" s="896"/>
      <c r="N97" s="896"/>
      <c r="O97" s="896"/>
      <c r="P97" s="896"/>
    </row>
    <row r="98" spans="1:16">
      <c r="A98" s="896"/>
      <c r="E98" s="896"/>
      <c r="F98" s="896"/>
      <c r="G98" s="896"/>
      <c r="H98" s="896"/>
      <c r="I98" s="896"/>
      <c r="J98" s="896"/>
      <c r="K98" s="896"/>
      <c r="L98" s="896"/>
      <c r="M98" s="896"/>
      <c r="N98" s="896"/>
      <c r="O98" s="896"/>
      <c r="P98" s="896"/>
    </row>
    <row r="99" spans="1:16">
      <c r="A99" s="896"/>
      <c r="E99" s="896"/>
      <c r="F99" s="896"/>
      <c r="G99" s="896"/>
      <c r="H99" s="896"/>
      <c r="I99" s="896"/>
      <c r="J99" s="896"/>
      <c r="K99" s="896"/>
      <c r="L99" s="896"/>
      <c r="M99" s="896"/>
      <c r="N99" s="896"/>
      <c r="O99" s="896"/>
      <c r="P99" s="896"/>
    </row>
    <row r="100" spans="1:16">
      <c r="A100" s="896"/>
      <c r="E100" s="896"/>
      <c r="F100" s="896"/>
      <c r="G100" s="896"/>
      <c r="H100" s="896"/>
      <c r="I100" s="896"/>
      <c r="J100" s="896"/>
      <c r="K100" s="896"/>
      <c r="L100" s="896"/>
      <c r="M100" s="896"/>
      <c r="N100" s="896"/>
      <c r="O100" s="896"/>
      <c r="P100" s="896"/>
    </row>
    <row r="101" spans="1:16">
      <c r="A101" s="896"/>
      <c r="E101" s="896"/>
      <c r="F101" s="896"/>
      <c r="G101" s="896"/>
      <c r="H101" s="896"/>
      <c r="I101" s="896"/>
      <c r="J101" s="896"/>
      <c r="K101" s="896"/>
      <c r="L101" s="896"/>
      <c r="M101" s="896"/>
      <c r="N101" s="896"/>
      <c r="O101" s="896"/>
      <c r="P101" s="896"/>
    </row>
    <row r="102" spans="1:16">
      <c r="A102" s="896"/>
      <c r="E102" s="896"/>
      <c r="F102" s="896"/>
      <c r="G102" s="896"/>
      <c r="H102" s="896"/>
      <c r="I102" s="896"/>
      <c r="J102" s="896"/>
      <c r="K102" s="896"/>
      <c r="L102" s="896"/>
      <c r="M102" s="896"/>
      <c r="N102" s="896"/>
      <c r="O102" s="896"/>
      <c r="P102" s="896"/>
    </row>
    <row r="103" spans="1:16">
      <c r="A103" s="896"/>
      <c r="E103" s="896"/>
      <c r="F103" s="896"/>
      <c r="G103" s="896"/>
      <c r="H103" s="896"/>
      <c r="I103" s="896"/>
      <c r="J103" s="896"/>
      <c r="K103" s="896"/>
      <c r="L103" s="896"/>
      <c r="M103" s="896"/>
      <c r="N103" s="896"/>
      <c r="O103" s="896"/>
      <c r="P103" s="896"/>
    </row>
    <row r="104" spans="1:16">
      <c r="A104" s="896"/>
      <c r="E104" s="896"/>
      <c r="F104" s="896"/>
      <c r="G104" s="896"/>
      <c r="H104" s="896"/>
      <c r="I104" s="896"/>
      <c r="J104" s="896"/>
      <c r="K104" s="896"/>
      <c r="L104" s="896"/>
      <c r="M104" s="896"/>
      <c r="N104" s="896"/>
      <c r="O104" s="896"/>
      <c r="P104" s="896"/>
    </row>
    <row r="105" spans="1:16">
      <c r="A105" s="896"/>
      <c r="E105" s="896"/>
      <c r="F105" s="896"/>
      <c r="G105" s="896"/>
      <c r="H105" s="896"/>
      <c r="I105" s="896"/>
      <c r="J105" s="896"/>
      <c r="K105" s="896"/>
      <c r="L105" s="896"/>
      <c r="M105" s="896"/>
      <c r="N105" s="896"/>
      <c r="O105" s="896"/>
      <c r="P105" s="896"/>
    </row>
    <row r="106" spans="1:16">
      <c r="A106" s="896"/>
      <c r="E106" s="896"/>
      <c r="F106" s="896"/>
      <c r="G106" s="896"/>
      <c r="H106" s="896"/>
      <c r="I106" s="896"/>
      <c r="J106" s="896"/>
      <c r="K106" s="896"/>
      <c r="L106" s="896"/>
      <c r="M106" s="896"/>
      <c r="N106" s="896"/>
      <c r="O106" s="896"/>
      <c r="P106" s="896"/>
    </row>
    <row r="107" spans="1:16">
      <c r="A107" s="896"/>
      <c r="E107" s="896"/>
      <c r="F107" s="896"/>
      <c r="G107" s="896"/>
      <c r="H107" s="896"/>
      <c r="I107" s="896"/>
      <c r="J107" s="896"/>
      <c r="K107" s="896"/>
      <c r="L107" s="896"/>
      <c r="M107" s="896"/>
      <c r="N107" s="896"/>
      <c r="O107" s="896"/>
      <c r="P107" s="896"/>
    </row>
    <row r="108" spans="1:16">
      <c r="A108" s="896"/>
      <c r="E108" s="896"/>
      <c r="F108" s="896"/>
      <c r="G108" s="896"/>
      <c r="H108" s="896"/>
      <c r="I108" s="896"/>
      <c r="J108" s="896"/>
      <c r="K108" s="896"/>
      <c r="L108" s="896"/>
      <c r="M108" s="896"/>
      <c r="N108" s="896"/>
      <c r="O108" s="896"/>
      <c r="P108" s="896"/>
    </row>
    <row r="109" spans="1:16">
      <c r="A109" s="896"/>
      <c r="E109" s="896"/>
      <c r="F109" s="896"/>
      <c r="G109" s="896"/>
      <c r="H109" s="896"/>
      <c r="I109" s="896"/>
      <c r="J109" s="896"/>
      <c r="K109" s="896"/>
      <c r="L109" s="896"/>
      <c r="M109" s="896"/>
      <c r="N109" s="896"/>
      <c r="O109" s="896"/>
      <c r="P109" s="896"/>
    </row>
    <row r="110" spans="1:16">
      <c r="A110" s="896"/>
      <c r="E110" s="896"/>
      <c r="F110" s="896"/>
      <c r="G110" s="896"/>
      <c r="H110" s="896"/>
      <c r="I110" s="896"/>
      <c r="J110" s="896"/>
      <c r="K110" s="896"/>
      <c r="L110" s="896"/>
      <c r="M110" s="896"/>
      <c r="N110" s="896"/>
      <c r="O110" s="896"/>
      <c r="P110" s="896"/>
    </row>
    <row r="111" spans="1:16">
      <c r="A111" s="896"/>
      <c r="E111" s="896"/>
      <c r="F111" s="896"/>
      <c r="G111" s="896"/>
      <c r="H111" s="896"/>
      <c r="I111" s="896"/>
      <c r="J111" s="896"/>
      <c r="K111" s="896"/>
      <c r="L111" s="896"/>
      <c r="M111" s="896"/>
      <c r="N111" s="896"/>
      <c r="O111" s="896"/>
      <c r="P111" s="896"/>
    </row>
    <row r="112" spans="1:16">
      <c r="A112" s="896"/>
      <c r="E112" s="896"/>
      <c r="F112" s="896"/>
      <c r="G112" s="896"/>
      <c r="H112" s="896"/>
      <c r="I112" s="896"/>
      <c r="J112" s="896"/>
      <c r="K112" s="896"/>
      <c r="L112" s="896"/>
      <c r="M112" s="896"/>
      <c r="N112" s="896"/>
      <c r="O112" s="896"/>
      <c r="P112" s="896"/>
    </row>
    <row r="113" spans="1:16">
      <c r="A113" s="896"/>
      <c r="E113" s="896"/>
      <c r="F113" s="896"/>
      <c r="G113" s="896"/>
      <c r="H113" s="896"/>
      <c r="I113" s="896"/>
      <c r="J113" s="896"/>
      <c r="K113" s="896"/>
      <c r="L113" s="896"/>
      <c r="M113" s="896"/>
      <c r="N113" s="896"/>
      <c r="O113" s="896"/>
      <c r="P113" s="896"/>
    </row>
    <row r="114" spans="1:16">
      <c r="A114" s="896"/>
      <c r="E114" s="896"/>
      <c r="F114" s="896"/>
      <c r="G114" s="896"/>
      <c r="H114" s="896"/>
      <c r="I114" s="896"/>
      <c r="J114" s="896"/>
      <c r="K114" s="896"/>
      <c r="L114" s="896"/>
      <c r="M114" s="896"/>
      <c r="N114" s="896"/>
      <c r="O114" s="896"/>
      <c r="P114" s="896"/>
    </row>
    <row r="115" spans="1:16">
      <c r="A115" s="896"/>
      <c r="E115" s="896"/>
      <c r="F115" s="896"/>
      <c r="G115" s="896"/>
      <c r="H115" s="896"/>
      <c r="I115" s="896"/>
      <c r="J115" s="896"/>
      <c r="K115" s="896"/>
      <c r="L115" s="896"/>
      <c r="M115" s="896"/>
      <c r="N115" s="896"/>
      <c r="O115" s="896"/>
      <c r="P115" s="896"/>
    </row>
    <row r="116" spans="1:16">
      <c r="A116" s="896"/>
      <c r="E116" s="896"/>
      <c r="F116" s="896"/>
      <c r="G116" s="896"/>
      <c r="H116" s="896"/>
      <c r="I116" s="896"/>
      <c r="J116" s="896"/>
      <c r="K116" s="896"/>
      <c r="L116" s="896"/>
      <c r="M116" s="896"/>
      <c r="N116" s="896"/>
      <c r="O116" s="896"/>
      <c r="P116" s="896"/>
    </row>
    <row r="117" spans="1:16">
      <c r="A117" s="896"/>
      <c r="E117" s="896"/>
      <c r="F117" s="896"/>
      <c r="G117" s="896"/>
      <c r="H117" s="896"/>
      <c r="I117" s="896"/>
      <c r="J117" s="896"/>
      <c r="K117" s="896"/>
      <c r="L117" s="896"/>
      <c r="M117" s="896"/>
      <c r="N117" s="896"/>
      <c r="O117" s="896"/>
      <c r="P117" s="896"/>
    </row>
    <row r="118" spans="1:16">
      <c r="A118" s="896"/>
      <c r="E118" s="896"/>
      <c r="F118" s="896"/>
      <c r="G118" s="896"/>
      <c r="H118" s="896"/>
      <c r="I118" s="896"/>
      <c r="J118" s="896"/>
      <c r="K118" s="896"/>
      <c r="L118" s="896"/>
      <c r="M118" s="896"/>
      <c r="N118" s="896"/>
      <c r="O118" s="896"/>
      <c r="P118" s="896"/>
    </row>
    <row r="119" spans="1:16">
      <c r="A119" s="896"/>
      <c r="E119" s="896"/>
      <c r="F119" s="896"/>
      <c r="G119" s="896"/>
      <c r="H119" s="896"/>
      <c r="I119" s="896"/>
      <c r="J119" s="896"/>
      <c r="K119" s="896"/>
      <c r="L119" s="896"/>
      <c r="M119" s="896"/>
      <c r="N119" s="896"/>
      <c r="O119" s="896"/>
      <c r="P119" s="896"/>
    </row>
    <row r="120" spans="1:16">
      <c r="A120" s="896"/>
      <c r="E120" s="896"/>
      <c r="F120" s="896"/>
      <c r="G120" s="896"/>
      <c r="H120" s="896"/>
      <c r="I120" s="896"/>
      <c r="J120" s="896"/>
      <c r="K120" s="896"/>
      <c r="L120" s="896"/>
      <c r="M120" s="896"/>
      <c r="N120" s="896"/>
      <c r="O120" s="896"/>
      <c r="P120" s="896"/>
    </row>
    <row r="121" spans="1:16">
      <c r="A121" s="896"/>
      <c r="E121" s="896"/>
      <c r="F121" s="896"/>
      <c r="G121" s="896"/>
      <c r="H121" s="896"/>
      <c r="I121" s="896"/>
      <c r="J121" s="896"/>
      <c r="K121" s="896"/>
      <c r="L121" s="896"/>
      <c r="M121" s="896"/>
      <c r="N121" s="896"/>
      <c r="O121" s="896"/>
      <c r="P121" s="896"/>
    </row>
    <row r="122" spans="1:16">
      <c r="A122" s="896"/>
      <c r="E122" s="896"/>
      <c r="F122" s="896"/>
      <c r="G122" s="896"/>
      <c r="H122" s="896"/>
      <c r="I122" s="896"/>
      <c r="J122" s="896"/>
      <c r="K122" s="896"/>
      <c r="L122" s="896"/>
      <c r="M122" s="896"/>
      <c r="N122" s="896"/>
      <c r="O122" s="896"/>
      <c r="P122" s="896"/>
    </row>
    <row r="123" spans="1:16">
      <c r="A123" s="896"/>
      <c r="E123" s="896"/>
      <c r="F123" s="896"/>
      <c r="G123" s="896"/>
      <c r="H123" s="896"/>
      <c r="I123" s="896"/>
      <c r="J123" s="896"/>
      <c r="K123" s="896"/>
      <c r="L123" s="896"/>
      <c r="M123" s="896"/>
      <c r="N123" s="896"/>
      <c r="O123" s="896"/>
      <c r="P123" s="896"/>
    </row>
    <row r="124" spans="1:16">
      <c r="A124" s="896"/>
      <c r="E124" s="896"/>
      <c r="F124" s="896"/>
      <c r="G124" s="896"/>
      <c r="H124" s="896"/>
      <c r="I124" s="896"/>
      <c r="J124" s="896"/>
      <c r="K124" s="896"/>
      <c r="L124" s="896"/>
      <c r="M124" s="896"/>
      <c r="N124" s="896"/>
      <c r="O124" s="896"/>
      <c r="P124" s="896"/>
    </row>
    <row r="125" spans="1:16">
      <c r="A125" s="896"/>
      <c r="E125" s="896"/>
      <c r="F125" s="896"/>
      <c r="G125" s="896"/>
      <c r="H125" s="896"/>
      <c r="I125" s="896"/>
      <c r="J125" s="896"/>
      <c r="K125" s="896"/>
      <c r="L125" s="896"/>
      <c r="M125" s="896"/>
      <c r="N125" s="896"/>
      <c r="O125" s="896"/>
      <c r="P125" s="896"/>
    </row>
    <row r="126" spans="1:16">
      <c r="A126" s="896"/>
      <c r="E126" s="896"/>
      <c r="F126" s="896"/>
      <c r="G126" s="896"/>
      <c r="H126" s="896"/>
      <c r="I126" s="896"/>
      <c r="J126" s="896"/>
      <c r="K126" s="896"/>
      <c r="L126" s="896"/>
      <c r="M126" s="896"/>
      <c r="N126" s="896"/>
      <c r="O126" s="896"/>
      <c r="P126" s="896"/>
    </row>
    <row r="127" spans="1:16">
      <c r="A127" s="896"/>
      <c r="E127" s="896"/>
      <c r="F127" s="896"/>
      <c r="G127" s="896"/>
      <c r="H127" s="896"/>
      <c r="I127" s="896"/>
      <c r="J127" s="896"/>
      <c r="K127" s="896"/>
      <c r="L127" s="896"/>
      <c r="M127" s="896"/>
      <c r="N127" s="896"/>
      <c r="O127" s="896"/>
      <c r="P127" s="896"/>
    </row>
    <row r="128" spans="1:16">
      <c r="A128" s="896"/>
      <c r="E128" s="896"/>
      <c r="F128" s="896"/>
      <c r="G128" s="896"/>
      <c r="H128" s="896"/>
      <c r="I128" s="896"/>
      <c r="J128" s="896"/>
      <c r="K128" s="896"/>
      <c r="L128" s="896"/>
      <c r="M128" s="896"/>
      <c r="N128" s="896"/>
      <c r="O128" s="896"/>
      <c r="P128" s="896"/>
    </row>
    <row r="129" spans="1:16">
      <c r="A129" s="896"/>
      <c r="E129" s="896"/>
      <c r="F129" s="896"/>
      <c r="G129" s="896"/>
      <c r="H129" s="896"/>
      <c r="I129" s="896"/>
      <c r="J129" s="896"/>
      <c r="K129" s="896"/>
      <c r="L129" s="896"/>
      <c r="M129" s="896"/>
      <c r="N129" s="896"/>
      <c r="O129" s="896"/>
      <c r="P129" s="896"/>
    </row>
    <row r="130" spans="1:16">
      <c r="A130" s="896"/>
      <c r="E130" s="896"/>
      <c r="F130" s="896"/>
      <c r="G130" s="896"/>
      <c r="H130" s="896"/>
      <c r="I130" s="896"/>
      <c r="J130" s="896"/>
      <c r="K130" s="896"/>
      <c r="L130" s="896"/>
      <c r="M130" s="896"/>
      <c r="N130" s="896"/>
      <c r="O130" s="896"/>
      <c r="P130" s="896"/>
    </row>
    <row r="131" spans="1:16">
      <c r="A131" s="896"/>
      <c r="E131" s="896"/>
      <c r="F131" s="896"/>
      <c r="G131" s="896"/>
      <c r="H131" s="896"/>
      <c r="I131" s="896"/>
      <c r="J131" s="896"/>
      <c r="K131" s="896"/>
      <c r="L131" s="896"/>
      <c r="M131" s="896"/>
      <c r="N131" s="896"/>
      <c r="O131" s="896"/>
      <c r="P131" s="896"/>
    </row>
    <row r="132" spans="1:16">
      <c r="A132" s="896"/>
      <c r="E132" s="896"/>
      <c r="F132" s="896"/>
      <c r="G132" s="896"/>
      <c r="H132" s="896"/>
      <c r="I132" s="896"/>
      <c r="J132" s="896"/>
      <c r="K132" s="896"/>
      <c r="L132" s="896"/>
      <c r="M132" s="896"/>
      <c r="N132" s="896"/>
      <c r="O132" s="896"/>
      <c r="P132" s="896"/>
    </row>
    <row r="133" spans="1:16">
      <c r="A133" s="896"/>
      <c r="E133" s="896"/>
      <c r="F133" s="896"/>
      <c r="G133" s="896"/>
      <c r="H133" s="896"/>
      <c r="I133" s="896"/>
      <c r="J133" s="896"/>
      <c r="K133" s="896"/>
      <c r="L133" s="896"/>
      <c r="M133" s="896"/>
      <c r="N133" s="896"/>
      <c r="O133" s="896"/>
      <c r="P133" s="896"/>
    </row>
    <row r="134" spans="1:16">
      <c r="A134" s="896"/>
      <c r="E134" s="896"/>
      <c r="F134" s="896"/>
      <c r="G134" s="896"/>
      <c r="H134" s="896"/>
      <c r="I134" s="896"/>
      <c r="J134" s="896"/>
      <c r="K134" s="896"/>
      <c r="L134" s="896"/>
      <c r="M134" s="896"/>
      <c r="N134" s="896"/>
      <c r="O134" s="896"/>
      <c r="P134" s="896"/>
    </row>
    <row r="135" spans="1:16">
      <c r="A135" s="896"/>
      <c r="E135" s="896"/>
      <c r="F135" s="896"/>
      <c r="G135" s="896"/>
      <c r="H135" s="896"/>
      <c r="I135" s="896"/>
      <c r="J135" s="896"/>
      <c r="K135" s="896"/>
      <c r="L135" s="896"/>
      <c r="M135" s="896"/>
      <c r="N135" s="896"/>
      <c r="O135" s="896"/>
      <c r="P135" s="896"/>
    </row>
    <row r="136" spans="1:16">
      <c r="A136" s="896"/>
      <c r="E136" s="896"/>
      <c r="F136" s="896"/>
      <c r="G136" s="896"/>
      <c r="H136" s="896"/>
      <c r="I136" s="896"/>
      <c r="J136" s="896"/>
      <c r="K136" s="896"/>
      <c r="L136" s="896"/>
      <c r="M136" s="896"/>
      <c r="N136" s="896"/>
      <c r="O136" s="896"/>
      <c r="P136" s="896"/>
    </row>
    <row r="137" spans="1:16">
      <c r="A137" s="896"/>
      <c r="E137" s="896"/>
      <c r="F137" s="896"/>
      <c r="G137" s="896"/>
      <c r="H137" s="896"/>
      <c r="I137" s="896"/>
      <c r="J137" s="896"/>
      <c r="K137" s="896"/>
      <c r="L137" s="896"/>
      <c r="M137" s="896"/>
      <c r="N137" s="896"/>
      <c r="O137" s="896"/>
      <c r="P137" s="896"/>
    </row>
    <row r="138" spans="1:16">
      <c r="A138" s="896"/>
      <c r="E138" s="896"/>
      <c r="F138" s="896"/>
      <c r="G138" s="896"/>
      <c r="H138" s="896"/>
      <c r="I138" s="896"/>
      <c r="J138" s="896"/>
      <c r="K138" s="896"/>
      <c r="L138" s="896"/>
      <c r="M138" s="896"/>
      <c r="N138" s="896"/>
      <c r="O138" s="896"/>
      <c r="P138" s="896"/>
    </row>
    <row r="139" spans="1:16">
      <c r="A139" s="896"/>
      <c r="E139" s="896"/>
      <c r="F139" s="896"/>
      <c r="G139" s="896"/>
      <c r="H139" s="896"/>
      <c r="I139" s="896"/>
      <c r="J139" s="896"/>
      <c r="K139" s="896"/>
      <c r="L139" s="896"/>
      <c r="M139" s="896"/>
      <c r="N139" s="896"/>
      <c r="O139" s="896"/>
      <c r="P139" s="896"/>
    </row>
    <row r="140" spans="1:16">
      <c r="A140" s="896"/>
      <c r="E140" s="896"/>
      <c r="F140" s="896"/>
      <c r="G140" s="896"/>
      <c r="H140" s="896"/>
      <c r="I140" s="896"/>
      <c r="J140" s="896"/>
      <c r="K140" s="896"/>
      <c r="L140" s="896"/>
      <c r="M140" s="896"/>
      <c r="N140" s="896"/>
      <c r="O140" s="896"/>
      <c r="P140" s="896"/>
    </row>
    <row r="141" spans="1:16">
      <c r="A141" s="896"/>
      <c r="E141" s="896"/>
      <c r="F141" s="896"/>
      <c r="G141" s="896"/>
      <c r="H141" s="896"/>
      <c r="I141" s="896"/>
      <c r="J141" s="896"/>
      <c r="K141" s="896"/>
      <c r="L141" s="896"/>
      <c r="M141" s="896"/>
      <c r="N141" s="896"/>
      <c r="O141" s="896"/>
      <c r="P141" s="896"/>
    </row>
    <row r="142" spans="1:16">
      <c r="A142" s="896"/>
      <c r="E142" s="896"/>
      <c r="F142" s="896"/>
      <c r="G142" s="896"/>
      <c r="H142" s="896"/>
      <c r="I142" s="896"/>
      <c r="J142" s="896"/>
      <c r="K142" s="896"/>
      <c r="L142" s="896"/>
      <c r="M142" s="896"/>
      <c r="N142" s="896"/>
      <c r="O142" s="896"/>
      <c r="P142" s="896"/>
    </row>
    <row r="143" spans="1:16">
      <c r="A143" s="896"/>
    </row>
  </sheetData>
  <sheetProtection algorithmName="SHA-512" hashValue="Rk8rurfFppTZbvuP2gdQBjRHN1djAHQGbGkwySTTzSLme26YGnlzUPCV6A3IWjcghhW1Kz630TeSCnsUNpvF7g==" saltValue="ht6QbH5CAygEgZufo4EWeg==" spinCount="100000" sheet="1" scenarios="1" selectLockedCells="1" selectUnlockedCells="1"/>
  <mergeCells count="1">
    <mergeCell ref="B2:D2"/>
  </mergeCells>
  <phoneticPr fontId="23"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 id="{2B80AAE4-E4C7-714B-BCFC-297B76FA2D61}">
            <xm:f>(OFFSET(Administrador!$N$3,0,Administrador!$D$3*5-3)&gt;=ROW()-3)</xm:f>
            <x14:dxf>
              <font>
                <color theme="1"/>
              </font>
              <fill>
                <patternFill>
                  <bgColor theme="0"/>
                </patternFill>
              </fill>
            </x14:dxf>
          </x14:cfRule>
          <xm:sqref>B7:Q8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B27AD-65FC-C14B-BED3-6B30954338EF}">
  <sheetPr codeName="Hoja9"/>
  <dimension ref="A1:U505"/>
  <sheetViews>
    <sheetView showGridLines="0" zoomScaleNormal="100" workbookViewId="0">
      <pane xSplit="3" ySplit="3" topLeftCell="D4" activePane="bottomRight" state="frozen"/>
      <selection activeCell="B1" sqref="B1"/>
      <selection pane="topRight" activeCell="D1" sqref="D1"/>
      <selection pane="bottomLeft" activeCell="B4" sqref="B4"/>
      <selection pane="bottomRight" activeCell="E1" sqref="E1"/>
    </sheetView>
  </sheetViews>
  <sheetFormatPr baseColWidth="10" defaultRowHeight="15"/>
  <cols>
    <col min="1" max="1" width="10.83203125" style="949" hidden="1" customWidth="1"/>
    <col min="2" max="2" width="4.6640625" customWidth="1"/>
    <col min="3" max="3" width="19.5" style="881" customWidth="1"/>
    <col min="4" max="6" width="30.83203125" customWidth="1"/>
    <col min="7" max="7" width="34.5" customWidth="1"/>
    <col min="8" max="8" width="20.5" customWidth="1"/>
    <col min="9" max="9" width="18.1640625" customWidth="1"/>
    <col min="10" max="10" width="17.6640625" customWidth="1"/>
    <col min="11" max="11" width="17.1640625" customWidth="1"/>
    <col min="12" max="12" width="17.5" customWidth="1"/>
    <col min="13" max="15" width="14.83203125" customWidth="1"/>
    <col min="16" max="19" width="15.83203125" customWidth="1"/>
  </cols>
  <sheetData>
    <row r="1" spans="1:21" ht="38" customHeight="1">
      <c r="B1" s="889"/>
      <c r="C1" s="889"/>
      <c r="D1" s="893" t="s">
        <v>437</v>
      </c>
      <c r="E1" s="948">
        <v>44885</v>
      </c>
      <c r="F1" s="889"/>
      <c r="G1" s="889"/>
      <c r="H1" s="889"/>
      <c r="I1" s="889"/>
      <c r="J1" s="889"/>
      <c r="K1" s="889"/>
      <c r="L1" s="889"/>
      <c r="M1" s="889"/>
      <c r="N1" s="889"/>
      <c r="O1" s="889"/>
      <c r="P1" s="889"/>
      <c r="Q1" s="889"/>
      <c r="R1" s="889"/>
      <c r="S1" s="889"/>
      <c r="T1" s="889"/>
      <c r="U1" s="889"/>
    </row>
    <row r="2" spans="1:21">
      <c r="B2" s="889"/>
      <c r="C2" s="888"/>
      <c r="D2" s="889"/>
      <c r="E2" s="889"/>
      <c r="F2" s="889"/>
      <c r="G2" s="889"/>
      <c r="H2" s="889"/>
      <c r="I2" s="889"/>
      <c r="J2" s="889"/>
      <c r="K2" s="890"/>
      <c r="L2" s="889"/>
      <c r="M2" s="889"/>
      <c r="N2" s="889"/>
      <c r="O2" s="889"/>
      <c r="P2" s="889"/>
      <c r="Q2" s="889"/>
      <c r="R2" s="889"/>
      <c r="S2" s="889"/>
      <c r="T2" s="889"/>
      <c r="U2" s="889"/>
    </row>
    <row r="3" spans="1:21" s="891" customFormat="1" ht="22" customHeight="1">
      <c r="A3" s="950"/>
      <c r="B3" s="892"/>
      <c r="C3" s="899" t="s">
        <v>436</v>
      </c>
      <c r="D3" s="899" t="str" cm="1">
        <f t="array" aca="1" ref="D3:S3" ca="1">TRANSPOSE($A$4:$A$19)</f>
        <v>Catar-Ecuador</v>
      </c>
      <c r="E3" s="899" t="str">
        <f ca="1"/>
        <v/>
      </c>
      <c r="F3" s="899" t="str">
        <f ca="1"/>
        <v/>
      </c>
      <c r="G3" s="899" t="str">
        <f ca="1"/>
        <v/>
      </c>
      <c r="H3" s="899" t="str">
        <f ca="1"/>
        <v/>
      </c>
      <c r="I3" s="899" t="str">
        <f ca="1"/>
        <v/>
      </c>
      <c r="J3" s="899" t="str">
        <f ca="1"/>
        <v/>
      </c>
      <c r="K3" s="900" t="str">
        <f ca="1"/>
        <v/>
      </c>
      <c r="L3" s="899" t="str">
        <f ca="1"/>
        <v/>
      </c>
      <c r="M3" s="899" t="str">
        <f ca="1"/>
        <v/>
      </c>
      <c r="N3" s="899" t="str">
        <f ca="1"/>
        <v/>
      </c>
      <c r="O3" s="899" t="str">
        <f ca="1"/>
        <v/>
      </c>
      <c r="P3" s="899" t="str">
        <f ca="1"/>
        <v/>
      </c>
      <c r="Q3" s="899" t="str">
        <f ca="1"/>
        <v/>
      </c>
      <c r="R3" s="899" t="str">
        <f ca="1"/>
        <v/>
      </c>
      <c r="S3" s="899" t="str">
        <f ca="1"/>
        <v/>
      </c>
      <c r="T3" s="892"/>
      <c r="U3" s="892"/>
    </row>
    <row r="4" spans="1:21" ht="16" customHeight="1">
      <c r="A4" s="949" t="str">
        <f t="array" aca="1" ref="A4" ca="1">IFERROR(INDEX(Administrador!$H$8:$H$168,SMALL(IF($E$1=Administrador!$F$8:$F$168,ROW(Administrador!$H$8:$H$168)-MIN(ROW(Administrador!$F$8:$F$168))+1,""),ROW()-3)),"")</f>
        <v>Catar-Ecuador</v>
      </c>
      <c r="B4" s="903">
        <v>0</v>
      </c>
      <c r="C4" s="901" t="str">
        <f ca="1">OFFSET(Administrador!$N$3,0,B4)</f>
        <v>Nombre J1</v>
      </c>
      <c r="D4" s="898">
        <f ca="1">IFERROR(VLOOKUP(D$3,Administrador!$H$3:$AJ$168,MATCH($C4,Administrador!$H$3:$AJ$3,0),0),"")</f>
        <v>0</v>
      </c>
      <c r="E4" s="898" t="str">
        <f ca="1">IFERROR(VLOOKUP(E$3,Administrador!$H$3:$AJ$168,MATCH($C4,Administrador!$H$3:$AJ$3,0),0),"")</f>
        <v/>
      </c>
      <c r="F4" s="898" t="str">
        <f ca="1">IFERROR(VLOOKUP(F$3,Administrador!$H$3:$AJ$168,MATCH($C4,Administrador!$H$3:$AJ$3,0),0),"")</f>
        <v/>
      </c>
      <c r="G4" s="898" t="str">
        <f ca="1">IFERROR(VLOOKUP(G$3,Administrador!$H$3:$AJ$168,MATCH($C4,Administrador!$H$3:$AJ$3,0),0),"")</f>
        <v/>
      </c>
      <c r="H4" s="898" t="str">
        <f ca="1">IFERROR(VLOOKUP(H$3,Administrador!$H$3:$AJ$168,MATCH($C4,Administrador!$H$3:$AJ$3,0),0),"")</f>
        <v/>
      </c>
      <c r="I4" s="898" t="str">
        <f ca="1">IFERROR(VLOOKUP(I$3,Administrador!$H$3:$AJ$168,MATCH($C4,Administrador!$H$3:$AJ$3,0),0),"")</f>
        <v/>
      </c>
      <c r="J4" s="898" t="str">
        <f ca="1">IFERROR(VLOOKUP(J$3,Administrador!$H$3:$AJ$168,MATCH($C4,Administrador!$H$3:$AJ$3,0),0),"")</f>
        <v/>
      </c>
      <c r="K4" s="898" t="str">
        <f ca="1">IFERROR(VLOOKUP(K$3,Administrador!$H$3:$AJ$168,MATCH($C4,Administrador!$H$3:$AJ$3,0),0),"")</f>
        <v/>
      </c>
      <c r="L4" s="898" t="str">
        <f ca="1">IFERROR(VLOOKUP(L$3,Administrador!$H$3:$AJ$168,MATCH($C4,Administrador!$H$3:$AJ$3,0),0),"")</f>
        <v/>
      </c>
      <c r="M4" s="898" t="str">
        <f ca="1">IFERROR(VLOOKUP(M$3,Administrador!$H$3:$AJ$168,MATCH($C4,Administrador!$H$3:$AJ$3,0),0),"")</f>
        <v/>
      </c>
      <c r="N4" s="898" t="str">
        <f ca="1">IFERROR(VLOOKUP(N$3,Administrador!$H$3:$AJ$168,MATCH($C4,Administrador!$H$3:$AJ$3,0),0),"")</f>
        <v/>
      </c>
      <c r="O4" s="898" t="str">
        <f ca="1">IFERROR(VLOOKUP(O$3,Administrador!$H$3:$AJ$168,MATCH($C4,Administrador!$H$3:$AJ$3,0),0),"")</f>
        <v/>
      </c>
      <c r="P4" s="898" t="str">
        <f ca="1">IFERROR(VLOOKUP(P$3,Administrador!$H$3:$AJ$168,MATCH($C4,Administrador!$H$3:$AJ$3,0),0),"")</f>
        <v/>
      </c>
      <c r="Q4" s="898" t="str">
        <f ca="1">IFERROR(VLOOKUP(Q$3,Administrador!$H$3:$AJ$168,MATCH($C4,Administrador!$H$3:$AJ$3,0),0),"")</f>
        <v/>
      </c>
      <c r="R4" s="898" t="str">
        <f ca="1">IFERROR(VLOOKUP(R$3,Administrador!$H$3:$AJ$168,MATCH($C4,Administrador!$H$3:$AJ$3,0),0),"")</f>
        <v/>
      </c>
      <c r="S4" s="898" t="str">
        <f ca="1">IFERROR(VLOOKUP(S$3,Administrador!$H$3:$AJ$168,MATCH($C4,Administrador!$H$3:$AJ$3,0),0),"")</f>
        <v/>
      </c>
      <c r="T4" s="897"/>
      <c r="U4" s="889"/>
    </row>
    <row r="5" spans="1:21" ht="16" customHeight="1">
      <c r="A5" s="949" t="str">
        <f t="array" ref="A5">IFERROR(INDEX(Administrador!$H$8:$H$168,SMALL(IF($E$1=Administrador!$F$8:$F$168,ROW(Administrador!$H$8:$H$168)-MIN(ROW(Administrador!$F$8:$F$168))+1,""),ROW()-3)),"")</f>
        <v/>
      </c>
      <c r="B5" s="903">
        <v>5</v>
      </c>
      <c r="C5" s="901" t="str">
        <f ca="1">OFFSET(Administrador!$N$3,0,B5)</f>
        <v>Nombre J2</v>
      </c>
      <c r="D5" s="898">
        <f ca="1">IFERROR(VLOOKUP(D$3,Administrador!$H$3:$AJ$168,MATCH($C5,Administrador!$H$3:$AJ$3,0),0),"")</f>
        <v>0</v>
      </c>
      <c r="E5" s="898" t="str">
        <f ca="1">IFERROR(VLOOKUP(E$3,Administrador!$H$3:$AJ$168,MATCH($C5,Administrador!$H$3:$AJ$3,0),0),"")</f>
        <v/>
      </c>
      <c r="F5" s="898" t="str">
        <f ca="1">IFERROR(VLOOKUP(F$3,Administrador!$H$3:$AJ$168,MATCH($C5,Administrador!$H$3:$AJ$3,0),0),"")</f>
        <v/>
      </c>
      <c r="G5" s="898" t="str">
        <f ca="1">IFERROR(VLOOKUP(G$3,Administrador!$H$3:$AJ$168,MATCH($C5,Administrador!$H$3:$AJ$3,0),0),"")</f>
        <v/>
      </c>
      <c r="H5" s="898" t="str">
        <f ca="1">IFERROR(VLOOKUP(H$3,Administrador!$H$3:$AJ$168,MATCH($C5,Administrador!$H$3:$AJ$3,0),0),"")</f>
        <v/>
      </c>
      <c r="I5" s="898" t="str">
        <f ca="1">IFERROR(VLOOKUP(I$3,Administrador!$H$3:$AJ$168,MATCH($C5,Administrador!$H$3:$AJ$3,0),0),"")</f>
        <v/>
      </c>
      <c r="J5" s="898" t="str">
        <f ca="1">IFERROR(VLOOKUP(J$3,Administrador!$H$3:$AJ$168,MATCH($C5,Administrador!$H$3:$AJ$3,0),0),"")</f>
        <v/>
      </c>
      <c r="K5" s="898" t="str">
        <f ca="1">IFERROR(VLOOKUP(K$3,Administrador!$H$3:$AJ$168,MATCH($C5,Administrador!$H$3:$AJ$3,0),0),"")</f>
        <v/>
      </c>
      <c r="L5" s="898" t="str">
        <f ca="1">IFERROR(VLOOKUP(L$3,Administrador!$H$3:$AJ$168,MATCH($C5,Administrador!$H$3:$AJ$3,0),0),"")</f>
        <v/>
      </c>
      <c r="M5" s="898" t="str">
        <f ca="1">IFERROR(VLOOKUP(M$3,Administrador!$H$3:$AJ$168,MATCH($C5,Administrador!$H$3:$AJ$3,0),0),"")</f>
        <v/>
      </c>
      <c r="N5" s="898" t="str">
        <f ca="1">IFERROR(VLOOKUP(N$3,Administrador!$H$3:$AJ$168,MATCH($C5,Administrador!$H$3:$AJ$3,0),0),"")</f>
        <v/>
      </c>
      <c r="O5" s="898" t="str">
        <f ca="1">IFERROR(VLOOKUP(O$3,Administrador!$H$3:$AJ$168,MATCH($C5,Administrador!$H$3:$AJ$3,0),0),"")</f>
        <v/>
      </c>
      <c r="P5" s="898" t="str">
        <f ca="1">IFERROR(VLOOKUP(P$3,Administrador!$H$3:$AJ$168,MATCH($C5,Administrador!$H$3:$AJ$3,0),0),"")</f>
        <v/>
      </c>
      <c r="Q5" s="898" t="str">
        <f ca="1">IFERROR(VLOOKUP(Q$3,Administrador!$H$3:$AJ$168,MATCH($C5,Administrador!$H$3:$AJ$3,0),0),"")</f>
        <v/>
      </c>
      <c r="R5" s="898" t="str">
        <f ca="1">IFERROR(VLOOKUP(R$3,Administrador!$H$3:$AJ$168,MATCH($C5,Administrador!$H$3:$AJ$3,0),0),"")</f>
        <v/>
      </c>
      <c r="S5" s="898" t="str">
        <f ca="1">IFERROR(VLOOKUP(S$3,Administrador!$H$3:$AJ$168,MATCH($C5,Administrador!$H$3:$AJ$3,0),0),"")</f>
        <v/>
      </c>
      <c r="T5" s="889"/>
      <c r="U5" s="889"/>
    </row>
    <row r="6" spans="1:21">
      <c r="A6" s="949" t="str">
        <f t="array" ref="A6">IFERROR(INDEX(Administrador!$H$8:$H$168,SMALL(IF($E$1=Administrador!$F$8:$F$168,ROW(Administrador!$H$8:$H$168)-MIN(ROW(Administrador!$F$8:$F$168))+1,""),ROW()-3)),"")</f>
        <v/>
      </c>
      <c r="B6" s="903">
        <v>10</v>
      </c>
      <c r="C6" s="902" t="str">
        <f ca="1">OFFSET(Administrador!$N$3,0,B6)</f>
        <v>Nombre J3</v>
      </c>
      <c r="D6" s="898">
        <f ca="1">IFERROR(VLOOKUP(D$3,Administrador!$H$3:$AJ$168,MATCH($C6,Administrador!$H$3:$AJ$3,0),0),"")</f>
        <v>0</v>
      </c>
      <c r="E6" s="898" t="str">
        <f ca="1">IFERROR(VLOOKUP(E$3,Administrador!$H$3:$AJ$168,MATCH($C6,Administrador!$H$3:$AJ$3,0),0),"")</f>
        <v/>
      </c>
      <c r="F6" s="898" t="str">
        <f ca="1">IFERROR(VLOOKUP(F$3,Administrador!$H$3:$AJ$168,MATCH($C6,Administrador!$H$3:$AJ$3,0),0),"")</f>
        <v/>
      </c>
      <c r="G6" s="898" t="str">
        <f ca="1">IFERROR(VLOOKUP(G$3,Administrador!$H$3:$AJ$168,MATCH($C6,Administrador!$H$3:$AJ$3,0),0),"")</f>
        <v/>
      </c>
      <c r="H6" s="898" t="str">
        <f ca="1">IFERROR(VLOOKUP(H$3,Administrador!$H$3:$AJ$168,MATCH($C6,Administrador!$H$3:$AJ$3,0),0),"")</f>
        <v/>
      </c>
      <c r="I6" s="898" t="str">
        <f ca="1">IFERROR(VLOOKUP(I$3,Administrador!$H$3:$AJ$168,MATCH($C6,Administrador!$H$3:$AJ$3,0),0),"")</f>
        <v/>
      </c>
      <c r="J6" s="898" t="str">
        <f ca="1">IFERROR(VLOOKUP(J$3,Administrador!$H$3:$AJ$168,MATCH($C6,Administrador!$H$3:$AJ$3,0),0),"")</f>
        <v/>
      </c>
      <c r="K6" s="898" t="str">
        <f ca="1">IFERROR(VLOOKUP(K$3,Administrador!$H$3:$AJ$168,MATCH($C6,Administrador!$H$3:$AJ$3,0),0),"")</f>
        <v/>
      </c>
      <c r="L6" s="898" t="str">
        <f ca="1">IFERROR(VLOOKUP(L$3,Administrador!$H$3:$AJ$168,MATCH($C6,Administrador!$H$3:$AJ$3,0),0),"")</f>
        <v/>
      </c>
      <c r="M6" s="898" t="str">
        <f ca="1">IFERROR(VLOOKUP(M$3,Administrador!$H$3:$AJ$168,MATCH($C6,Administrador!$H$3:$AJ$3,0),0),"")</f>
        <v/>
      </c>
      <c r="N6" s="898" t="str">
        <f ca="1">IFERROR(VLOOKUP(N$3,Administrador!$H$3:$AJ$168,MATCH($C6,Administrador!$H$3:$AJ$3,0),0),"")</f>
        <v/>
      </c>
      <c r="O6" s="898" t="str">
        <f ca="1">IFERROR(VLOOKUP(O$3,Administrador!$H$3:$AJ$168,MATCH($C6,Administrador!$H$3:$AJ$3,0),0),"")</f>
        <v/>
      </c>
      <c r="P6" s="898" t="str">
        <f ca="1">IFERROR(VLOOKUP(P$3,Administrador!$H$3:$AJ$168,MATCH($C6,Administrador!$H$3:$AJ$3,0),0),"")</f>
        <v/>
      </c>
      <c r="Q6" s="898" t="str">
        <f ca="1">IFERROR(VLOOKUP(Q$3,Administrador!$H$3:$AJ$168,MATCH($C6,Administrador!$H$3:$AJ$3,0),0),"")</f>
        <v/>
      </c>
      <c r="R6" s="898" t="str">
        <f ca="1">IFERROR(VLOOKUP(R$3,Administrador!$H$3:$AJ$168,MATCH($C6,Administrador!$H$3:$AJ$3,0),0),"")</f>
        <v/>
      </c>
      <c r="S6" s="898" t="str">
        <f ca="1">IFERROR(VLOOKUP(S$3,Administrador!$H$3:$AJ$168,MATCH($C6,Administrador!$H$3:$AJ$3,0),0),"")</f>
        <v/>
      </c>
      <c r="T6" s="889"/>
      <c r="U6" s="889"/>
    </row>
    <row r="7" spans="1:21">
      <c r="A7" s="949" t="str">
        <f t="array" ref="A7">IFERROR(INDEX(Administrador!$H$8:$H$168,SMALL(IF($E$1=Administrador!$F$8:$F$168,ROW(Administrador!$H$8:$H$168)-MIN(ROW(Administrador!$F$8:$F$168))+1,""),ROW()-3)),"")</f>
        <v/>
      </c>
      <c r="B7" s="903">
        <v>15</v>
      </c>
      <c r="C7" s="901" t="str">
        <f ca="1">OFFSET(Administrador!$N$3,0,B7)</f>
        <v>Nombre J4</v>
      </c>
      <c r="D7" s="898">
        <f ca="1">IFERROR(VLOOKUP(D$3,Administrador!$H$3:$AJ$168,MATCH($C7,Administrador!$H$3:$AJ$3,0),0),"")</f>
        <v>0</v>
      </c>
      <c r="E7" s="898" t="str">
        <f ca="1">IFERROR(VLOOKUP(E$3,Administrador!$H$3:$AJ$168,MATCH($C7,Administrador!$H$3:$AJ$3,0),0),"")</f>
        <v/>
      </c>
      <c r="F7" s="898" t="str">
        <f ca="1">IFERROR(VLOOKUP(F$3,Administrador!$H$3:$AJ$168,MATCH($C7,Administrador!$H$3:$AJ$3,0),0),"")</f>
        <v/>
      </c>
      <c r="G7" s="898" t="str">
        <f ca="1">IFERROR(VLOOKUP(G$3,Administrador!$H$3:$AJ$168,MATCH($C7,Administrador!$H$3:$AJ$3,0),0),"")</f>
        <v/>
      </c>
      <c r="H7" s="898" t="str">
        <f ca="1">IFERROR(VLOOKUP(H$3,Administrador!$H$3:$AJ$168,MATCH($C7,Administrador!$H$3:$AJ$3,0),0),"")</f>
        <v/>
      </c>
      <c r="I7" s="898" t="str">
        <f ca="1">IFERROR(VLOOKUP(I$3,Administrador!$H$3:$AJ$168,MATCH($C7,Administrador!$H$3:$AJ$3,0),0),"")</f>
        <v/>
      </c>
      <c r="J7" s="898" t="str">
        <f ca="1">IFERROR(VLOOKUP(J$3,Administrador!$H$3:$AJ$168,MATCH($C7,Administrador!$H$3:$AJ$3,0),0),"")</f>
        <v/>
      </c>
      <c r="K7" s="898" t="str">
        <f ca="1">IFERROR(VLOOKUP(K$3,Administrador!$H$3:$AJ$168,MATCH($C7,Administrador!$H$3:$AJ$3,0),0),"")</f>
        <v/>
      </c>
      <c r="L7" s="898" t="str">
        <f ca="1">IFERROR(VLOOKUP(L$3,Administrador!$H$3:$AJ$168,MATCH($C7,Administrador!$H$3:$AJ$3,0),0),"")</f>
        <v/>
      </c>
      <c r="M7" s="898" t="str">
        <f ca="1">IFERROR(VLOOKUP(M$3,Administrador!$H$3:$AJ$168,MATCH($C7,Administrador!$H$3:$AJ$3,0),0),"")</f>
        <v/>
      </c>
      <c r="N7" s="898" t="str">
        <f ca="1">IFERROR(VLOOKUP(N$3,Administrador!$H$3:$AJ$168,MATCH($C7,Administrador!$H$3:$AJ$3,0),0),"")</f>
        <v/>
      </c>
      <c r="O7" s="898" t="str">
        <f ca="1">IFERROR(VLOOKUP(O$3,Administrador!$H$3:$AJ$168,MATCH($C7,Administrador!$H$3:$AJ$3,0),0),"")</f>
        <v/>
      </c>
      <c r="P7" s="898" t="str">
        <f ca="1">IFERROR(VLOOKUP(P$3,Administrador!$H$3:$AJ$168,MATCH($C7,Administrador!$H$3:$AJ$3,0),0),"")</f>
        <v/>
      </c>
      <c r="Q7" s="898" t="str">
        <f ca="1">IFERROR(VLOOKUP(Q$3,Administrador!$H$3:$AJ$168,MATCH($C7,Administrador!$H$3:$AJ$3,0),0),"")</f>
        <v/>
      </c>
      <c r="R7" s="898" t="str">
        <f ca="1">IFERROR(VLOOKUP(R$3,Administrador!$H$3:$AJ$168,MATCH($C7,Administrador!$H$3:$AJ$3,0),0),"")</f>
        <v/>
      </c>
      <c r="S7" s="898" t="str">
        <f ca="1">IFERROR(VLOOKUP(S$3,Administrador!$H$3:$AJ$168,MATCH($C7,Administrador!$H$3:$AJ$3,0),0),"")</f>
        <v/>
      </c>
      <c r="T7" s="889"/>
      <c r="U7" s="889"/>
    </row>
    <row r="8" spans="1:21">
      <c r="A8" s="949" t="str">
        <f t="array" ref="A8">IFERROR(INDEX(Administrador!$H$8:$H$168,SMALL(IF($E$1=Administrador!$F$8:$F$168,ROW(Administrador!$H$8:$H$168)-MIN(ROW(Administrador!$F$8:$F$168))+1,""),ROW()-3)),"")</f>
        <v/>
      </c>
      <c r="B8" s="903">
        <v>20</v>
      </c>
      <c r="C8" s="902" t="str">
        <f ca="1">OFFSET(Administrador!$N$3,0,B8)</f>
        <v>Nombre J5</v>
      </c>
      <c r="D8" s="898">
        <f ca="1">IFERROR(VLOOKUP(D$3,Administrador!$H$3:$AJ$168,MATCH($C8,Administrador!$H$3:$AJ$3,0),0),"")</f>
        <v>0</v>
      </c>
      <c r="E8" s="898" t="str">
        <f ca="1">IFERROR(VLOOKUP(E$3,Administrador!$H$3:$AJ$168,MATCH($C8,Administrador!$H$3:$AJ$3,0),0),"")</f>
        <v/>
      </c>
      <c r="F8" s="898" t="str">
        <f ca="1">IFERROR(VLOOKUP(F$3,Administrador!$H$3:$AJ$168,MATCH($C8,Administrador!$H$3:$AJ$3,0),0),"")</f>
        <v/>
      </c>
      <c r="G8" s="898" t="str">
        <f ca="1">IFERROR(VLOOKUP(G$3,Administrador!$H$3:$AJ$168,MATCH($C8,Administrador!$H$3:$AJ$3,0),0),"")</f>
        <v/>
      </c>
      <c r="H8" s="898" t="str">
        <f ca="1">IFERROR(VLOOKUP(H$3,Administrador!$H$3:$AJ$168,MATCH($C8,Administrador!$H$3:$AJ$3,0),0),"")</f>
        <v/>
      </c>
      <c r="I8" s="898" t="str">
        <f ca="1">IFERROR(VLOOKUP(I$3,Administrador!$H$3:$AJ$168,MATCH($C8,Administrador!$H$3:$AJ$3,0),0),"")</f>
        <v/>
      </c>
      <c r="J8" s="898" t="str">
        <f ca="1">IFERROR(VLOOKUP(J$3,Administrador!$H$3:$AJ$168,MATCH($C8,Administrador!$H$3:$AJ$3,0),0),"")</f>
        <v/>
      </c>
      <c r="K8" s="898" t="str">
        <f ca="1">IFERROR(VLOOKUP(K$3,Administrador!$H$3:$AJ$168,MATCH($C8,Administrador!$H$3:$AJ$3,0),0),"")</f>
        <v/>
      </c>
      <c r="L8" s="898" t="str">
        <f ca="1">IFERROR(VLOOKUP(L$3,Administrador!$H$3:$AJ$168,MATCH($C8,Administrador!$H$3:$AJ$3,0),0),"")</f>
        <v/>
      </c>
      <c r="M8" s="898" t="str">
        <f ca="1">IFERROR(VLOOKUP(M$3,Administrador!$H$3:$AJ$168,MATCH($C8,Administrador!$H$3:$AJ$3,0),0),"")</f>
        <v/>
      </c>
      <c r="N8" s="898" t="str">
        <f ca="1">IFERROR(VLOOKUP(N$3,Administrador!$H$3:$AJ$168,MATCH($C8,Administrador!$H$3:$AJ$3,0),0),"")</f>
        <v/>
      </c>
      <c r="O8" s="898" t="str">
        <f ca="1">IFERROR(VLOOKUP(O$3,Administrador!$H$3:$AJ$168,MATCH($C8,Administrador!$H$3:$AJ$3,0),0),"")</f>
        <v/>
      </c>
      <c r="P8" s="898" t="str">
        <f ca="1">IFERROR(VLOOKUP(P$3,Administrador!$H$3:$AJ$168,MATCH($C8,Administrador!$H$3:$AJ$3,0),0),"")</f>
        <v/>
      </c>
      <c r="Q8" s="898" t="str">
        <f ca="1">IFERROR(VLOOKUP(Q$3,Administrador!$H$3:$AJ$168,MATCH($C8,Administrador!$H$3:$AJ$3,0),0),"")</f>
        <v/>
      </c>
      <c r="R8" s="898" t="str">
        <f ca="1">IFERROR(VLOOKUP(R$3,Administrador!$H$3:$AJ$168,MATCH($C8,Administrador!$H$3:$AJ$3,0),0),"")</f>
        <v/>
      </c>
      <c r="S8" s="898" t="str">
        <f ca="1">IFERROR(VLOOKUP(S$3,Administrador!$H$3:$AJ$168,MATCH($C8,Administrador!$H$3:$AJ$3,0),0),"")</f>
        <v/>
      </c>
      <c r="T8" s="889"/>
      <c r="U8" s="889"/>
    </row>
    <row r="9" spans="1:21">
      <c r="A9" s="949" t="str">
        <f t="array" ref="A9">IFERROR(INDEX(Administrador!$H$8:$H$168,SMALL(IF($E$1=Administrador!$F$8:$F$168,ROW(Administrador!$H$8:$H$168)-MIN(ROW(Administrador!$F$8:$F$168))+1,""),ROW()-3)),"")</f>
        <v/>
      </c>
      <c r="B9" s="903">
        <v>25</v>
      </c>
      <c r="C9" s="901"/>
      <c r="D9" s="898"/>
      <c r="E9" s="898"/>
      <c r="F9" s="898"/>
      <c r="G9" s="898"/>
      <c r="H9" s="898"/>
      <c r="I9" s="898"/>
      <c r="J9" s="898"/>
      <c r="K9" s="898"/>
      <c r="L9" s="898"/>
      <c r="M9" s="898"/>
      <c r="N9" s="898"/>
      <c r="O9" s="898"/>
      <c r="P9" s="898"/>
      <c r="Q9" s="898"/>
      <c r="R9" s="898"/>
      <c r="S9" s="898"/>
      <c r="T9" s="889"/>
      <c r="U9" s="889"/>
    </row>
    <row r="10" spans="1:21">
      <c r="A10" s="949" t="str">
        <f t="array" ref="A10">IFERROR(INDEX(Administrador!$H$8:$H$168,SMALL(IF($E$1=Administrador!$F$8:$F$168,ROW(Administrador!$H$8:$H$168)-MIN(ROW(Administrador!$F$8:$F$168))+1,""),ROW()-3)),"")</f>
        <v/>
      </c>
      <c r="B10" s="903">
        <v>30</v>
      </c>
      <c r="C10" s="902"/>
      <c r="D10" s="898"/>
      <c r="E10" s="898"/>
      <c r="F10" s="898"/>
      <c r="G10" s="898"/>
      <c r="H10" s="898"/>
      <c r="I10" s="898"/>
      <c r="J10" s="898"/>
      <c r="K10" s="898"/>
      <c r="L10" s="898"/>
      <c r="M10" s="898"/>
      <c r="N10" s="898"/>
      <c r="O10" s="898"/>
      <c r="P10" s="898"/>
      <c r="Q10" s="898"/>
      <c r="R10" s="898"/>
      <c r="S10" s="898"/>
      <c r="T10" s="889"/>
      <c r="U10" s="889"/>
    </row>
    <row r="11" spans="1:21">
      <c r="A11" s="949" t="str">
        <f t="array" ref="A11">IFERROR(INDEX(Administrador!$H$8:$H$168,SMALL(IF($E$1=Administrador!$F$8:$F$168,ROW(Administrador!$H$8:$H$168)-MIN(ROW(Administrador!$F$8:$F$168))+1,""),ROW()-3)),"")</f>
        <v/>
      </c>
      <c r="T11" s="889"/>
      <c r="U11" s="889"/>
    </row>
    <row r="12" spans="1:21">
      <c r="A12" s="949" t="str">
        <f t="array" ref="A12">IFERROR(INDEX(Administrador!$H$8:$H$168,SMALL(IF($E$1=Administrador!$F$8:$F$168,ROW(Administrador!$H$8:$H$168)-MIN(ROW(Administrador!$F$8:$F$168))+1,""),ROW()-3)),"")</f>
        <v/>
      </c>
      <c r="T12" s="889"/>
      <c r="U12" s="889"/>
    </row>
    <row r="13" spans="1:21">
      <c r="A13" s="949" t="str">
        <f t="array" ref="A13">IFERROR(INDEX(Administrador!$H$8:$H$168,SMALL(IF($E$1=Administrador!$F$8:$F$168,ROW(Administrador!$H$8:$H$168)-MIN(ROW(Administrador!$F$8:$F$168))+1,""),ROW()-3)),"")</f>
        <v/>
      </c>
      <c r="T13" s="889"/>
      <c r="U13" s="889"/>
    </row>
    <row r="14" spans="1:21">
      <c r="A14" s="949" t="str">
        <f t="array" ref="A14">IFERROR(INDEX(Administrador!$H$8:$H$168,SMALL(IF($E$1=Administrador!$F$8:$F$168,ROW(Administrador!$H$8:$H$168)-MIN(ROW(Administrador!$F$8:$F$168))+1,""),ROW()-3)),"")</f>
        <v/>
      </c>
      <c r="T14" s="889"/>
      <c r="U14" s="889"/>
    </row>
    <row r="15" spans="1:21">
      <c r="A15" s="949" t="str">
        <f t="array" ref="A15">IFERROR(INDEX(Administrador!$H$8:$H$168,SMALL(IF($E$1=Administrador!$F$8:$F$168,ROW(Administrador!$H$8:$H$168)-MIN(ROW(Administrador!$F$8:$F$168))+1,""),ROW()-3)),"")</f>
        <v/>
      </c>
      <c r="T15" s="889"/>
      <c r="U15" s="889"/>
    </row>
    <row r="16" spans="1:21">
      <c r="A16" s="949" t="str">
        <f t="array" ref="A16">IFERROR(INDEX(Administrador!$H$8:$H$168,SMALL(IF($E$1=Administrador!$F$8:$F$168,ROW(Administrador!$H$8:$H$168)-MIN(ROW(Administrador!$F$8:$F$168))+1,""),ROW()-3)),"")</f>
        <v/>
      </c>
      <c r="T16" s="889"/>
      <c r="U16" s="889"/>
    </row>
    <row r="17" spans="1:21">
      <c r="A17" s="949" t="str">
        <f t="array" ref="A17">IFERROR(INDEX(Administrador!$H$8:$H$168,SMALL(IF($E$1=Administrador!$F$8:$F$168,ROW(Administrador!$H$8:$H$168)-MIN(ROW(Administrador!$F$8:$F$168))+1,""),ROW()-3)),"")</f>
        <v/>
      </c>
      <c r="T17" s="889"/>
      <c r="U17" s="889"/>
    </row>
    <row r="18" spans="1:21">
      <c r="A18" s="949" t="str">
        <f t="array" ref="A18">IFERROR(INDEX(Administrador!$H$8:$H$168,SMALL(IF($E$1=Administrador!$F$8:$F$168,ROW(Administrador!$H$8:$H$168)-MIN(ROW(Administrador!$F$8:$F$168))+1,""),ROW()-3)),"")</f>
        <v/>
      </c>
      <c r="T18" s="889"/>
      <c r="U18" s="889"/>
    </row>
    <row r="19" spans="1:21">
      <c r="A19" s="949" t="str">
        <f t="array" ref="A19">IFERROR(INDEX(Administrador!$H$8:$H$168,SMALL(IF($E$1=Administrador!$F$8:$F$168,ROW(Administrador!$H$8:$H$168)-MIN(ROW(Administrador!$F$8:$F$168))+1,""),ROW()-3)),"")</f>
        <v/>
      </c>
      <c r="T19" s="889"/>
      <c r="U19" s="889"/>
    </row>
    <row r="20" spans="1:21">
      <c r="T20" s="889"/>
      <c r="U20" s="889"/>
    </row>
    <row r="21" spans="1:21">
      <c r="T21" s="889"/>
      <c r="U21" s="889"/>
    </row>
    <row r="22" spans="1:21">
      <c r="T22" s="889"/>
      <c r="U22" s="889"/>
    </row>
    <row r="23" spans="1:21">
      <c r="T23" s="889"/>
      <c r="U23" s="889"/>
    </row>
    <row r="24" spans="1:21">
      <c r="T24" s="889"/>
      <c r="U24" s="889"/>
    </row>
    <row r="25" spans="1:21">
      <c r="T25" s="889"/>
      <c r="U25" s="889"/>
    </row>
    <row r="26" spans="1:21">
      <c r="A26" s="951"/>
      <c r="T26" s="889"/>
      <c r="U26" s="889"/>
    </row>
    <row r="27" spans="1:21">
      <c r="T27" s="889"/>
      <c r="U27" s="889"/>
    </row>
    <row r="28" spans="1:21">
      <c r="T28" s="889"/>
      <c r="U28" s="889"/>
    </row>
    <row r="29" spans="1:21">
      <c r="T29" s="889"/>
      <c r="U29" s="889"/>
    </row>
    <row r="30" spans="1:21">
      <c r="A30" s="949" t="str" cm="1">
        <f t="array" aca="1" ref="A30" ca="1">_xlfn._xlws.FILTER(Administrador!H8:H168,Administrador!F8:F168=E1)</f>
        <v>Catar-Ecuador</v>
      </c>
      <c r="T30" s="889"/>
      <c r="U30" s="889"/>
    </row>
    <row r="31" spans="1:21">
      <c r="T31" s="889"/>
      <c r="U31" s="889"/>
    </row>
    <row r="32" spans="1:21">
      <c r="T32" s="889"/>
      <c r="U32" s="889"/>
    </row>
    <row r="33" spans="20:21">
      <c r="T33" s="889"/>
      <c r="U33" s="889"/>
    </row>
    <row r="34" spans="20:21">
      <c r="T34" s="889"/>
      <c r="U34" s="889"/>
    </row>
    <row r="35" spans="20:21">
      <c r="T35" s="889"/>
      <c r="U35" s="889"/>
    </row>
    <row r="36" spans="20:21">
      <c r="T36" s="889"/>
      <c r="U36" s="889"/>
    </row>
    <row r="37" spans="20:21">
      <c r="T37" s="889"/>
      <c r="U37" s="889"/>
    </row>
    <row r="38" spans="20:21">
      <c r="T38" s="889"/>
      <c r="U38" s="889"/>
    </row>
    <row r="39" spans="20:21">
      <c r="T39" s="889"/>
      <c r="U39" s="889"/>
    </row>
    <row r="40" spans="20:21">
      <c r="T40" s="889"/>
      <c r="U40" s="889"/>
    </row>
    <row r="41" spans="20:21">
      <c r="T41" s="889"/>
      <c r="U41" s="889"/>
    </row>
    <row r="42" spans="20:21">
      <c r="T42" s="889"/>
      <c r="U42" s="889"/>
    </row>
    <row r="43" spans="20:21">
      <c r="T43" s="889"/>
      <c r="U43" s="889"/>
    </row>
    <row r="44" spans="20:21">
      <c r="T44" s="889"/>
      <c r="U44" s="889"/>
    </row>
    <row r="45" spans="20:21">
      <c r="T45" s="889"/>
      <c r="U45" s="889"/>
    </row>
    <row r="46" spans="20:21">
      <c r="T46" s="889"/>
      <c r="U46" s="889"/>
    </row>
    <row r="47" spans="20:21">
      <c r="T47" s="889"/>
      <c r="U47" s="889"/>
    </row>
    <row r="48" spans="20:21">
      <c r="T48" s="889"/>
      <c r="U48" s="889"/>
    </row>
    <row r="49" spans="20:21">
      <c r="T49" s="889"/>
      <c r="U49" s="889"/>
    </row>
    <row r="50" spans="20:21">
      <c r="T50" s="889"/>
      <c r="U50" s="889"/>
    </row>
    <row r="51" spans="20:21">
      <c r="T51" s="889"/>
      <c r="U51" s="889"/>
    </row>
    <row r="52" spans="20:21">
      <c r="T52" s="889"/>
      <c r="U52" s="889"/>
    </row>
    <row r="53" spans="20:21">
      <c r="T53" s="889"/>
      <c r="U53" s="889"/>
    </row>
    <row r="54" spans="20:21">
      <c r="T54" s="889"/>
      <c r="U54" s="889"/>
    </row>
    <row r="55" spans="20:21">
      <c r="T55" s="889"/>
      <c r="U55" s="889"/>
    </row>
    <row r="56" spans="20:21">
      <c r="T56" s="889"/>
      <c r="U56" s="889"/>
    </row>
    <row r="57" spans="20:21">
      <c r="T57" s="889"/>
      <c r="U57" s="889"/>
    </row>
    <row r="58" spans="20:21">
      <c r="T58" s="889"/>
      <c r="U58" s="889"/>
    </row>
    <row r="59" spans="20:21">
      <c r="T59" s="889"/>
      <c r="U59" s="889"/>
    </row>
    <row r="60" spans="20:21">
      <c r="T60" s="889"/>
      <c r="U60" s="889"/>
    </row>
    <row r="61" spans="20:21">
      <c r="T61" s="889"/>
      <c r="U61" s="889"/>
    </row>
    <row r="62" spans="20:21">
      <c r="T62" s="889"/>
      <c r="U62" s="889"/>
    </row>
    <row r="63" spans="20:21">
      <c r="T63" s="889"/>
      <c r="U63" s="889"/>
    </row>
    <row r="64" spans="20:21">
      <c r="T64" s="889"/>
      <c r="U64" s="889"/>
    </row>
    <row r="65" spans="20:21">
      <c r="T65" s="889"/>
      <c r="U65" s="889"/>
    </row>
    <row r="66" spans="20:21">
      <c r="T66" s="889"/>
      <c r="U66" s="889"/>
    </row>
    <row r="67" spans="20:21">
      <c r="T67" s="889"/>
      <c r="U67" s="889"/>
    </row>
    <row r="68" spans="20:21">
      <c r="T68" s="889"/>
      <c r="U68" s="889"/>
    </row>
    <row r="69" spans="20:21">
      <c r="T69" s="889"/>
      <c r="U69" s="889"/>
    </row>
    <row r="70" spans="20:21">
      <c r="T70" s="889"/>
      <c r="U70" s="889"/>
    </row>
    <row r="71" spans="20:21">
      <c r="T71" s="889"/>
      <c r="U71" s="889"/>
    </row>
    <row r="72" spans="20:21">
      <c r="T72" s="889"/>
      <c r="U72" s="889"/>
    </row>
    <row r="73" spans="20:21">
      <c r="T73" s="889"/>
      <c r="U73" s="889"/>
    </row>
    <row r="74" spans="20:21">
      <c r="T74" s="889"/>
      <c r="U74" s="889"/>
    </row>
    <row r="75" spans="20:21">
      <c r="T75" s="889"/>
      <c r="U75" s="889"/>
    </row>
    <row r="76" spans="20:21">
      <c r="T76" s="889"/>
      <c r="U76" s="889"/>
    </row>
    <row r="77" spans="20:21">
      <c r="T77" s="889"/>
      <c r="U77" s="889"/>
    </row>
    <row r="78" spans="20:21">
      <c r="T78" s="889"/>
      <c r="U78" s="889"/>
    </row>
    <row r="79" spans="20:21">
      <c r="T79" s="889"/>
      <c r="U79" s="889"/>
    </row>
    <row r="80" spans="20:21">
      <c r="T80" s="889"/>
      <c r="U80" s="889"/>
    </row>
    <row r="81" spans="20:21">
      <c r="T81" s="889"/>
      <c r="U81" s="889"/>
    </row>
    <row r="82" spans="20:21">
      <c r="T82" s="889"/>
      <c r="U82" s="889"/>
    </row>
    <row r="83" spans="20:21">
      <c r="T83" s="889"/>
      <c r="U83" s="889"/>
    </row>
    <row r="84" spans="20:21">
      <c r="T84" s="889"/>
      <c r="U84" s="889"/>
    </row>
    <row r="85" spans="20:21">
      <c r="T85" s="889"/>
      <c r="U85" s="889"/>
    </row>
    <row r="86" spans="20:21">
      <c r="T86" s="889"/>
      <c r="U86" s="889"/>
    </row>
    <row r="87" spans="20:21">
      <c r="T87" s="889"/>
      <c r="U87" s="889"/>
    </row>
    <row r="88" spans="20:21">
      <c r="T88" s="889"/>
      <c r="U88" s="889"/>
    </row>
    <row r="89" spans="20:21">
      <c r="T89" s="889"/>
      <c r="U89" s="889"/>
    </row>
    <row r="90" spans="20:21">
      <c r="T90" s="889"/>
      <c r="U90" s="889"/>
    </row>
    <row r="91" spans="20:21">
      <c r="T91" s="889"/>
      <c r="U91" s="889"/>
    </row>
    <row r="92" spans="20:21">
      <c r="T92" s="889"/>
      <c r="U92" s="889"/>
    </row>
    <row r="93" spans="20:21">
      <c r="T93" s="889"/>
      <c r="U93" s="889"/>
    </row>
    <row r="94" spans="20:21">
      <c r="T94" s="889"/>
      <c r="U94" s="889"/>
    </row>
    <row r="95" spans="20:21">
      <c r="T95" s="889"/>
      <c r="U95" s="889"/>
    </row>
    <row r="96" spans="20:21">
      <c r="T96" s="889"/>
      <c r="U96" s="889"/>
    </row>
    <row r="97" spans="20:21">
      <c r="T97" s="889"/>
      <c r="U97" s="889"/>
    </row>
    <row r="98" spans="20:21">
      <c r="T98" s="889"/>
      <c r="U98" s="889"/>
    </row>
    <row r="99" spans="20:21">
      <c r="T99" s="889"/>
      <c r="U99" s="889"/>
    </row>
    <row r="100" spans="20:21">
      <c r="T100" s="889"/>
      <c r="U100" s="889"/>
    </row>
    <row r="101" spans="20:21">
      <c r="T101" s="889"/>
      <c r="U101" s="889"/>
    </row>
    <row r="102" spans="20:21">
      <c r="T102" s="889"/>
      <c r="U102" s="889"/>
    </row>
    <row r="103" spans="20:21">
      <c r="T103" s="889"/>
      <c r="U103" s="889"/>
    </row>
    <row r="104" spans="20:21">
      <c r="T104" s="889"/>
      <c r="U104" s="889"/>
    </row>
    <row r="105" spans="20:21">
      <c r="T105" s="889"/>
      <c r="U105" s="889"/>
    </row>
    <row r="106" spans="20:21">
      <c r="T106" s="889"/>
      <c r="U106" s="889"/>
    </row>
    <row r="107" spans="20:21">
      <c r="T107" s="889"/>
      <c r="U107" s="889"/>
    </row>
    <row r="108" spans="20:21">
      <c r="T108" s="889"/>
      <c r="U108" s="889"/>
    </row>
    <row r="109" spans="20:21">
      <c r="T109" s="889"/>
      <c r="U109" s="889"/>
    </row>
    <row r="110" spans="20:21">
      <c r="T110" s="889"/>
      <c r="U110" s="889"/>
    </row>
    <row r="111" spans="20:21">
      <c r="T111" s="889"/>
      <c r="U111" s="889"/>
    </row>
    <row r="112" spans="20:21">
      <c r="T112" s="889"/>
      <c r="U112" s="889"/>
    </row>
    <row r="113" spans="20:21">
      <c r="T113" s="889"/>
      <c r="U113" s="889"/>
    </row>
    <row r="114" spans="20:21">
      <c r="T114" s="889"/>
      <c r="U114" s="889"/>
    </row>
    <row r="115" spans="20:21">
      <c r="T115" s="889"/>
      <c r="U115" s="889"/>
    </row>
    <row r="116" spans="20:21">
      <c r="T116" s="889"/>
      <c r="U116" s="889"/>
    </row>
    <row r="117" spans="20:21">
      <c r="T117" s="889"/>
      <c r="U117" s="889"/>
    </row>
    <row r="118" spans="20:21">
      <c r="T118" s="889"/>
      <c r="U118" s="889"/>
    </row>
    <row r="119" spans="20:21">
      <c r="T119" s="889"/>
      <c r="U119" s="889"/>
    </row>
    <row r="120" spans="20:21">
      <c r="T120" s="889"/>
      <c r="U120" s="889"/>
    </row>
    <row r="121" spans="20:21">
      <c r="T121" s="889"/>
      <c r="U121" s="889"/>
    </row>
    <row r="122" spans="20:21">
      <c r="T122" s="889"/>
      <c r="U122" s="889"/>
    </row>
    <row r="123" spans="20:21">
      <c r="T123" s="889"/>
      <c r="U123" s="889"/>
    </row>
    <row r="124" spans="20:21">
      <c r="T124" s="889"/>
      <c r="U124" s="889"/>
    </row>
    <row r="125" spans="20:21">
      <c r="T125" s="889"/>
      <c r="U125" s="889"/>
    </row>
    <row r="126" spans="20:21">
      <c r="T126" s="889"/>
      <c r="U126" s="889"/>
    </row>
    <row r="127" spans="20:21">
      <c r="T127" s="889"/>
      <c r="U127" s="889"/>
    </row>
    <row r="128" spans="20:21">
      <c r="T128" s="889"/>
      <c r="U128" s="889"/>
    </row>
    <row r="129" spans="20:21">
      <c r="T129" s="889"/>
      <c r="U129" s="889"/>
    </row>
    <row r="130" spans="20:21">
      <c r="T130" s="889"/>
      <c r="U130" s="889"/>
    </row>
    <row r="131" spans="20:21">
      <c r="T131" s="889"/>
      <c r="U131" s="889"/>
    </row>
    <row r="132" spans="20:21">
      <c r="T132" s="889"/>
      <c r="U132" s="889"/>
    </row>
    <row r="133" spans="20:21">
      <c r="T133" s="889"/>
      <c r="U133" s="889"/>
    </row>
    <row r="134" spans="20:21">
      <c r="T134" s="889"/>
      <c r="U134" s="889"/>
    </row>
    <row r="135" spans="20:21">
      <c r="T135" s="889"/>
      <c r="U135" s="889"/>
    </row>
    <row r="136" spans="20:21">
      <c r="T136" s="889"/>
      <c r="U136" s="889"/>
    </row>
    <row r="137" spans="20:21">
      <c r="T137" s="889"/>
      <c r="U137" s="889"/>
    </row>
    <row r="138" spans="20:21">
      <c r="T138" s="889"/>
      <c r="U138" s="889"/>
    </row>
    <row r="139" spans="20:21">
      <c r="T139" s="889"/>
      <c r="U139" s="889"/>
    </row>
    <row r="140" spans="20:21">
      <c r="T140" s="889"/>
      <c r="U140" s="889"/>
    </row>
    <row r="141" spans="20:21">
      <c r="T141" s="889"/>
      <c r="U141" s="889"/>
    </row>
    <row r="142" spans="20:21">
      <c r="T142" s="889"/>
      <c r="U142" s="889"/>
    </row>
    <row r="143" spans="20:21">
      <c r="T143" s="889"/>
      <c r="U143" s="889"/>
    </row>
    <row r="144" spans="20:21">
      <c r="T144" s="889"/>
      <c r="U144" s="889"/>
    </row>
    <row r="145" spans="20:21">
      <c r="T145" s="889"/>
      <c r="U145" s="889"/>
    </row>
    <row r="146" spans="20:21">
      <c r="T146" s="889"/>
      <c r="U146" s="889"/>
    </row>
    <row r="147" spans="20:21">
      <c r="T147" s="889"/>
      <c r="U147" s="889"/>
    </row>
    <row r="148" spans="20:21">
      <c r="T148" s="889"/>
      <c r="U148" s="889"/>
    </row>
    <row r="149" spans="20:21">
      <c r="T149" s="889"/>
      <c r="U149" s="889"/>
    </row>
    <row r="150" spans="20:21">
      <c r="T150" s="889"/>
      <c r="U150" s="889"/>
    </row>
    <row r="151" spans="20:21">
      <c r="T151" s="889"/>
      <c r="U151" s="889"/>
    </row>
    <row r="152" spans="20:21">
      <c r="T152" s="889"/>
      <c r="U152" s="889"/>
    </row>
    <row r="153" spans="20:21">
      <c r="T153" s="889"/>
      <c r="U153" s="889"/>
    </row>
    <row r="154" spans="20:21">
      <c r="T154" s="889"/>
      <c r="U154" s="889"/>
    </row>
    <row r="155" spans="20:21">
      <c r="T155" s="889"/>
      <c r="U155" s="889"/>
    </row>
    <row r="156" spans="20:21">
      <c r="T156" s="889"/>
      <c r="U156" s="889"/>
    </row>
    <row r="157" spans="20:21">
      <c r="T157" s="889"/>
      <c r="U157" s="889"/>
    </row>
    <row r="158" spans="20:21">
      <c r="T158" s="889"/>
      <c r="U158" s="889"/>
    </row>
    <row r="159" spans="20:21">
      <c r="T159" s="889"/>
      <c r="U159" s="889"/>
    </row>
    <row r="160" spans="20:21">
      <c r="T160" s="889"/>
      <c r="U160" s="889"/>
    </row>
    <row r="161" spans="20:21">
      <c r="T161" s="889"/>
      <c r="U161" s="889"/>
    </row>
    <row r="162" spans="20:21">
      <c r="T162" s="889"/>
      <c r="U162" s="889"/>
    </row>
    <row r="163" spans="20:21">
      <c r="T163" s="889"/>
      <c r="U163" s="889"/>
    </row>
    <row r="164" spans="20:21">
      <c r="T164" s="889"/>
      <c r="U164" s="889"/>
    </row>
    <row r="165" spans="20:21">
      <c r="T165" s="889"/>
      <c r="U165" s="889"/>
    </row>
    <row r="166" spans="20:21">
      <c r="T166" s="889"/>
      <c r="U166" s="889"/>
    </row>
    <row r="167" spans="20:21">
      <c r="T167" s="889"/>
      <c r="U167" s="889"/>
    </row>
    <row r="168" spans="20:21">
      <c r="T168" s="889"/>
      <c r="U168" s="889"/>
    </row>
    <row r="169" spans="20:21">
      <c r="T169" s="889"/>
      <c r="U169" s="889"/>
    </row>
    <row r="170" spans="20:21">
      <c r="T170" s="889"/>
      <c r="U170" s="889"/>
    </row>
    <row r="171" spans="20:21">
      <c r="T171" s="889"/>
      <c r="U171" s="889"/>
    </row>
    <row r="172" spans="20:21">
      <c r="T172" s="889"/>
      <c r="U172" s="889"/>
    </row>
    <row r="173" spans="20:21">
      <c r="T173" s="889"/>
      <c r="U173" s="889"/>
    </row>
    <row r="174" spans="20:21">
      <c r="T174" s="889"/>
      <c r="U174" s="889"/>
    </row>
    <row r="175" spans="20:21">
      <c r="T175" s="889"/>
      <c r="U175" s="889"/>
    </row>
    <row r="176" spans="20:21">
      <c r="T176" s="889"/>
      <c r="U176" s="889"/>
    </row>
    <row r="177" spans="20:21">
      <c r="T177" s="889"/>
      <c r="U177" s="889"/>
    </row>
    <row r="178" spans="20:21">
      <c r="T178" s="889"/>
      <c r="U178" s="889"/>
    </row>
    <row r="179" spans="20:21">
      <c r="T179" s="889"/>
      <c r="U179" s="889"/>
    </row>
    <row r="180" spans="20:21">
      <c r="T180" s="889"/>
      <c r="U180" s="889"/>
    </row>
    <row r="181" spans="20:21">
      <c r="T181" s="889"/>
      <c r="U181" s="889"/>
    </row>
    <row r="182" spans="20:21">
      <c r="T182" s="889"/>
      <c r="U182" s="889"/>
    </row>
    <row r="183" spans="20:21">
      <c r="T183" s="889"/>
      <c r="U183" s="889"/>
    </row>
    <row r="184" spans="20:21">
      <c r="T184" s="889"/>
      <c r="U184" s="889"/>
    </row>
    <row r="185" spans="20:21">
      <c r="T185" s="889"/>
      <c r="U185" s="889"/>
    </row>
    <row r="186" spans="20:21">
      <c r="T186" s="889"/>
      <c r="U186" s="889"/>
    </row>
    <row r="187" spans="20:21">
      <c r="T187" s="889"/>
      <c r="U187" s="889"/>
    </row>
    <row r="188" spans="20:21">
      <c r="T188" s="889"/>
      <c r="U188" s="889"/>
    </row>
    <row r="189" spans="20:21">
      <c r="T189" s="889"/>
      <c r="U189" s="889"/>
    </row>
    <row r="190" spans="20:21">
      <c r="T190" s="889"/>
      <c r="U190" s="889"/>
    </row>
    <row r="191" spans="20:21">
      <c r="T191" s="889"/>
      <c r="U191" s="889"/>
    </row>
    <row r="192" spans="20:21">
      <c r="T192" s="889"/>
      <c r="U192" s="889"/>
    </row>
    <row r="193" spans="20:21">
      <c r="T193" s="889"/>
      <c r="U193" s="889"/>
    </row>
    <row r="194" spans="20:21">
      <c r="T194" s="889"/>
      <c r="U194" s="889"/>
    </row>
    <row r="195" spans="20:21">
      <c r="T195" s="889"/>
      <c r="U195" s="889"/>
    </row>
    <row r="196" spans="20:21">
      <c r="T196" s="889"/>
      <c r="U196" s="889"/>
    </row>
    <row r="197" spans="20:21">
      <c r="T197" s="889"/>
      <c r="U197" s="889"/>
    </row>
    <row r="198" spans="20:21">
      <c r="T198" s="889"/>
      <c r="U198" s="889"/>
    </row>
    <row r="199" spans="20:21">
      <c r="T199" s="889"/>
      <c r="U199" s="889"/>
    </row>
    <row r="200" spans="20:21">
      <c r="T200" s="889"/>
      <c r="U200" s="889"/>
    </row>
    <row r="201" spans="20:21">
      <c r="T201" s="889"/>
      <c r="U201" s="889"/>
    </row>
    <row r="202" spans="20:21">
      <c r="T202" s="889"/>
      <c r="U202" s="889"/>
    </row>
    <row r="203" spans="20:21">
      <c r="T203" s="889"/>
      <c r="U203" s="889"/>
    </row>
    <row r="204" spans="20:21">
      <c r="T204" s="889"/>
      <c r="U204" s="889"/>
    </row>
    <row r="205" spans="20:21">
      <c r="T205" s="889"/>
      <c r="U205" s="889"/>
    </row>
    <row r="206" spans="20:21">
      <c r="T206" s="889"/>
      <c r="U206" s="889"/>
    </row>
    <row r="207" spans="20:21">
      <c r="T207" s="889"/>
      <c r="U207" s="889"/>
    </row>
    <row r="208" spans="20:21">
      <c r="T208" s="889"/>
      <c r="U208" s="889"/>
    </row>
    <row r="209" spans="20:21">
      <c r="T209" s="889"/>
      <c r="U209" s="889"/>
    </row>
    <row r="210" spans="20:21">
      <c r="T210" s="889"/>
      <c r="U210" s="889"/>
    </row>
    <row r="211" spans="20:21">
      <c r="T211" s="889"/>
      <c r="U211" s="889"/>
    </row>
    <row r="212" spans="20:21">
      <c r="T212" s="889"/>
      <c r="U212" s="889"/>
    </row>
    <row r="213" spans="20:21">
      <c r="T213" s="889"/>
      <c r="U213" s="889"/>
    </row>
    <row r="214" spans="20:21">
      <c r="T214" s="889"/>
      <c r="U214" s="889"/>
    </row>
    <row r="215" spans="20:21">
      <c r="T215" s="889"/>
      <c r="U215" s="889"/>
    </row>
    <row r="216" spans="20:21">
      <c r="T216" s="889"/>
      <c r="U216" s="889"/>
    </row>
    <row r="217" spans="20:21">
      <c r="T217" s="889"/>
      <c r="U217" s="889"/>
    </row>
    <row r="218" spans="20:21">
      <c r="T218" s="889"/>
      <c r="U218" s="889"/>
    </row>
    <row r="219" spans="20:21">
      <c r="T219" s="889"/>
      <c r="U219" s="889"/>
    </row>
    <row r="220" spans="20:21">
      <c r="T220" s="889"/>
      <c r="U220" s="889"/>
    </row>
    <row r="221" spans="20:21">
      <c r="T221" s="889"/>
      <c r="U221" s="889"/>
    </row>
    <row r="222" spans="20:21">
      <c r="T222" s="889"/>
      <c r="U222" s="889"/>
    </row>
    <row r="223" spans="20:21">
      <c r="T223" s="889"/>
      <c r="U223" s="889"/>
    </row>
    <row r="224" spans="20:21">
      <c r="T224" s="889"/>
      <c r="U224" s="889"/>
    </row>
    <row r="225" spans="20:21">
      <c r="T225" s="889"/>
      <c r="U225" s="889"/>
    </row>
    <row r="226" spans="20:21">
      <c r="T226" s="889"/>
      <c r="U226" s="889"/>
    </row>
    <row r="227" spans="20:21">
      <c r="T227" s="889"/>
      <c r="U227" s="889"/>
    </row>
    <row r="228" spans="20:21">
      <c r="T228" s="889"/>
      <c r="U228" s="889"/>
    </row>
    <row r="229" spans="20:21">
      <c r="T229" s="889"/>
      <c r="U229" s="889"/>
    </row>
    <row r="230" spans="20:21">
      <c r="T230" s="889"/>
      <c r="U230" s="889"/>
    </row>
    <row r="231" spans="20:21">
      <c r="T231" s="889"/>
      <c r="U231" s="889"/>
    </row>
    <row r="232" spans="20:21">
      <c r="T232" s="889"/>
      <c r="U232" s="889"/>
    </row>
    <row r="233" spans="20:21">
      <c r="T233" s="889"/>
      <c r="U233" s="889"/>
    </row>
    <row r="234" spans="20:21">
      <c r="T234" s="889"/>
      <c r="U234" s="889"/>
    </row>
    <row r="235" spans="20:21">
      <c r="T235" s="889"/>
      <c r="U235" s="889"/>
    </row>
    <row r="236" spans="20:21">
      <c r="T236" s="889"/>
      <c r="U236" s="889"/>
    </row>
    <row r="237" spans="20:21">
      <c r="T237" s="889"/>
      <c r="U237" s="889"/>
    </row>
    <row r="238" spans="20:21">
      <c r="T238" s="889"/>
      <c r="U238" s="889"/>
    </row>
    <row r="239" spans="20:21">
      <c r="T239" s="889"/>
      <c r="U239" s="889"/>
    </row>
    <row r="240" spans="20:21">
      <c r="T240" s="889"/>
      <c r="U240" s="889"/>
    </row>
    <row r="241" spans="20:21">
      <c r="T241" s="889"/>
      <c r="U241" s="889"/>
    </row>
    <row r="242" spans="20:21">
      <c r="T242" s="889"/>
      <c r="U242" s="889"/>
    </row>
    <row r="243" spans="20:21">
      <c r="T243" s="889"/>
      <c r="U243" s="889"/>
    </row>
    <row r="244" spans="20:21">
      <c r="T244" s="889"/>
      <c r="U244" s="889"/>
    </row>
    <row r="245" spans="20:21">
      <c r="T245" s="889"/>
      <c r="U245" s="889"/>
    </row>
    <row r="246" spans="20:21">
      <c r="T246" s="889"/>
      <c r="U246" s="889"/>
    </row>
    <row r="247" spans="20:21">
      <c r="T247" s="889"/>
      <c r="U247" s="889"/>
    </row>
    <row r="248" spans="20:21">
      <c r="T248" s="889"/>
      <c r="U248" s="889"/>
    </row>
    <row r="249" spans="20:21">
      <c r="T249" s="889"/>
      <c r="U249" s="889"/>
    </row>
    <row r="250" spans="20:21">
      <c r="T250" s="889"/>
      <c r="U250" s="889"/>
    </row>
    <row r="251" spans="20:21">
      <c r="T251" s="889"/>
      <c r="U251" s="889"/>
    </row>
    <row r="252" spans="20:21">
      <c r="T252" s="889"/>
      <c r="U252" s="889"/>
    </row>
    <row r="253" spans="20:21">
      <c r="T253" s="889"/>
      <c r="U253" s="889"/>
    </row>
    <row r="254" spans="20:21">
      <c r="T254" s="889"/>
      <c r="U254" s="889"/>
    </row>
    <row r="255" spans="20:21">
      <c r="T255" s="889"/>
      <c r="U255" s="889"/>
    </row>
    <row r="256" spans="20:21">
      <c r="T256" s="889"/>
      <c r="U256" s="889"/>
    </row>
    <row r="257" spans="20:21">
      <c r="T257" s="889"/>
      <c r="U257" s="889"/>
    </row>
    <row r="258" spans="20:21">
      <c r="T258" s="889"/>
      <c r="U258" s="889"/>
    </row>
    <row r="259" spans="20:21">
      <c r="T259" s="889"/>
      <c r="U259" s="889"/>
    </row>
    <row r="260" spans="20:21">
      <c r="T260" s="889"/>
      <c r="U260" s="889"/>
    </row>
    <row r="261" spans="20:21">
      <c r="T261" s="889"/>
      <c r="U261" s="889"/>
    </row>
    <row r="262" spans="20:21">
      <c r="T262" s="889"/>
      <c r="U262" s="889"/>
    </row>
    <row r="263" spans="20:21">
      <c r="T263" s="889"/>
      <c r="U263" s="889"/>
    </row>
    <row r="264" spans="20:21">
      <c r="T264" s="889"/>
      <c r="U264" s="889"/>
    </row>
    <row r="265" spans="20:21">
      <c r="T265" s="889"/>
      <c r="U265" s="889"/>
    </row>
    <row r="266" spans="20:21">
      <c r="T266" s="889"/>
      <c r="U266" s="889"/>
    </row>
    <row r="267" spans="20:21">
      <c r="T267" s="889"/>
      <c r="U267" s="889"/>
    </row>
    <row r="268" spans="20:21">
      <c r="T268" s="889"/>
      <c r="U268" s="889"/>
    </row>
    <row r="269" spans="20:21">
      <c r="T269" s="889"/>
      <c r="U269" s="889"/>
    </row>
    <row r="270" spans="20:21">
      <c r="T270" s="889"/>
      <c r="U270" s="889"/>
    </row>
    <row r="271" spans="20:21">
      <c r="T271" s="889"/>
      <c r="U271" s="889"/>
    </row>
    <row r="272" spans="20:21">
      <c r="T272" s="889"/>
      <c r="U272" s="889"/>
    </row>
    <row r="273" spans="20:21">
      <c r="T273" s="889"/>
      <c r="U273" s="889"/>
    </row>
    <row r="274" spans="20:21">
      <c r="T274" s="889"/>
      <c r="U274" s="889"/>
    </row>
    <row r="275" spans="20:21">
      <c r="T275" s="889"/>
      <c r="U275" s="889"/>
    </row>
    <row r="276" spans="20:21">
      <c r="T276" s="889"/>
      <c r="U276" s="889"/>
    </row>
    <row r="277" spans="20:21">
      <c r="T277" s="889"/>
      <c r="U277" s="889"/>
    </row>
    <row r="278" spans="20:21">
      <c r="T278" s="889"/>
      <c r="U278" s="889"/>
    </row>
    <row r="279" spans="20:21">
      <c r="T279" s="889"/>
      <c r="U279" s="889"/>
    </row>
    <row r="280" spans="20:21">
      <c r="T280" s="889"/>
      <c r="U280" s="889"/>
    </row>
    <row r="281" spans="20:21">
      <c r="T281" s="889"/>
      <c r="U281" s="889"/>
    </row>
    <row r="282" spans="20:21">
      <c r="T282" s="889"/>
      <c r="U282" s="889"/>
    </row>
    <row r="283" spans="20:21">
      <c r="T283" s="889"/>
      <c r="U283" s="889"/>
    </row>
    <row r="284" spans="20:21">
      <c r="T284" s="889"/>
      <c r="U284" s="889"/>
    </row>
    <row r="285" spans="20:21">
      <c r="T285" s="889"/>
      <c r="U285" s="889"/>
    </row>
    <row r="286" spans="20:21">
      <c r="T286" s="889"/>
      <c r="U286" s="889"/>
    </row>
    <row r="287" spans="20:21">
      <c r="T287" s="889"/>
      <c r="U287" s="889"/>
    </row>
    <row r="288" spans="20:21">
      <c r="T288" s="889"/>
      <c r="U288" s="889"/>
    </row>
    <row r="289" spans="20:21">
      <c r="T289" s="889"/>
      <c r="U289" s="889"/>
    </row>
    <row r="290" spans="20:21">
      <c r="T290" s="889"/>
      <c r="U290" s="889"/>
    </row>
    <row r="291" spans="20:21">
      <c r="T291" s="889"/>
      <c r="U291" s="889"/>
    </row>
    <row r="292" spans="20:21">
      <c r="T292" s="889"/>
      <c r="U292" s="889"/>
    </row>
    <row r="293" spans="20:21">
      <c r="T293" s="889"/>
      <c r="U293" s="889"/>
    </row>
    <row r="294" spans="20:21">
      <c r="T294" s="889"/>
      <c r="U294" s="889"/>
    </row>
    <row r="295" spans="20:21">
      <c r="T295" s="889"/>
      <c r="U295" s="889"/>
    </row>
    <row r="296" spans="20:21">
      <c r="T296" s="889"/>
      <c r="U296" s="889"/>
    </row>
    <row r="297" spans="20:21">
      <c r="T297" s="889"/>
      <c r="U297" s="889"/>
    </row>
    <row r="298" spans="20:21">
      <c r="T298" s="889"/>
      <c r="U298" s="889"/>
    </row>
    <row r="299" spans="20:21">
      <c r="T299" s="889"/>
      <c r="U299" s="889"/>
    </row>
    <row r="300" spans="20:21">
      <c r="T300" s="889"/>
      <c r="U300" s="889"/>
    </row>
    <row r="301" spans="20:21">
      <c r="T301" s="889"/>
      <c r="U301" s="889"/>
    </row>
    <row r="302" spans="20:21">
      <c r="T302" s="889"/>
      <c r="U302" s="889"/>
    </row>
    <row r="303" spans="20:21">
      <c r="T303" s="889"/>
      <c r="U303" s="889"/>
    </row>
    <row r="304" spans="20:21">
      <c r="T304" s="889"/>
      <c r="U304" s="889"/>
    </row>
    <row r="305" spans="20:21">
      <c r="T305" s="889"/>
      <c r="U305" s="889"/>
    </row>
    <row r="306" spans="20:21">
      <c r="T306" s="889"/>
      <c r="U306" s="889"/>
    </row>
    <row r="307" spans="20:21">
      <c r="T307" s="889"/>
      <c r="U307" s="889"/>
    </row>
    <row r="308" spans="20:21">
      <c r="T308" s="889"/>
      <c r="U308" s="889"/>
    </row>
    <row r="309" spans="20:21">
      <c r="T309" s="889"/>
      <c r="U309" s="889"/>
    </row>
    <row r="310" spans="20:21">
      <c r="T310" s="889"/>
      <c r="U310" s="889"/>
    </row>
    <row r="311" spans="20:21">
      <c r="T311" s="889"/>
      <c r="U311" s="889"/>
    </row>
    <row r="312" spans="20:21">
      <c r="T312" s="889"/>
      <c r="U312" s="889"/>
    </row>
    <row r="313" spans="20:21">
      <c r="T313" s="889"/>
      <c r="U313" s="889"/>
    </row>
    <row r="314" spans="20:21">
      <c r="T314" s="889"/>
      <c r="U314" s="889"/>
    </row>
    <row r="315" spans="20:21">
      <c r="T315" s="889"/>
      <c r="U315" s="889"/>
    </row>
    <row r="316" spans="20:21">
      <c r="T316" s="889"/>
      <c r="U316" s="889"/>
    </row>
    <row r="317" spans="20:21">
      <c r="T317" s="889"/>
      <c r="U317" s="889"/>
    </row>
    <row r="318" spans="20:21">
      <c r="T318" s="889"/>
      <c r="U318" s="889"/>
    </row>
    <row r="319" spans="20:21">
      <c r="T319" s="889"/>
      <c r="U319" s="889"/>
    </row>
    <row r="320" spans="20:21">
      <c r="T320" s="889"/>
      <c r="U320" s="889"/>
    </row>
    <row r="321" spans="20:21">
      <c r="T321" s="889"/>
      <c r="U321" s="889"/>
    </row>
    <row r="322" spans="20:21">
      <c r="T322" s="889"/>
      <c r="U322" s="889"/>
    </row>
    <row r="323" spans="20:21">
      <c r="T323" s="889"/>
      <c r="U323" s="889"/>
    </row>
    <row r="324" spans="20:21">
      <c r="T324" s="889"/>
      <c r="U324" s="889"/>
    </row>
    <row r="325" spans="20:21">
      <c r="T325" s="889"/>
      <c r="U325" s="889"/>
    </row>
    <row r="326" spans="20:21">
      <c r="T326" s="889"/>
      <c r="U326" s="889"/>
    </row>
    <row r="327" spans="20:21">
      <c r="T327" s="889"/>
      <c r="U327" s="889"/>
    </row>
    <row r="328" spans="20:21">
      <c r="T328" s="889"/>
      <c r="U328" s="889"/>
    </row>
    <row r="329" spans="20:21">
      <c r="T329" s="889"/>
      <c r="U329" s="889"/>
    </row>
    <row r="330" spans="20:21">
      <c r="T330" s="889"/>
      <c r="U330" s="889"/>
    </row>
    <row r="331" spans="20:21">
      <c r="T331" s="889"/>
      <c r="U331" s="889"/>
    </row>
    <row r="332" spans="20:21">
      <c r="T332" s="889"/>
      <c r="U332" s="889"/>
    </row>
    <row r="333" spans="20:21">
      <c r="T333" s="889"/>
      <c r="U333" s="889"/>
    </row>
    <row r="334" spans="20:21">
      <c r="T334" s="889"/>
      <c r="U334" s="889"/>
    </row>
    <row r="335" spans="20:21">
      <c r="T335" s="889"/>
      <c r="U335" s="889"/>
    </row>
    <row r="336" spans="20:21">
      <c r="T336" s="889"/>
      <c r="U336" s="889"/>
    </row>
    <row r="337" spans="20:21">
      <c r="T337" s="889"/>
      <c r="U337" s="889"/>
    </row>
    <row r="338" spans="20:21">
      <c r="T338" s="889"/>
      <c r="U338" s="889"/>
    </row>
    <row r="339" spans="20:21">
      <c r="T339" s="889"/>
      <c r="U339" s="889"/>
    </row>
    <row r="340" spans="20:21">
      <c r="T340" s="889"/>
      <c r="U340" s="889"/>
    </row>
    <row r="341" spans="20:21">
      <c r="T341" s="889"/>
      <c r="U341" s="889"/>
    </row>
    <row r="342" spans="20:21">
      <c r="T342" s="889"/>
      <c r="U342" s="889"/>
    </row>
    <row r="343" spans="20:21">
      <c r="T343" s="889"/>
      <c r="U343" s="889"/>
    </row>
    <row r="344" spans="20:21">
      <c r="T344" s="889"/>
      <c r="U344" s="889"/>
    </row>
    <row r="345" spans="20:21">
      <c r="T345" s="889"/>
      <c r="U345" s="889"/>
    </row>
    <row r="346" spans="20:21">
      <c r="T346" s="889"/>
      <c r="U346" s="889"/>
    </row>
    <row r="347" spans="20:21">
      <c r="T347" s="889"/>
      <c r="U347" s="889"/>
    </row>
    <row r="348" spans="20:21">
      <c r="T348" s="889"/>
      <c r="U348" s="889"/>
    </row>
    <row r="349" spans="20:21">
      <c r="T349" s="889"/>
      <c r="U349" s="889"/>
    </row>
    <row r="350" spans="20:21">
      <c r="T350" s="889"/>
      <c r="U350" s="889"/>
    </row>
    <row r="351" spans="20:21">
      <c r="T351" s="889"/>
      <c r="U351" s="889"/>
    </row>
    <row r="352" spans="20:21">
      <c r="T352" s="889"/>
      <c r="U352" s="889"/>
    </row>
    <row r="353" spans="20:21">
      <c r="T353" s="889"/>
      <c r="U353" s="889"/>
    </row>
    <row r="354" spans="20:21">
      <c r="T354" s="889"/>
      <c r="U354" s="889"/>
    </row>
    <row r="355" spans="20:21">
      <c r="T355" s="889"/>
      <c r="U355" s="889"/>
    </row>
    <row r="356" spans="20:21">
      <c r="T356" s="889"/>
      <c r="U356" s="889"/>
    </row>
    <row r="357" spans="20:21">
      <c r="T357" s="889"/>
      <c r="U357" s="889"/>
    </row>
    <row r="358" spans="20:21">
      <c r="T358" s="889"/>
      <c r="U358" s="889"/>
    </row>
    <row r="359" spans="20:21">
      <c r="T359" s="889"/>
      <c r="U359" s="889"/>
    </row>
    <row r="360" spans="20:21">
      <c r="T360" s="889"/>
      <c r="U360" s="889"/>
    </row>
    <row r="361" spans="20:21">
      <c r="T361" s="889"/>
      <c r="U361" s="889"/>
    </row>
    <row r="362" spans="20:21">
      <c r="T362" s="889"/>
      <c r="U362" s="889"/>
    </row>
    <row r="363" spans="20:21">
      <c r="T363" s="889"/>
      <c r="U363" s="889"/>
    </row>
    <row r="364" spans="20:21">
      <c r="T364" s="889"/>
      <c r="U364" s="889"/>
    </row>
    <row r="365" spans="20:21">
      <c r="T365" s="889"/>
      <c r="U365" s="889"/>
    </row>
    <row r="366" spans="20:21">
      <c r="T366" s="889"/>
      <c r="U366" s="889"/>
    </row>
    <row r="367" spans="20:21">
      <c r="T367" s="889"/>
      <c r="U367" s="889"/>
    </row>
    <row r="368" spans="20:21">
      <c r="T368" s="889"/>
      <c r="U368" s="889"/>
    </row>
    <row r="369" spans="20:21">
      <c r="T369" s="889"/>
      <c r="U369" s="889"/>
    </row>
    <row r="370" spans="20:21">
      <c r="T370" s="889"/>
      <c r="U370" s="889"/>
    </row>
    <row r="371" spans="20:21">
      <c r="T371" s="889"/>
      <c r="U371" s="889"/>
    </row>
    <row r="372" spans="20:21">
      <c r="T372" s="889"/>
      <c r="U372" s="889"/>
    </row>
    <row r="373" spans="20:21">
      <c r="T373" s="889"/>
      <c r="U373" s="889"/>
    </row>
    <row r="374" spans="20:21">
      <c r="T374" s="889"/>
      <c r="U374" s="889"/>
    </row>
    <row r="375" spans="20:21">
      <c r="T375" s="889"/>
      <c r="U375" s="889"/>
    </row>
    <row r="376" spans="20:21">
      <c r="T376" s="889"/>
      <c r="U376" s="889"/>
    </row>
    <row r="377" spans="20:21">
      <c r="T377" s="889"/>
      <c r="U377" s="889"/>
    </row>
    <row r="378" spans="20:21">
      <c r="T378" s="889"/>
      <c r="U378" s="889"/>
    </row>
    <row r="379" spans="20:21">
      <c r="T379" s="889"/>
      <c r="U379" s="889"/>
    </row>
    <row r="380" spans="20:21">
      <c r="T380" s="889"/>
      <c r="U380" s="889"/>
    </row>
    <row r="381" spans="20:21">
      <c r="T381" s="889"/>
      <c r="U381" s="889"/>
    </row>
    <row r="382" spans="20:21">
      <c r="T382" s="889"/>
      <c r="U382" s="889"/>
    </row>
    <row r="383" spans="20:21">
      <c r="T383" s="889"/>
      <c r="U383" s="889"/>
    </row>
    <row r="384" spans="20:21">
      <c r="T384" s="889"/>
      <c r="U384" s="889"/>
    </row>
    <row r="385" spans="20:21">
      <c r="T385" s="889"/>
      <c r="U385" s="889"/>
    </row>
    <row r="386" spans="20:21">
      <c r="T386" s="889"/>
      <c r="U386" s="889"/>
    </row>
    <row r="387" spans="20:21">
      <c r="T387" s="889"/>
      <c r="U387" s="889"/>
    </row>
    <row r="388" spans="20:21">
      <c r="T388" s="889"/>
      <c r="U388" s="889"/>
    </row>
    <row r="389" spans="20:21">
      <c r="T389" s="889"/>
      <c r="U389" s="889"/>
    </row>
    <row r="390" spans="20:21">
      <c r="T390" s="889"/>
      <c r="U390" s="889"/>
    </row>
    <row r="391" spans="20:21">
      <c r="T391" s="889"/>
      <c r="U391" s="889"/>
    </row>
    <row r="392" spans="20:21">
      <c r="T392" s="889"/>
      <c r="U392" s="889"/>
    </row>
    <row r="393" spans="20:21">
      <c r="T393" s="889"/>
      <c r="U393" s="889"/>
    </row>
    <row r="394" spans="20:21">
      <c r="T394" s="889"/>
      <c r="U394" s="889"/>
    </row>
    <row r="395" spans="20:21">
      <c r="T395" s="889"/>
      <c r="U395" s="889"/>
    </row>
    <row r="396" spans="20:21">
      <c r="T396" s="889"/>
      <c r="U396" s="889"/>
    </row>
    <row r="397" spans="20:21">
      <c r="T397" s="889"/>
      <c r="U397" s="889"/>
    </row>
    <row r="398" spans="20:21">
      <c r="T398" s="889"/>
      <c r="U398" s="889"/>
    </row>
    <row r="399" spans="20:21">
      <c r="T399" s="889"/>
      <c r="U399" s="889"/>
    </row>
    <row r="400" spans="20:21">
      <c r="T400" s="889"/>
      <c r="U400" s="889"/>
    </row>
    <row r="401" spans="20:21">
      <c r="T401" s="889"/>
      <c r="U401" s="889"/>
    </row>
    <row r="402" spans="20:21">
      <c r="T402" s="889"/>
      <c r="U402" s="889"/>
    </row>
    <row r="403" spans="20:21">
      <c r="T403" s="889"/>
      <c r="U403" s="889"/>
    </row>
    <row r="404" spans="20:21">
      <c r="T404" s="889"/>
      <c r="U404" s="889"/>
    </row>
    <row r="405" spans="20:21">
      <c r="T405" s="889"/>
      <c r="U405" s="889"/>
    </row>
    <row r="406" spans="20:21">
      <c r="T406" s="889"/>
      <c r="U406" s="889"/>
    </row>
    <row r="407" spans="20:21">
      <c r="T407" s="889"/>
      <c r="U407" s="889"/>
    </row>
    <row r="408" spans="20:21">
      <c r="T408" s="889"/>
      <c r="U408" s="889"/>
    </row>
    <row r="409" spans="20:21">
      <c r="T409" s="889"/>
      <c r="U409" s="889"/>
    </row>
    <row r="410" spans="20:21">
      <c r="T410" s="889"/>
      <c r="U410" s="889"/>
    </row>
    <row r="411" spans="20:21">
      <c r="T411" s="889"/>
      <c r="U411" s="889"/>
    </row>
    <row r="412" spans="20:21">
      <c r="T412" s="889"/>
      <c r="U412" s="889"/>
    </row>
    <row r="413" spans="20:21">
      <c r="T413" s="889"/>
      <c r="U413" s="889"/>
    </row>
    <row r="414" spans="20:21">
      <c r="T414" s="889"/>
      <c r="U414" s="889"/>
    </row>
    <row r="415" spans="20:21">
      <c r="T415" s="889"/>
      <c r="U415" s="889"/>
    </row>
    <row r="416" spans="20:21">
      <c r="T416" s="889"/>
      <c r="U416" s="889"/>
    </row>
    <row r="417" spans="20:21">
      <c r="T417" s="889"/>
      <c r="U417" s="889"/>
    </row>
    <row r="418" spans="20:21">
      <c r="T418" s="889"/>
      <c r="U418" s="889"/>
    </row>
    <row r="419" spans="20:21">
      <c r="T419" s="889"/>
      <c r="U419" s="889"/>
    </row>
    <row r="420" spans="20:21">
      <c r="T420" s="889"/>
      <c r="U420" s="889"/>
    </row>
    <row r="421" spans="20:21">
      <c r="T421" s="889"/>
      <c r="U421" s="889"/>
    </row>
    <row r="422" spans="20:21">
      <c r="T422" s="889"/>
      <c r="U422" s="889"/>
    </row>
    <row r="423" spans="20:21">
      <c r="T423" s="889"/>
      <c r="U423" s="889"/>
    </row>
    <row r="424" spans="20:21">
      <c r="T424" s="889"/>
      <c r="U424" s="889"/>
    </row>
    <row r="425" spans="20:21">
      <c r="T425" s="889"/>
      <c r="U425" s="889"/>
    </row>
    <row r="426" spans="20:21">
      <c r="T426" s="889"/>
      <c r="U426" s="889"/>
    </row>
    <row r="427" spans="20:21">
      <c r="T427" s="889"/>
      <c r="U427" s="889"/>
    </row>
    <row r="428" spans="20:21">
      <c r="T428" s="889"/>
      <c r="U428" s="889"/>
    </row>
    <row r="429" spans="20:21">
      <c r="T429" s="889"/>
      <c r="U429" s="889"/>
    </row>
    <row r="430" spans="20:21">
      <c r="T430" s="889"/>
      <c r="U430" s="889"/>
    </row>
    <row r="431" spans="20:21">
      <c r="T431" s="889"/>
      <c r="U431" s="889"/>
    </row>
    <row r="432" spans="20:21">
      <c r="T432" s="889"/>
      <c r="U432" s="889"/>
    </row>
    <row r="433" spans="20:21">
      <c r="T433" s="889"/>
      <c r="U433" s="889"/>
    </row>
    <row r="434" spans="20:21">
      <c r="T434" s="889"/>
      <c r="U434" s="889"/>
    </row>
    <row r="435" spans="20:21">
      <c r="T435" s="889"/>
      <c r="U435" s="889"/>
    </row>
    <row r="436" spans="20:21">
      <c r="T436" s="889"/>
      <c r="U436" s="889"/>
    </row>
    <row r="437" spans="20:21">
      <c r="T437" s="889"/>
      <c r="U437" s="889"/>
    </row>
    <row r="438" spans="20:21">
      <c r="T438" s="889"/>
      <c r="U438" s="889"/>
    </row>
    <row r="439" spans="20:21">
      <c r="T439" s="889"/>
      <c r="U439" s="889"/>
    </row>
    <row r="440" spans="20:21">
      <c r="T440" s="889"/>
      <c r="U440" s="889"/>
    </row>
    <row r="441" spans="20:21">
      <c r="T441" s="889"/>
      <c r="U441" s="889"/>
    </row>
    <row r="442" spans="20:21">
      <c r="T442" s="889"/>
      <c r="U442" s="889"/>
    </row>
    <row r="443" spans="20:21">
      <c r="T443" s="889"/>
      <c r="U443" s="889"/>
    </row>
    <row r="444" spans="20:21">
      <c r="T444" s="889"/>
      <c r="U444" s="889"/>
    </row>
    <row r="445" spans="20:21">
      <c r="T445" s="889"/>
      <c r="U445" s="889"/>
    </row>
    <row r="446" spans="20:21">
      <c r="T446" s="889"/>
      <c r="U446" s="889"/>
    </row>
    <row r="447" spans="20:21">
      <c r="T447" s="889"/>
      <c r="U447" s="889"/>
    </row>
    <row r="448" spans="20:21">
      <c r="T448" s="889"/>
      <c r="U448" s="889"/>
    </row>
    <row r="449" spans="20:21">
      <c r="T449" s="889"/>
      <c r="U449" s="889"/>
    </row>
    <row r="450" spans="20:21">
      <c r="T450" s="889"/>
      <c r="U450" s="889"/>
    </row>
    <row r="451" spans="20:21">
      <c r="T451" s="889"/>
      <c r="U451" s="889"/>
    </row>
    <row r="452" spans="20:21">
      <c r="T452" s="889"/>
      <c r="U452" s="889"/>
    </row>
    <row r="453" spans="20:21">
      <c r="T453" s="889"/>
      <c r="U453" s="889"/>
    </row>
    <row r="454" spans="20:21">
      <c r="T454" s="889"/>
      <c r="U454" s="889"/>
    </row>
    <row r="455" spans="20:21">
      <c r="T455" s="889"/>
      <c r="U455" s="889"/>
    </row>
    <row r="456" spans="20:21">
      <c r="T456" s="889"/>
      <c r="U456" s="889"/>
    </row>
    <row r="457" spans="20:21">
      <c r="T457" s="889"/>
      <c r="U457" s="889"/>
    </row>
    <row r="458" spans="20:21">
      <c r="T458" s="889"/>
      <c r="U458" s="889"/>
    </row>
    <row r="459" spans="20:21">
      <c r="T459" s="889"/>
      <c r="U459" s="889"/>
    </row>
    <row r="460" spans="20:21">
      <c r="T460" s="889"/>
      <c r="U460" s="889"/>
    </row>
    <row r="461" spans="20:21">
      <c r="T461" s="889"/>
      <c r="U461" s="889"/>
    </row>
    <row r="462" spans="20:21">
      <c r="T462" s="889"/>
      <c r="U462" s="889"/>
    </row>
    <row r="463" spans="20:21">
      <c r="T463" s="889"/>
      <c r="U463" s="889"/>
    </row>
    <row r="464" spans="20:21">
      <c r="T464" s="889"/>
      <c r="U464" s="889"/>
    </row>
    <row r="465" spans="20:21">
      <c r="T465" s="889"/>
      <c r="U465" s="889"/>
    </row>
    <row r="466" spans="20:21">
      <c r="T466" s="889"/>
      <c r="U466" s="889"/>
    </row>
    <row r="467" spans="20:21">
      <c r="T467" s="889"/>
      <c r="U467" s="889"/>
    </row>
    <row r="468" spans="20:21">
      <c r="T468" s="889"/>
      <c r="U468" s="889"/>
    </row>
    <row r="469" spans="20:21">
      <c r="T469" s="889"/>
      <c r="U469" s="889"/>
    </row>
    <row r="470" spans="20:21">
      <c r="T470" s="889"/>
      <c r="U470" s="889"/>
    </row>
    <row r="471" spans="20:21">
      <c r="T471" s="889"/>
      <c r="U471" s="889"/>
    </row>
    <row r="472" spans="20:21">
      <c r="T472" s="889"/>
      <c r="U472" s="889"/>
    </row>
    <row r="473" spans="20:21">
      <c r="T473" s="889"/>
      <c r="U473" s="889"/>
    </row>
    <row r="474" spans="20:21">
      <c r="T474" s="889"/>
      <c r="U474" s="889"/>
    </row>
    <row r="475" spans="20:21">
      <c r="T475" s="889"/>
      <c r="U475" s="889"/>
    </row>
    <row r="476" spans="20:21">
      <c r="T476" s="889"/>
      <c r="U476" s="889"/>
    </row>
    <row r="477" spans="20:21">
      <c r="T477" s="889"/>
      <c r="U477" s="889"/>
    </row>
    <row r="478" spans="20:21">
      <c r="T478" s="889"/>
      <c r="U478" s="889"/>
    </row>
    <row r="479" spans="20:21">
      <c r="T479" s="889"/>
      <c r="U479" s="889"/>
    </row>
    <row r="480" spans="20:21">
      <c r="T480" s="889"/>
      <c r="U480" s="889"/>
    </row>
    <row r="481" spans="20:21">
      <c r="T481" s="889"/>
      <c r="U481" s="889"/>
    </row>
    <row r="482" spans="20:21">
      <c r="T482" s="889"/>
      <c r="U482" s="889"/>
    </row>
    <row r="483" spans="20:21">
      <c r="T483" s="889"/>
      <c r="U483" s="889"/>
    </row>
    <row r="484" spans="20:21">
      <c r="T484" s="889"/>
      <c r="U484" s="889"/>
    </row>
    <row r="485" spans="20:21">
      <c r="T485" s="889"/>
      <c r="U485" s="889"/>
    </row>
    <row r="486" spans="20:21">
      <c r="T486" s="889"/>
      <c r="U486" s="889"/>
    </row>
    <row r="487" spans="20:21">
      <c r="T487" s="889"/>
      <c r="U487" s="889"/>
    </row>
    <row r="488" spans="20:21">
      <c r="T488" s="889"/>
      <c r="U488" s="889"/>
    </row>
    <row r="489" spans="20:21">
      <c r="T489" s="889"/>
      <c r="U489" s="889"/>
    </row>
    <row r="490" spans="20:21">
      <c r="T490" s="889"/>
      <c r="U490" s="889"/>
    </row>
    <row r="491" spans="20:21">
      <c r="T491" s="889"/>
      <c r="U491" s="889"/>
    </row>
    <row r="492" spans="20:21">
      <c r="T492" s="889"/>
      <c r="U492" s="889"/>
    </row>
    <row r="493" spans="20:21">
      <c r="T493" s="889"/>
      <c r="U493" s="889"/>
    </row>
    <row r="494" spans="20:21">
      <c r="T494" s="889"/>
      <c r="U494" s="889"/>
    </row>
    <row r="495" spans="20:21">
      <c r="T495" s="889"/>
      <c r="U495" s="889"/>
    </row>
    <row r="496" spans="20:21">
      <c r="T496" s="889"/>
      <c r="U496" s="889"/>
    </row>
    <row r="497" spans="20:21">
      <c r="T497" s="889"/>
      <c r="U497" s="889"/>
    </row>
    <row r="498" spans="20:21">
      <c r="T498" s="889"/>
      <c r="U498" s="889"/>
    </row>
    <row r="499" spans="20:21">
      <c r="T499" s="889"/>
      <c r="U499" s="889"/>
    </row>
    <row r="500" spans="20:21">
      <c r="T500" s="889"/>
      <c r="U500" s="889"/>
    </row>
    <row r="501" spans="20:21">
      <c r="T501" s="889"/>
      <c r="U501" s="889"/>
    </row>
    <row r="502" spans="20:21">
      <c r="T502" s="889"/>
      <c r="U502" s="889"/>
    </row>
    <row r="503" spans="20:21">
      <c r="T503" s="889"/>
      <c r="U503" s="889"/>
    </row>
    <row r="504" spans="20:21">
      <c r="T504" s="889"/>
      <c r="U504" s="889"/>
    </row>
    <row r="505" spans="20:21">
      <c r="T505" s="889"/>
      <c r="U505" s="889"/>
    </row>
  </sheetData>
  <sheetProtection algorithmName="SHA-512" hashValue="tx+AZnMMKfGRd8WBM4c7sTsRGWZJSB7PerAlvf2LpbcgsJq3PDaUXE/r+XGHm73hfiBG/lQrvi1fherkptPLYg==" saltValue="0+uBgaAIEa3ufnAT4X0h7g==" spinCount="100000" sheet="1" formatColumns="0"/>
  <dataConsolidate/>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14526AA2-B023-A849-9529-595BDE129D83}">
            <xm:f>(OFFSET(Administrador!$N$3,0,Administrador!$D$3*5-3)&gt;=ROW()-3)</xm:f>
            <x14:dxf>
              <font>
                <color theme="1"/>
              </font>
              <fill>
                <patternFill>
                  <bgColor theme="0"/>
                </patternFill>
              </fill>
              <border>
                <left style="thin">
                  <color theme="3" tint="0.39994506668294322"/>
                </left>
                <right style="thin">
                  <color theme="3" tint="0.39994506668294322"/>
                </right>
                <top style="thin">
                  <color theme="3" tint="0.39994506668294322"/>
                </top>
                <bottom style="thin">
                  <color theme="3" tint="0.39994506668294322"/>
                </bottom>
              </border>
            </x14:dxf>
          </x14:cfRule>
          <xm:sqref>C4:S10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F554ACF-7EBD-9C48-953D-EFC1FD2192C4}">
          <x14:formula1>
            <xm:f>Equipos!$P$2:$P$24</xm:f>
          </x14:formula1>
          <xm:sqref>E1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FE5C1-4A14-7C45-A64E-50ACFCC4C461}">
  <sheetPr codeName="Hoja3">
    <pageSetUpPr fitToPage="1"/>
  </sheetPr>
  <dimension ref="A1:BA34"/>
  <sheetViews>
    <sheetView showGridLines="0" showRowColHeaders="0" workbookViewId="0"/>
  </sheetViews>
  <sheetFormatPr baseColWidth="10" defaultRowHeight="15"/>
  <cols>
    <col min="1" max="1" width="2.33203125" customWidth="1"/>
    <col min="2" max="2" width="3.33203125" customWidth="1"/>
    <col min="3" max="6" width="3.83203125" customWidth="1"/>
    <col min="7" max="7" width="3.33203125" customWidth="1"/>
    <col min="8" max="12" width="3.83203125" customWidth="1"/>
    <col min="13" max="13" width="3.33203125" customWidth="1"/>
    <col min="14" max="14" width="4.33203125" customWidth="1"/>
    <col min="15" max="16" width="3.83203125" customWidth="1"/>
    <col min="17" max="17" width="3.33203125" customWidth="1"/>
    <col min="18" max="18" width="4.33203125" customWidth="1"/>
    <col min="19" max="20" width="3.83203125" customWidth="1"/>
    <col min="21" max="21" width="3.33203125" customWidth="1"/>
    <col min="22" max="22" width="4.33203125" customWidth="1"/>
    <col min="23" max="25" width="3.83203125" customWidth="1"/>
    <col min="26" max="26" width="4.33203125" customWidth="1"/>
    <col min="27" max="28" width="3.83203125" customWidth="1"/>
    <col min="29" max="29" width="3.33203125" customWidth="1"/>
    <col min="30" max="32" width="3.83203125" customWidth="1"/>
    <col min="33" max="33" width="3.33203125" customWidth="1"/>
    <col min="34" max="34" width="4.33203125" customWidth="1"/>
    <col min="35" max="36" width="3.83203125" customWidth="1"/>
    <col min="37" max="37" width="3.33203125" customWidth="1"/>
    <col min="38" max="38" width="4.33203125" customWidth="1"/>
    <col min="39" max="40" width="3.83203125" customWidth="1"/>
    <col min="41" max="42" width="3.33203125" customWidth="1"/>
    <col min="43" max="46" width="3.83203125" customWidth="1"/>
    <col min="47" max="47" width="3.33203125" customWidth="1"/>
    <col min="48" max="67" width="3.83203125" customWidth="1"/>
  </cols>
  <sheetData>
    <row r="1" spans="1:53" ht="8"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ht="16" thickBot="1">
      <c r="A2" s="1"/>
      <c r="B2" s="470"/>
      <c r="C2" s="451"/>
      <c r="D2" s="451"/>
      <c r="E2" s="451"/>
      <c r="F2" s="451"/>
      <c r="G2" s="451"/>
      <c r="H2" s="451"/>
      <c r="I2" s="451"/>
      <c r="J2" s="451"/>
      <c r="K2" s="451"/>
      <c r="L2" s="451"/>
      <c r="M2" s="451"/>
      <c r="N2" s="451"/>
      <c r="O2" s="452" t="s">
        <v>121</v>
      </c>
      <c r="P2" s="451"/>
      <c r="Q2" s="1"/>
      <c r="R2" s="1"/>
      <c r="S2" s="453" t="s">
        <v>78</v>
      </c>
      <c r="T2" s="1"/>
      <c r="U2" s="451"/>
      <c r="V2" s="451"/>
      <c r="W2" s="451" t="s">
        <v>86</v>
      </c>
      <c r="X2" s="451"/>
      <c r="Y2" s="451"/>
      <c r="Z2" s="451"/>
      <c r="AA2" s="451" t="s">
        <v>269</v>
      </c>
      <c r="AB2" s="451"/>
      <c r="AC2" s="451"/>
      <c r="AD2" s="451"/>
      <c r="AE2" s="451" t="s">
        <v>86</v>
      </c>
      <c r="AF2" s="451"/>
      <c r="AG2" s="451"/>
      <c r="AH2" s="451"/>
      <c r="AI2" s="453" t="s">
        <v>78</v>
      </c>
      <c r="AJ2" s="451"/>
      <c r="AK2" s="1"/>
      <c r="AL2" s="1"/>
      <c r="AM2" s="452" t="s">
        <v>121</v>
      </c>
      <c r="AN2" s="1"/>
      <c r="AO2" s="451"/>
      <c r="AP2" s="1"/>
      <c r="AQ2" s="1"/>
      <c r="AR2" s="1"/>
      <c r="AS2" s="1"/>
      <c r="AT2" s="1"/>
      <c r="AU2" s="1"/>
      <c r="AV2" s="1"/>
      <c r="AW2" s="1"/>
      <c r="AX2" s="1"/>
      <c r="AY2" s="1"/>
      <c r="AZ2" s="1"/>
      <c r="BA2" s="1"/>
    </row>
    <row r="3" spans="1:53">
      <c r="A3" s="1"/>
      <c r="B3" s="535" t="s">
        <v>0</v>
      </c>
      <c r="C3" s="462" t="str">
        <f ca="1">MID(MUNDIAL!I4,1,3)</f>
        <v>Sen</v>
      </c>
      <c r="D3" s="463">
        <f>MUNDIAL!K4</f>
        <v>0</v>
      </c>
      <c r="E3" s="463">
        <f>MUNDIAL!L4</f>
        <v>2</v>
      </c>
      <c r="F3" s="464" t="str">
        <f ca="1">MID(MUNDIAL!N4,1,3)</f>
        <v>Pai</v>
      </c>
      <c r="G3" s="662"/>
      <c r="H3" s="529" t="s">
        <v>267</v>
      </c>
      <c r="I3" s="530" t="s">
        <v>76</v>
      </c>
      <c r="J3" s="530" t="s">
        <v>273</v>
      </c>
      <c r="K3" s="530" t="s">
        <v>99</v>
      </c>
      <c r="L3" s="531" t="s">
        <v>9</v>
      </c>
      <c r="M3" s="1"/>
      <c r="N3" s="709"/>
      <c r="O3" s="709"/>
      <c r="P3" s="709"/>
      <c r="Q3" s="1"/>
      <c r="R3" s="720"/>
      <c r="S3" s="720"/>
      <c r="T3" s="720"/>
      <c r="U3" s="1"/>
      <c r="V3" s="734"/>
      <c r="W3" s="734"/>
      <c r="X3" s="734"/>
      <c r="Y3" s="1"/>
      <c r="Z3" s="746"/>
      <c r="AA3" s="746"/>
      <c r="AB3" s="746"/>
      <c r="AC3" s="1"/>
      <c r="AD3" s="734"/>
      <c r="AE3" s="734"/>
      <c r="AF3" s="734"/>
      <c r="AG3" s="1"/>
      <c r="AH3" s="720"/>
      <c r="AI3" s="720"/>
      <c r="AJ3" s="720"/>
      <c r="AK3" s="1"/>
      <c r="AL3" s="709"/>
      <c r="AM3" s="709"/>
      <c r="AN3" s="709"/>
      <c r="AO3" s="1"/>
      <c r="AP3" s="560" t="s">
        <v>3</v>
      </c>
      <c r="AQ3" s="566" t="str">
        <f ca="1">MID(MUNDIAL!I36,1,3)</f>
        <v>Ale</v>
      </c>
      <c r="AR3" s="567">
        <f>MUNDIAL!K36</f>
        <v>1</v>
      </c>
      <c r="AS3" s="567">
        <f>MUNDIAL!L36</f>
        <v>2</v>
      </c>
      <c r="AT3" s="568" t="str">
        <f ca="1">MID(MUNDIAL!N36,1,3)</f>
        <v>Jap</v>
      </c>
      <c r="AU3" s="679"/>
      <c r="AV3" s="569" t="s">
        <v>267</v>
      </c>
      <c r="AW3" s="570" t="s">
        <v>76</v>
      </c>
      <c r="AX3" s="570" t="s">
        <v>273</v>
      </c>
      <c r="AY3" s="570" t="s">
        <v>99</v>
      </c>
      <c r="AZ3" s="571" t="s">
        <v>9</v>
      </c>
      <c r="BA3" s="1"/>
    </row>
    <row r="4" spans="1:53">
      <c r="A4" s="1"/>
      <c r="B4" s="535"/>
      <c r="C4" s="465" t="str">
        <f ca="1">MID(MUNDIAL!I5,1,3)</f>
        <v>Cat</v>
      </c>
      <c r="D4" s="459">
        <f>MUNDIAL!K5</f>
        <v>0</v>
      </c>
      <c r="E4" s="459">
        <f>MUNDIAL!L5</f>
        <v>2</v>
      </c>
      <c r="F4" s="460" t="str">
        <f ca="1">MID(MUNDIAL!N5,1,3)</f>
        <v>Ecu</v>
      </c>
      <c r="G4" s="1">
        <v>1</v>
      </c>
      <c r="H4" s="695" t="str">
        <f ca="1">MID(MUNDIAL!R6,1,3)</f>
        <v>Pai</v>
      </c>
      <c r="I4" s="755">
        <f ca="1">MUNDIAL!S6</f>
        <v>7</v>
      </c>
      <c r="J4" s="461">
        <f ca="1">MUNDIAL!T6</f>
        <v>3</v>
      </c>
      <c r="K4" s="461">
        <f ca="1">MUNDIAL!Z6</f>
        <v>4</v>
      </c>
      <c r="L4" s="466">
        <f ca="1">MUNDIAL!X6</f>
        <v>5</v>
      </c>
      <c r="M4" s="1"/>
      <c r="N4" s="709"/>
      <c r="O4" s="709"/>
      <c r="P4" s="709"/>
      <c r="Q4" s="1"/>
      <c r="R4" s="720"/>
      <c r="S4" s="720"/>
      <c r="T4" s="720"/>
      <c r="U4" s="1"/>
      <c r="V4" s="734"/>
      <c r="W4" s="734"/>
      <c r="X4" s="734"/>
      <c r="Y4" s="1"/>
      <c r="Z4" s="746"/>
      <c r="AA4" s="746"/>
      <c r="AB4" s="746"/>
      <c r="AC4" s="1"/>
      <c r="AD4" s="734"/>
      <c r="AE4" s="734"/>
      <c r="AF4" s="734"/>
      <c r="AG4" s="1"/>
      <c r="AH4" s="720"/>
      <c r="AI4" s="720"/>
      <c r="AJ4" s="720"/>
      <c r="AK4" s="1"/>
      <c r="AL4" s="709"/>
      <c r="AM4" s="709"/>
      <c r="AN4" s="709"/>
      <c r="AO4" s="1"/>
      <c r="AP4" s="561"/>
      <c r="AQ4" s="563" t="str">
        <f ca="1">MID(MUNDIAL!I37,1,3)</f>
        <v>Esp</v>
      </c>
      <c r="AR4" s="572">
        <f>MUNDIAL!K37</f>
        <v>7</v>
      </c>
      <c r="AS4" s="572">
        <f>MUNDIAL!L37</f>
        <v>0</v>
      </c>
      <c r="AT4" s="573" t="str">
        <f ca="1">MID(MUNDIAL!N37,1,3)</f>
        <v>Cos</v>
      </c>
      <c r="AU4" s="680">
        <v>1</v>
      </c>
      <c r="AV4" s="701" t="str">
        <f ca="1">MID(MUNDIAL!R38,1,3)</f>
        <v>Jap</v>
      </c>
      <c r="AW4" s="761">
        <f ca="1">MUNDIAL!S38</f>
        <v>6</v>
      </c>
      <c r="AX4" s="574">
        <f ca="1">MUNDIAL!T38</f>
        <v>3</v>
      </c>
      <c r="AY4" s="574">
        <f ca="1">MUNDIAL!Z38</f>
        <v>1</v>
      </c>
      <c r="AZ4" s="575">
        <f ca="1">MUNDIAL!X38</f>
        <v>4</v>
      </c>
      <c r="BA4" s="1"/>
    </row>
    <row r="5" spans="1:53">
      <c r="A5" s="1"/>
      <c r="B5" s="535"/>
      <c r="C5" s="465" t="str">
        <f ca="1">MID(MUNDIAL!I6,1,3)</f>
        <v>Cat</v>
      </c>
      <c r="D5" s="459">
        <f>MUNDIAL!K6</f>
        <v>1</v>
      </c>
      <c r="E5" s="459">
        <f>MUNDIAL!L6</f>
        <v>2</v>
      </c>
      <c r="F5" s="460" t="str">
        <f ca="1">MID(MUNDIAL!N6,1,3)</f>
        <v>Sen</v>
      </c>
      <c r="G5" s="1">
        <v>2</v>
      </c>
      <c r="H5" s="695" t="str">
        <f ca="1">MID(MUNDIAL!R7,1,3)</f>
        <v>Sen</v>
      </c>
      <c r="I5" s="755">
        <f ca="1">MUNDIAL!S7</f>
        <v>6</v>
      </c>
      <c r="J5" s="461">
        <f ca="1">MUNDIAL!T7</f>
        <v>3</v>
      </c>
      <c r="K5" s="461">
        <f ca="1">MUNDIAL!Z7</f>
        <v>0</v>
      </c>
      <c r="L5" s="466">
        <f ca="1">MUNDIAL!X7</f>
        <v>4</v>
      </c>
      <c r="M5" s="1"/>
      <c r="N5" s="710" t="str">
        <f ca="1">MID(MUNDIAL!I69,1,3)</f>
        <v>Pai</v>
      </c>
      <c r="O5" s="711" t="str">
        <f>IF(ISBLANK(MUNDIAL!K69),"",(MUNDIAL!K69))</f>
        <v/>
      </c>
      <c r="P5" s="712" t="str">
        <f>IF(ISBLANK(MUNDIAL!J69),"","("&amp;(MUNDIAL!J69)&amp;")")</f>
        <v/>
      </c>
      <c r="Q5" s="454"/>
      <c r="R5" s="721"/>
      <c r="S5" s="721"/>
      <c r="T5" s="721"/>
      <c r="U5" s="454"/>
      <c r="V5" s="735"/>
      <c r="W5" s="735"/>
      <c r="X5" s="735"/>
      <c r="Y5" s="454"/>
      <c r="Z5" s="747"/>
      <c r="AA5" s="747"/>
      <c r="AB5" s="747"/>
      <c r="AC5" s="454"/>
      <c r="AD5" s="735"/>
      <c r="AE5" s="735"/>
      <c r="AF5" s="735"/>
      <c r="AG5" s="454"/>
      <c r="AH5" s="721"/>
      <c r="AI5" s="721"/>
      <c r="AJ5" s="721"/>
      <c r="AK5" s="454"/>
      <c r="AL5" s="718" t="str">
        <f>IF(ISBLANK(MUNDIAL!J72),"","("&amp;(MUNDIAL!J72)&amp;")")</f>
        <v/>
      </c>
      <c r="AM5" s="711" t="str">
        <f>IF(ISBLANK(MUNDIAL!K72),"",(MUNDIAL!K72))</f>
        <v/>
      </c>
      <c r="AN5" s="710" t="str">
        <f ca="1">MID(MUNDIAL!I72,1,3)</f>
        <v>Ing</v>
      </c>
      <c r="AO5" s="1"/>
      <c r="AP5" s="561"/>
      <c r="AQ5" s="579" t="str">
        <f ca="1">MID(MUNDIAL!I38,1,3)</f>
        <v>Jap</v>
      </c>
      <c r="AR5" s="576">
        <f>MUNDIAL!K38</f>
        <v>0</v>
      </c>
      <c r="AS5" s="576">
        <f>MUNDIAL!L38</f>
        <v>1</v>
      </c>
      <c r="AT5" s="577" t="str">
        <f ca="1">MID(MUNDIAL!N38,1,3)</f>
        <v>Cos</v>
      </c>
      <c r="AU5" s="680">
        <v>2</v>
      </c>
      <c r="AV5" s="702" t="str">
        <f ca="1">MID(MUNDIAL!R39,1,3)</f>
        <v>Esp</v>
      </c>
      <c r="AW5" s="762">
        <f ca="1">MUNDIAL!S39</f>
        <v>4</v>
      </c>
      <c r="AX5" s="574">
        <f ca="1">MUNDIAL!T39</f>
        <v>3</v>
      </c>
      <c r="AY5" s="578">
        <f ca="1">MUNDIAL!Z39</f>
        <v>6</v>
      </c>
      <c r="AZ5" s="580">
        <f ca="1">MUNDIAL!X39</f>
        <v>9</v>
      </c>
      <c r="BA5" s="1"/>
    </row>
    <row r="6" spans="1:53">
      <c r="A6" s="1"/>
      <c r="B6" s="535"/>
      <c r="C6" s="465" t="str">
        <f ca="1">MID(MUNDIAL!I7,1,3)</f>
        <v>Pai</v>
      </c>
      <c r="D6" s="459">
        <f>MUNDIAL!K7</f>
        <v>1</v>
      </c>
      <c r="E6" s="459">
        <f>MUNDIAL!L7</f>
        <v>1</v>
      </c>
      <c r="F6" s="460" t="str">
        <f ca="1">MID(MUNDIAL!N7,1,3)</f>
        <v>Ecu</v>
      </c>
      <c r="G6" s="1">
        <v>3</v>
      </c>
      <c r="H6" s="695" t="str">
        <f ca="1">MID(MUNDIAL!R8,1,3)</f>
        <v>Ecu</v>
      </c>
      <c r="I6" s="755">
        <f ca="1">MUNDIAL!S8</f>
        <v>4</v>
      </c>
      <c r="J6" s="461">
        <f ca="1">MUNDIAL!T8</f>
        <v>3</v>
      </c>
      <c r="K6" s="461">
        <f ca="1">MUNDIAL!Z8</f>
        <v>1</v>
      </c>
      <c r="L6" s="466">
        <f ca="1">MUNDIAL!X8</f>
        <v>4</v>
      </c>
      <c r="M6" s="1"/>
      <c r="N6" s="710" t="str">
        <f ca="1">MID(MUNDIAL!N69,1,3)</f>
        <v>Est</v>
      </c>
      <c r="O6" s="711" t="str">
        <f>IF(ISBLANK(MUNDIAL!L69),"",(MUNDIAL!L69))</f>
        <v/>
      </c>
      <c r="P6" s="713" t="str">
        <f>IF(ISBLANK(MUNDIAL!M69),"","("&amp;(MUNDIAL!M69)&amp;")")</f>
        <v/>
      </c>
      <c r="Q6" s="454"/>
      <c r="R6" s="721"/>
      <c r="S6" s="721"/>
      <c r="T6" s="721"/>
      <c r="U6" s="454"/>
      <c r="V6" s="735"/>
      <c r="W6" s="735"/>
      <c r="X6" s="735"/>
      <c r="Y6" s="454"/>
      <c r="Z6" s="747"/>
      <c r="AA6" s="747"/>
      <c r="AB6" s="747"/>
      <c r="AC6" s="454"/>
      <c r="AD6" s="735"/>
      <c r="AE6" s="735"/>
      <c r="AF6" s="735"/>
      <c r="AG6" s="454"/>
      <c r="AH6" s="721"/>
      <c r="AI6" s="721"/>
      <c r="AJ6" s="721"/>
      <c r="AK6" s="687"/>
      <c r="AL6" s="719" t="str">
        <f>IF(ISBLANK(MUNDIAL!M72),"","("&amp;(MUNDIAL!M72)&amp;")")</f>
        <v/>
      </c>
      <c r="AM6" s="711" t="str">
        <f>IF(ISBLANK(MUNDIAL!L72),"",(MUNDIAL!L72))</f>
        <v/>
      </c>
      <c r="AN6" s="710" t="str">
        <f ca="1">MID(MUNDIAL!N72,1,3)</f>
        <v>Sen</v>
      </c>
      <c r="AO6" s="1"/>
      <c r="AP6" s="561"/>
      <c r="AQ6" s="581" t="str">
        <f ca="1">MID(MUNDIAL!I39,1,3)</f>
        <v>Esp</v>
      </c>
      <c r="AR6" s="572">
        <f>MUNDIAL!K39</f>
        <v>1</v>
      </c>
      <c r="AS6" s="572">
        <f>MUNDIAL!L39</f>
        <v>1</v>
      </c>
      <c r="AT6" s="573" t="str">
        <f ca="1">MID(MUNDIAL!N39,1,3)</f>
        <v>Ale</v>
      </c>
      <c r="AU6" s="680">
        <v>3</v>
      </c>
      <c r="AV6" s="701" t="str">
        <f ca="1">MID(MUNDIAL!R40,1,3)</f>
        <v>Ale</v>
      </c>
      <c r="AW6" s="761">
        <f ca="1">MUNDIAL!S40</f>
        <v>4</v>
      </c>
      <c r="AX6" s="574">
        <f ca="1">MUNDIAL!T40</f>
        <v>3</v>
      </c>
      <c r="AY6" s="574">
        <f ca="1">MUNDIAL!Z40</f>
        <v>1</v>
      </c>
      <c r="AZ6" s="575">
        <f ca="1">MUNDIAL!X40</f>
        <v>6</v>
      </c>
      <c r="BA6" s="1"/>
    </row>
    <row r="7" spans="1:53">
      <c r="A7" s="1"/>
      <c r="B7" s="535"/>
      <c r="C7" s="465" t="str">
        <f ca="1">MID(MUNDIAL!I8,1,3)</f>
        <v>Ecu</v>
      </c>
      <c r="D7" s="459">
        <f>MUNDIAL!K8</f>
        <v>1</v>
      </c>
      <c r="E7" s="459">
        <f>MUNDIAL!L8</f>
        <v>2</v>
      </c>
      <c r="F7" s="460" t="str">
        <f ca="1">MID(MUNDIAL!N8,1,3)</f>
        <v>Sen</v>
      </c>
      <c r="G7" s="1">
        <v>4</v>
      </c>
      <c r="H7" s="695" t="str">
        <f ca="1">MID(MUNDIAL!R9,1,3)</f>
        <v>Cat</v>
      </c>
      <c r="I7" s="755">
        <f ca="1">MUNDIAL!S9</f>
        <v>0</v>
      </c>
      <c r="J7" s="461">
        <f ca="1">MUNDIAL!T9</f>
        <v>3</v>
      </c>
      <c r="K7" s="461">
        <f ca="1">MUNDIAL!Z9</f>
        <v>-5</v>
      </c>
      <c r="L7" s="466">
        <f ca="1">MUNDIAL!X9</f>
        <v>1</v>
      </c>
      <c r="N7" s="714"/>
      <c r="O7" s="714"/>
      <c r="P7" s="715"/>
      <c r="Q7" s="454"/>
      <c r="R7" s="721"/>
      <c r="S7" s="721"/>
      <c r="T7" s="721"/>
      <c r="U7" s="454"/>
      <c r="V7" s="735"/>
      <c r="W7" s="735"/>
      <c r="X7" s="735"/>
      <c r="Y7" s="454"/>
      <c r="Z7" s="747"/>
      <c r="AA7" s="747"/>
      <c r="AB7" s="747"/>
      <c r="AC7" s="454"/>
      <c r="AD7" s="735"/>
      <c r="AE7" s="735"/>
      <c r="AF7" s="735"/>
      <c r="AG7" s="454"/>
      <c r="AH7" s="721"/>
      <c r="AI7" s="721"/>
      <c r="AJ7" s="722"/>
      <c r="AK7" s="687"/>
      <c r="AL7" s="714"/>
      <c r="AM7" s="714"/>
      <c r="AN7" s="714"/>
      <c r="AO7" s="1"/>
      <c r="AP7" s="561"/>
      <c r="AQ7" s="581" t="str">
        <f ca="1">MID(MUNDIAL!I40,1,3)</f>
        <v>Jap</v>
      </c>
      <c r="AR7" s="572">
        <f>MUNDIAL!K40</f>
        <v>2</v>
      </c>
      <c r="AS7" s="572">
        <f>MUNDIAL!L40</f>
        <v>1</v>
      </c>
      <c r="AT7" s="573" t="str">
        <f ca="1">MID(MUNDIAL!N40,1,3)</f>
        <v>Esp</v>
      </c>
      <c r="AU7" s="680">
        <v>4</v>
      </c>
      <c r="AV7" s="701" t="str">
        <f ca="1">MID(MUNDIAL!R41,1,3)</f>
        <v>Cos</v>
      </c>
      <c r="AW7" s="763">
        <f ca="1">MUNDIAL!S41</f>
        <v>3</v>
      </c>
      <c r="AX7" s="574">
        <f ca="1">MUNDIAL!T41</f>
        <v>3</v>
      </c>
      <c r="AY7" s="564">
        <f ca="1">MUNDIAL!Z41</f>
        <v>-8</v>
      </c>
      <c r="AZ7" s="565">
        <f ca="1">MUNDIAL!X41</f>
        <v>3</v>
      </c>
      <c r="BA7" s="1"/>
    </row>
    <row r="8" spans="1:53" ht="16" thickBot="1">
      <c r="A8" s="1"/>
      <c r="B8" s="536"/>
      <c r="C8" s="467" t="str">
        <f ca="1">MID(MUNDIAL!I9,1,3)</f>
        <v>Pai</v>
      </c>
      <c r="D8" s="468">
        <f>MUNDIAL!K9</f>
        <v>2</v>
      </c>
      <c r="E8" s="468">
        <f>MUNDIAL!L9</f>
        <v>0</v>
      </c>
      <c r="F8" s="469" t="str">
        <f ca="1">MID(MUNDIAL!N9,1,3)</f>
        <v>Cat</v>
      </c>
      <c r="G8" s="470"/>
      <c r="H8" s="533"/>
      <c r="I8" s="532"/>
      <c r="J8" s="532"/>
      <c r="K8" s="532"/>
      <c r="L8" s="534"/>
      <c r="M8" s="1"/>
      <c r="N8" s="714"/>
      <c r="O8" s="714"/>
      <c r="P8" s="715"/>
      <c r="Q8" s="690"/>
      <c r="R8" s="725" t="str">
        <f>MID(MUNDIAL!I81,1,3)</f>
        <v>W49</v>
      </c>
      <c r="S8" s="724" t="str">
        <f>IF(ISBLANK(MUNDIAL!K81),"",(MUNDIAL!K81))</f>
        <v/>
      </c>
      <c r="T8" s="728" t="str">
        <f>IF(ISBLANK(MUNDIAL!J81),"","("&amp;(MUNDIAL!J81)&amp;")")</f>
        <v/>
      </c>
      <c r="U8" s="454"/>
      <c r="V8" s="735"/>
      <c r="W8" s="735"/>
      <c r="X8" s="735"/>
      <c r="Y8" s="454"/>
      <c r="Z8" s="747"/>
      <c r="AA8" s="747"/>
      <c r="AB8" s="747"/>
      <c r="AC8" s="454"/>
      <c r="AD8" s="735"/>
      <c r="AE8" s="735"/>
      <c r="AF8" s="735"/>
      <c r="AG8" s="454"/>
      <c r="AH8" s="723" t="str">
        <f>IF(ISBLANK(MUNDIAL!J83),"","("&amp;(MUNDIAL!J83)&amp;")")</f>
        <v/>
      </c>
      <c r="AI8" s="724" t="str">
        <f>IF(ISBLANK(MUNDIAL!K83),"",(MUNDIAL!K83))</f>
        <v/>
      </c>
      <c r="AJ8" s="725" t="str">
        <f>MID(MUNDIAL!I83,1,3)</f>
        <v>W51</v>
      </c>
      <c r="AK8" s="691"/>
      <c r="AL8" s="714"/>
      <c r="AM8" s="714"/>
      <c r="AN8" s="714"/>
      <c r="AO8" s="1"/>
      <c r="AP8" s="562"/>
      <c r="AQ8" s="582" t="str">
        <f ca="1">MID(MUNDIAL!I41,1,3)</f>
        <v>Cos</v>
      </c>
      <c r="AR8" s="583">
        <f>MUNDIAL!K41</f>
        <v>2</v>
      </c>
      <c r="AS8" s="583">
        <f>MUNDIAL!L41</f>
        <v>4</v>
      </c>
      <c r="AT8" s="584" t="str">
        <f ca="1">MID(MUNDIAL!N41,1,3)</f>
        <v>Ale</v>
      </c>
      <c r="AU8" s="670"/>
      <c r="AV8" s="558"/>
      <c r="AW8" s="557"/>
      <c r="AX8" s="557"/>
      <c r="AY8" s="557"/>
      <c r="AZ8" s="559"/>
      <c r="BA8" s="1"/>
    </row>
    <row r="9" spans="1:53" ht="16" thickBot="1">
      <c r="A9" s="1"/>
      <c r="B9" s="537"/>
      <c r="C9" s="458"/>
      <c r="D9" s="3"/>
      <c r="E9" s="3"/>
      <c r="F9" s="1"/>
      <c r="G9" s="1"/>
      <c r="H9" s="458"/>
      <c r="I9" s="1"/>
      <c r="J9" s="1"/>
      <c r="K9" s="1"/>
      <c r="L9" s="1"/>
      <c r="M9" s="1"/>
      <c r="N9" s="714"/>
      <c r="O9" s="714"/>
      <c r="P9" s="715"/>
      <c r="Q9" s="454"/>
      <c r="R9" s="725" t="str">
        <f>MID(MUNDIAL!N81,1,3)</f>
        <v>W50</v>
      </c>
      <c r="S9" s="724" t="str">
        <f>IF(ISBLANK(MUNDIAL!L81),"",(MUNDIAL!L81))</f>
        <v/>
      </c>
      <c r="T9" s="729" t="str">
        <f>IF(ISBLANK(MUNDIAL!M81),"","("&amp;(MUNDIAL!M81)&amp;")")</f>
        <v/>
      </c>
      <c r="U9" s="454"/>
      <c r="V9" s="735"/>
      <c r="W9" s="735"/>
      <c r="X9" s="735"/>
      <c r="Y9" s="454"/>
      <c r="Z9" s="747" t="s">
        <v>268</v>
      </c>
      <c r="AA9" s="746"/>
      <c r="AB9" s="747"/>
      <c r="AC9" s="454"/>
      <c r="AD9" s="735"/>
      <c r="AE9" s="735"/>
      <c r="AF9" s="735"/>
      <c r="AG9" s="687"/>
      <c r="AH9" s="726" t="str">
        <f>IF(ISBLANK(MUNDIAL!M83),"","("&amp;(MUNDIAL!M83)&amp;")")</f>
        <v/>
      </c>
      <c r="AI9" s="724" t="str">
        <f>IF(ISBLANK(MUNDIAL!L83),"",(MUNDIAL!L83))</f>
        <v/>
      </c>
      <c r="AJ9" s="725" t="str">
        <f>MID(MUNDIAL!N83,1,3)</f>
        <v>W52</v>
      </c>
      <c r="AK9" s="687"/>
      <c r="AL9" s="714"/>
      <c r="AM9" s="714"/>
      <c r="AN9" s="714"/>
      <c r="AO9" s="451"/>
      <c r="AP9" s="1"/>
      <c r="AQ9" s="454"/>
      <c r="AR9" s="454"/>
      <c r="AS9" s="1"/>
      <c r="AT9" s="593"/>
      <c r="AU9" s="594"/>
      <c r="AV9" s="593"/>
      <c r="AW9" s="593"/>
      <c r="AX9" s="593"/>
      <c r="AY9" s="593"/>
      <c r="AZ9" s="456"/>
      <c r="BA9" s="1"/>
    </row>
    <row r="10" spans="1:53">
      <c r="A10" s="1"/>
      <c r="B10" s="471" t="s">
        <v>1</v>
      </c>
      <c r="C10" s="509" t="str">
        <f ca="1">MID(MUNDIAL!I12,1,3)</f>
        <v>Ing</v>
      </c>
      <c r="D10" s="525">
        <f>MUNDIAL!K12</f>
        <v>6</v>
      </c>
      <c r="E10" s="521">
        <f>MUNDIAL!L12</f>
        <v>2</v>
      </c>
      <c r="F10" s="513" t="str">
        <f ca="1">MID(MUNDIAL!N12,1,3)</f>
        <v>Irá</v>
      </c>
      <c r="G10" s="663"/>
      <c r="H10" s="542" t="s">
        <v>267</v>
      </c>
      <c r="I10" s="543" t="s">
        <v>76</v>
      </c>
      <c r="J10" s="543" t="s">
        <v>273</v>
      </c>
      <c r="K10" s="544" t="s">
        <v>99</v>
      </c>
      <c r="L10" s="545" t="s">
        <v>9</v>
      </c>
      <c r="M10" s="1"/>
      <c r="N10" s="714"/>
      <c r="O10" s="714"/>
      <c r="P10" s="715"/>
      <c r="Q10" s="454"/>
      <c r="R10" s="721"/>
      <c r="S10" s="721"/>
      <c r="T10" s="730"/>
      <c r="U10" s="454"/>
      <c r="V10" s="735"/>
      <c r="W10" s="735"/>
      <c r="X10" s="735"/>
      <c r="Y10" s="694"/>
      <c r="Z10" s="748" t="str">
        <f>MID(MUNDIAL!I90,1,3)</f>
        <v>L61</v>
      </c>
      <c r="AA10" s="749" t="str">
        <f>IF(ISBLANK(MUNDIAL!K90),"",(MUNDIAL!K90))</f>
        <v/>
      </c>
      <c r="AB10" s="750" t="str">
        <f>IF(ISBLANK(MUNDIAL!J90),"","("&amp;(MUNDIAL!J90)&amp;")")</f>
        <v/>
      </c>
      <c r="AC10" s="694"/>
      <c r="AD10" s="735"/>
      <c r="AE10" s="735"/>
      <c r="AF10" s="735"/>
      <c r="AG10" s="687"/>
      <c r="AH10" s="721"/>
      <c r="AI10" s="721"/>
      <c r="AJ10" s="727"/>
      <c r="AK10" s="687"/>
      <c r="AL10" s="714"/>
      <c r="AM10" s="714"/>
      <c r="AN10" s="714"/>
      <c r="AO10" s="1"/>
      <c r="AP10" s="615" t="s">
        <v>4</v>
      </c>
      <c r="AQ10" s="595" t="str">
        <f ca="1">MID(MUNDIAL!I44,1,3)</f>
        <v>Mar</v>
      </c>
      <c r="AR10" s="596">
        <f>MUNDIAL!K44</f>
        <v>0</v>
      </c>
      <c r="AS10" s="597">
        <f>MUNDIAL!L44</f>
        <v>0</v>
      </c>
      <c r="AT10" s="598" t="str">
        <f ca="1">MID(MUNDIAL!N44,1,3)</f>
        <v>Cro</v>
      </c>
      <c r="AU10" s="671"/>
      <c r="AV10" s="608" t="s">
        <v>267</v>
      </c>
      <c r="AW10" s="609" t="s">
        <v>76</v>
      </c>
      <c r="AX10" s="609" t="s">
        <v>273</v>
      </c>
      <c r="AY10" s="610" t="s">
        <v>99</v>
      </c>
      <c r="AZ10" s="611" t="s">
        <v>9</v>
      </c>
      <c r="BA10" s="1"/>
    </row>
    <row r="11" spans="1:53">
      <c r="A11" s="1"/>
      <c r="B11" s="471"/>
      <c r="C11" s="510" t="str">
        <f ca="1">MID(MUNDIAL!I13,1,3)</f>
        <v>Est</v>
      </c>
      <c r="D11" s="526">
        <f>MUNDIAL!K13</f>
        <v>1</v>
      </c>
      <c r="E11" s="522">
        <f>MUNDIAL!L13</f>
        <v>1</v>
      </c>
      <c r="F11" s="514" t="str">
        <f ca="1">MID(MUNDIAL!N13,1,3)</f>
        <v>Gal</v>
      </c>
      <c r="G11" s="1">
        <v>1</v>
      </c>
      <c r="H11" s="696" t="str">
        <f ca="1">MID(MUNDIAL!R14,1,3)</f>
        <v>Ing</v>
      </c>
      <c r="I11" s="756">
        <f ca="1">MUNDIAL!S14</f>
        <v>7</v>
      </c>
      <c r="J11" s="517">
        <f ca="1">MUNDIAL!T14</f>
        <v>3</v>
      </c>
      <c r="K11" s="517">
        <f ca="1">MUNDIAL!Z14</f>
        <v>7</v>
      </c>
      <c r="L11" s="518">
        <f ca="1">MUNDIAL!X14</f>
        <v>9</v>
      </c>
      <c r="M11" s="1"/>
      <c r="N11" s="710" t="str">
        <f ca="1">MID(MUNDIAL!I70,1,3)</f>
        <v>Arg</v>
      </c>
      <c r="O11" s="711" t="str">
        <f>IF(ISBLANK(MUNDIAL!K70),"",(MUNDIAL!K70))</f>
        <v/>
      </c>
      <c r="P11" s="716" t="str">
        <f>IF(ISBLANK(MUNDIAL!J70),"","("&amp;(MUNDIAL!J70)&amp;")")</f>
        <v/>
      </c>
      <c r="Q11" s="454"/>
      <c r="R11" s="721"/>
      <c r="S11" s="721"/>
      <c r="T11" s="730"/>
      <c r="U11" s="454"/>
      <c r="V11" s="735"/>
      <c r="W11" s="735"/>
      <c r="X11" s="736"/>
      <c r="Y11" s="689"/>
      <c r="Z11" s="751" t="str">
        <f>MID(MUNDIAL!N90,1,3)</f>
        <v>L62</v>
      </c>
      <c r="AA11" s="749" t="str">
        <f>IF(ISBLANK(MUNDIAL!L90),"",(MUNDIAL!L90))</f>
        <v/>
      </c>
      <c r="AB11" s="752" t="str">
        <f>IF(ISBLANK(MUNDIAL!M90),"","("&amp;(MUNDIAL!M90)&amp;")")</f>
        <v/>
      </c>
      <c r="AC11" s="692"/>
      <c r="AD11" s="735"/>
      <c r="AE11" s="735"/>
      <c r="AF11" s="735"/>
      <c r="AG11" s="687"/>
      <c r="AH11" s="721"/>
      <c r="AI11" s="721"/>
      <c r="AJ11" s="721"/>
      <c r="AK11" s="687"/>
      <c r="AL11" s="718" t="str">
        <f>IF(ISBLANK(MUNDIAL!J71),"","("&amp;(MUNDIAL!J71)&amp;")")</f>
        <v/>
      </c>
      <c r="AM11" s="711" t="str">
        <f>IF(ISBLANK(MUNDIAL!K71),"",(MUNDIAL!K71))</f>
        <v/>
      </c>
      <c r="AN11" s="710" t="str">
        <f ca="1">MID(MUNDIAL!I71,1,3)</f>
        <v>Fra</v>
      </c>
      <c r="AO11" s="1"/>
      <c r="AP11" s="616"/>
      <c r="AQ11" s="599" t="str">
        <f ca="1">MID(MUNDIAL!I45,1,3)</f>
        <v>Bél</v>
      </c>
      <c r="AR11" s="587">
        <f>MUNDIAL!K45</f>
        <v>1</v>
      </c>
      <c r="AS11" s="587">
        <f>MUNDIAL!L45</f>
        <v>0</v>
      </c>
      <c r="AT11" s="585" t="str">
        <f ca="1">MID(MUNDIAL!N45,1,3)</f>
        <v>Can</v>
      </c>
      <c r="AU11" s="672">
        <v>1</v>
      </c>
      <c r="AV11" s="703" t="str">
        <f ca="1">MID(MUNDIAL!R46,1,3)</f>
        <v>Mar</v>
      </c>
      <c r="AW11" s="764">
        <f ca="1">MUNDIAL!S46</f>
        <v>7</v>
      </c>
      <c r="AX11" s="770">
        <f ca="1">MUNDIAL!T46</f>
        <v>3</v>
      </c>
      <c r="AY11" s="591">
        <f ca="1">MUNDIAL!Z46</f>
        <v>3</v>
      </c>
      <c r="AZ11" s="600">
        <f ca="1">MUNDIAL!X46</f>
        <v>4</v>
      </c>
      <c r="BA11" s="1"/>
    </row>
    <row r="12" spans="1:53">
      <c r="A12" s="1"/>
      <c r="B12" s="471"/>
      <c r="C12" s="510" t="str">
        <f ca="1">MID(MUNDIAL!I14,1,3)</f>
        <v>Gal</v>
      </c>
      <c r="D12" s="526">
        <f>MUNDIAL!K14</f>
        <v>0</v>
      </c>
      <c r="E12" s="522">
        <f>MUNDIAL!L14</f>
        <v>2</v>
      </c>
      <c r="F12" s="514" t="str">
        <f ca="1">MID(MUNDIAL!N14,1,3)</f>
        <v>Irá</v>
      </c>
      <c r="G12" s="1">
        <v>2</v>
      </c>
      <c r="H12" s="696" t="str">
        <f ca="1">MID(MUNDIAL!R15,1,3)</f>
        <v>Est</v>
      </c>
      <c r="I12" s="756">
        <f ca="1">MUNDIAL!S15</f>
        <v>5</v>
      </c>
      <c r="J12" s="517">
        <f ca="1">MUNDIAL!T15</f>
        <v>3</v>
      </c>
      <c r="K12" s="517">
        <f ca="1">MUNDIAL!Z15</f>
        <v>1</v>
      </c>
      <c r="L12" s="518">
        <f ca="1">MUNDIAL!X15</f>
        <v>2</v>
      </c>
      <c r="M12" s="1"/>
      <c r="N12" s="710" t="str">
        <f ca="1">MID(MUNDIAL!N70,1,3)</f>
        <v>Aus</v>
      </c>
      <c r="O12" s="711" t="str">
        <f>IF(ISBLANK(MUNDIAL!L70),"",(MUNDIAL!L70))</f>
        <v/>
      </c>
      <c r="P12" s="717" t="str">
        <f>IF(ISBLANK(MUNDIAL!M70),"","("&amp;(MUNDIAL!M70)&amp;")")</f>
        <v/>
      </c>
      <c r="Q12" s="454"/>
      <c r="R12" s="721"/>
      <c r="S12" s="721"/>
      <c r="T12" s="730"/>
      <c r="U12" s="454"/>
      <c r="V12" s="735"/>
      <c r="W12" s="735"/>
      <c r="X12" s="736"/>
      <c r="Y12" s="454"/>
      <c r="Z12" s="747"/>
      <c r="AA12" s="747"/>
      <c r="AB12" s="747"/>
      <c r="AC12" s="687"/>
      <c r="AD12" s="735"/>
      <c r="AE12" s="735"/>
      <c r="AF12" s="735"/>
      <c r="AG12" s="687"/>
      <c r="AH12" s="721"/>
      <c r="AI12" s="721"/>
      <c r="AJ12" s="721"/>
      <c r="AK12" s="454"/>
      <c r="AL12" s="719" t="str">
        <f>IF(ISBLANK(MUNDIAL!M71),"","("&amp;(MUNDIAL!M71)&amp;")")</f>
        <v/>
      </c>
      <c r="AM12" s="711" t="str">
        <f>IF(ISBLANK(MUNDIAL!L71),"",(MUNDIAL!L71))</f>
        <v/>
      </c>
      <c r="AN12" s="710" t="str">
        <f ca="1">MID(MUNDIAL!N71,1,3)</f>
        <v>Pol</v>
      </c>
      <c r="AO12" s="1"/>
      <c r="AP12" s="616"/>
      <c r="AQ12" s="601" t="str">
        <f ca="1">MID(MUNDIAL!I46,1,3)</f>
        <v>Bél</v>
      </c>
      <c r="AR12" s="589">
        <f>MUNDIAL!K46</f>
        <v>0</v>
      </c>
      <c r="AS12" s="587">
        <f>MUNDIAL!L46</f>
        <v>2</v>
      </c>
      <c r="AT12" s="585" t="str">
        <f ca="1">MID(MUNDIAL!N46,1,3)</f>
        <v>Mar</v>
      </c>
      <c r="AU12" s="672">
        <v>2</v>
      </c>
      <c r="AV12" s="704" t="str">
        <f ca="1">MID(MUNDIAL!R47,1,3)</f>
        <v>Cro</v>
      </c>
      <c r="AW12" s="765">
        <f ca="1">MUNDIAL!S47</f>
        <v>5</v>
      </c>
      <c r="AX12" s="770">
        <f ca="1">MUNDIAL!T47</f>
        <v>3</v>
      </c>
      <c r="AY12" s="592">
        <f ca="1">MUNDIAL!Z47</f>
        <v>3</v>
      </c>
      <c r="AZ12" s="602">
        <f ca="1">MUNDIAL!X47</f>
        <v>4</v>
      </c>
      <c r="BA12" s="1"/>
    </row>
    <row r="13" spans="1:53">
      <c r="A13" s="1"/>
      <c r="B13" s="471"/>
      <c r="C13" s="511" t="str">
        <f ca="1">MID(MUNDIAL!I15,1,3)</f>
        <v>Ing</v>
      </c>
      <c r="D13" s="527">
        <f>MUNDIAL!K15</f>
        <v>0</v>
      </c>
      <c r="E13" s="523">
        <f>MUNDIAL!L15</f>
        <v>0</v>
      </c>
      <c r="F13" s="515" t="str">
        <f ca="1">MID(MUNDIAL!N15,1,3)</f>
        <v>Est</v>
      </c>
      <c r="G13" s="1">
        <v>3</v>
      </c>
      <c r="H13" s="696" t="str">
        <f ca="1">MID(MUNDIAL!R16,1,3)</f>
        <v>Irá</v>
      </c>
      <c r="I13" s="756">
        <f ca="1">MUNDIAL!S16</f>
        <v>3</v>
      </c>
      <c r="J13" s="517">
        <f ca="1">MUNDIAL!T16</f>
        <v>3</v>
      </c>
      <c r="K13" s="517">
        <f ca="1">MUNDIAL!Z16</f>
        <v>-3</v>
      </c>
      <c r="L13" s="518">
        <f ca="1">MUNDIAL!X16</f>
        <v>4</v>
      </c>
      <c r="M13" s="1"/>
      <c r="N13" s="714"/>
      <c r="O13" s="714"/>
      <c r="P13" s="714"/>
      <c r="Q13" s="454"/>
      <c r="R13" s="721"/>
      <c r="S13" s="721"/>
      <c r="T13" s="730"/>
      <c r="U13" s="454"/>
      <c r="V13" s="735"/>
      <c r="W13" s="735"/>
      <c r="X13" s="736"/>
      <c r="Y13" s="454"/>
      <c r="Z13" s="747"/>
      <c r="AA13" s="747"/>
      <c r="AB13" s="747"/>
      <c r="AC13" s="687"/>
      <c r="AD13" s="735"/>
      <c r="AE13" s="735"/>
      <c r="AF13" s="735"/>
      <c r="AG13" s="687"/>
      <c r="AH13" s="721"/>
      <c r="AI13" s="721"/>
      <c r="AJ13" s="721"/>
      <c r="AK13" s="454"/>
      <c r="AL13" s="714"/>
      <c r="AM13" s="714"/>
      <c r="AN13" s="714"/>
      <c r="AO13" s="1"/>
      <c r="AP13" s="616"/>
      <c r="AQ13" s="601" t="str">
        <f ca="1">MID(MUNDIAL!I47,1,3)</f>
        <v>Cro</v>
      </c>
      <c r="AR13" s="589">
        <f>MUNDIAL!K47</f>
        <v>4</v>
      </c>
      <c r="AS13" s="587">
        <f>MUNDIAL!L47</f>
        <v>1</v>
      </c>
      <c r="AT13" s="585" t="str">
        <f ca="1">MID(MUNDIAL!N47,1,3)</f>
        <v>Can</v>
      </c>
      <c r="AU13" s="672">
        <v>3</v>
      </c>
      <c r="AV13" s="704" t="str">
        <f ca="1">MID(MUNDIAL!R48,1,3)</f>
        <v>Bél</v>
      </c>
      <c r="AW13" s="765">
        <f ca="1">MUNDIAL!S48</f>
        <v>4</v>
      </c>
      <c r="AX13" s="770">
        <f ca="1">MUNDIAL!T48</f>
        <v>3</v>
      </c>
      <c r="AY13" s="592">
        <f ca="1">MUNDIAL!Z48</f>
        <v>-1</v>
      </c>
      <c r="AZ13" s="602">
        <f ca="1">MUNDIAL!X48</f>
        <v>1</v>
      </c>
      <c r="BA13" s="1"/>
    </row>
    <row r="14" spans="1:53">
      <c r="A14" s="1"/>
      <c r="B14" s="471"/>
      <c r="C14" s="511" t="str">
        <f ca="1">MID(MUNDIAL!I16,1,3)</f>
        <v>Gal</v>
      </c>
      <c r="D14" s="527">
        <f>MUNDIAL!K16</f>
        <v>0</v>
      </c>
      <c r="E14" s="523">
        <f>MUNDIAL!L16</f>
        <v>3</v>
      </c>
      <c r="F14" s="515" t="str">
        <f ca="1">MID(MUNDIAL!N16,1,3)</f>
        <v>Ing</v>
      </c>
      <c r="G14" s="1">
        <v>4</v>
      </c>
      <c r="H14" s="697" t="str">
        <f ca="1">MID(MUNDIAL!R17,1,3)</f>
        <v>Gal</v>
      </c>
      <c r="I14" s="757">
        <f ca="1">MUNDIAL!S17</f>
        <v>1</v>
      </c>
      <c r="J14" s="517">
        <f ca="1">MUNDIAL!T17</f>
        <v>3</v>
      </c>
      <c r="K14" s="519">
        <f ca="1">MUNDIAL!Z17</f>
        <v>-5</v>
      </c>
      <c r="L14" s="520">
        <f ca="1">MUNDIAL!X17</f>
        <v>1</v>
      </c>
      <c r="M14" s="1"/>
      <c r="N14" s="714"/>
      <c r="O14" s="714"/>
      <c r="P14" s="714"/>
      <c r="Q14" s="454"/>
      <c r="R14" s="721"/>
      <c r="S14" s="721"/>
      <c r="T14" s="730"/>
      <c r="U14" s="454"/>
      <c r="V14" s="735"/>
      <c r="W14" s="735"/>
      <c r="X14" s="736"/>
      <c r="Y14" s="454"/>
      <c r="Z14" s="747"/>
      <c r="AA14" s="747"/>
      <c r="AB14" s="747"/>
      <c r="AC14" s="687"/>
      <c r="AD14" s="735"/>
      <c r="AE14" s="735"/>
      <c r="AF14" s="735"/>
      <c r="AG14" s="687"/>
      <c r="AH14" s="721"/>
      <c r="AI14" s="721"/>
      <c r="AJ14" s="721"/>
      <c r="AK14" s="454"/>
      <c r="AL14" s="714"/>
      <c r="AM14" s="714"/>
      <c r="AN14" s="714"/>
      <c r="AO14" s="1"/>
      <c r="AP14" s="616"/>
      <c r="AQ14" s="603" t="str">
        <f ca="1">MID(MUNDIAL!I48,1,3)</f>
        <v>Cro</v>
      </c>
      <c r="AR14" s="590">
        <f>MUNDIAL!K48</f>
        <v>0</v>
      </c>
      <c r="AS14" s="588">
        <f>MUNDIAL!L48</f>
        <v>0</v>
      </c>
      <c r="AT14" s="586" t="str">
        <f ca="1">MID(MUNDIAL!N48,1,3)</f>
        <v>Bél</v>
      </c>
      <c r="AU14" s="672">
        <v>4</v>
      </c>
      <c r="AV14" s="703" t="str">
        <f ca="1">MID(MUNDIAL!R49,1,3)</f>
        <v>Can</v>
      </c>
      <c r="AW14" s="764">
        <f ca="1">MUNDIAL!S49</f>
        <v>0</v>
      </c>
      <c r="AX14" s="770">
        <f ca="1">MUNDIAL!T49</f>
        <v>3</v>
      </c>
      <c r="AY14" s="591">
        <f ca="1">MUNDIAL!Z49</f>
        <v>-5</v>
      </c>
      <c r="AZ14" s="600">
        <f ca="1">MUNDIAL!X49</f>
        <v>2</v>
      </c>
      <c r="BA14" s="1"/>
    </row>
    <row r="15" spans="1:53" ht="16" thickBot="1">
      <c r="A15" s="1"/>
      <c r="B15" s="538"/>
      <c r="C15" s="512" t="str">
        <f ca="1">MID(MUNDIAL!I17,1,3)</f>
        <v>Irá</v>
      </c>
      <c r="D15" s="528">
        <f>MUNDIAL!K17</f>
        <v>0</v>
      </c>
      <c r="E15" s="524">
        <f>MUNDIAL!L17</f>
        <v>1</v>
      </c>
      <c r="F15" s="516" t="str">
        <f ca="1">MID(MUNDIAL!N17,1,3)</f>
        <v>Est</v>
      </c>
      <c r="G15" s="664"/>
      <c r="H15" s="540"/>
      <c r="I15" s="539"/>
      <c r="J15" s="539"/>
      <c r="K15" s="539"/>
      <c r="L15" s="541"/>
      <c r="M15" s="1"/>
      <c r="N15" s="714"/>
      <c r="O15" s="714"/>
      <c r="P15" s="714"/>
      <c r="Q15" s="454"/>
      <c r="R15" s="721"/>
      <c r="S15" s="721"/>
      <c r="T15" s="730"/>
      <c r="U15" s="686"/>
      <c r="V15" s="737" t="str">
        <f>MID(MUNDIAL!I86,1,3)</f>
        <v>W57</v>
      </c>
      <c r="W15" s="738" t="str">
        <f>IF(ISBLANK(MUNDIAL!K86),"",(MUNDIAL!K86))</f>
        <v/>
      </c>
      <c r="X15" s="739" t="str">
        <f>IF(ISBLANK(MUNDIAL!J86),"","("&amp;(MUNDIAL!J86)&amp;")")</f>
        <v/>
      </c>
      <c r="Y15" s="454"/>
      <c r="Z15" s="747"/>
      <c r="AA15" s="747"/>
      <c r="AB15" s="747"/>
      <c r="AC15" s="687"/>
      <c r="AD15" s="742" t="str">
        <f>IF(ISBLANK(MUNDIAL!J87),"","("&amp;(MUNDIAL!J87)&amp;")")</f>
        <v/>
      </c>
      <c r="AE15" s="738" t="str">
        <f>IF(ISBLANK(MUNDIAL!K87),"",(MUNDIAL!K87))</f>
        <v/>
      </c>
      <c r="AF15" s="743" t="str">
        <f>MID(MUNDIAL!I87,1,3)</f>
        <v>W59</v>
      </c>
      <c r="AG15" s="691"/>
      <c r="AH15" s="721"/>
      <c r="AI15" s="721"/>
      <c r="AJ15" s="721"/>
      <c r="AK15" s="454"/>
      <c r="AL15" s="714"/>
      <c r="AM15" s="714"/>
      <c r="AN15" s="714"/>
      <c r="AO15" s="1"/>
      <c r="AP15" s="617"/>
      <c r="AQ15" s="604" t="str">
        <f ca="1">MID(MUNDIAL!I49,1,3)</f>
        <v>Can</v>
      </c>
      <c r="AR15" s="605">
        <f>MUNDIAL!K49</f>
        <v>1</v>
      </c>
      <c r="AS15" s="606">
        <f>MUNDIAL!L49</f>
        <v>2</v>
      </c>
      <c r="AT15" s="607" t="str">
        <f ca="1">MID(MUNDIAL!N49,1,3)</f>
        <v>Mar</v>
      </c>
      <c r="AU15" s="673"/>
      <c r="AV15" s="613"/>
      <c r="AW15" s="612"/>
      <c r="AX15" s="612"/>
      <c r="AY15" s="612"/>
      <c r="AZ15" s="614"/>
      <c r="BA15" s="1"/>
    </row>
    <row r="16" spans="1:53" ht="16" thickBot="1">
      <c r="A16" s="1"/>
      <c r="B16" s="451"/>
      <c r="C16" s="458"/>
      <c r="D16" s="456"/>
      <c r="E16" s="456"/>
      <c r="F16" s="451"/>
      <c r="G16" s="1"/>
      <c r="H16" s="458"/>
      <c r="I16" s="1"/>
      <c r="J16" s="1"/>
      <c r="K16" s="1"/>
      <c r="L16" s="1"/>
      <c r="M16" s="1"/>
      <c r="N16" s="714"/>
      <c r="O16" s="714"/>
      <c r="P16" s="714"/>
      <c r="Q16" s="454"/>
      <c r="R16" s="721"/>
      <c r="S16" s="721"/>
      <c r="T16" s="730"/>
      <c r="U16" s="689"/>
      <c r="V16" s="737" t="str">
        <f>MID(MUNDIAL!N86,1,3)</f>
        <v>W58</v>
      </c>
      <c r="W16" s="738" t="str">
        <f>IF(ISBLANK(MUNDIAL!L86),"",(MUNDIAL!L86))</f>
        <v/>
      </c>
      <c r="X16" s="740" t="str">
        <f>IF(ISBLANK(MUNDIAL!M86),"","("&amp;(MUNDIAL!M86)&amp;")")</f>
        <v/>
      </c>
      <c r="Y16" s="454"/>
      <c r="Z16" s="747"/>
      <c r="AA16" s="747"/>
      <c r="AB16" s="747"/>
      <c r="AC16" s="687"/>
      <c r="AD16" s="744" t="str">
        <f>IF(ISBLANK(MUNDIAL!M87),"","("&amp;(MUNDIAL!M87)&amp;")")</f>
        <v/>
      </c>
      <c r="AE16" s="738" t="str">
        <f>IF(ISBLANK(MUNDIAL!L87),"",(MUNDIAL!L87))</f>
        <v/>
      </c>
      <c r="AF16" s="743" t="str">
        <f>MID(MUNDIAL!N87,1,3)</f>
        <v>W60</v>
      </c>
      <c r="AG16" s="687"/>
      <c r="AH16" s="721"/>
      <c r="AI16" s="721"/>
      <c r="AJ16" s="721"/>
      <c r="AK16" s="454"/>
      <c r="AL16" s="714"/>
      <c r="AM16" s="714"/>
      <c r="AN16" s="714"/>
      <c r="AO16" s="1"/>
      <c r="AP16" s="451"/>
      <c r="AR16" s="450"/>
      <c r="AS16" s="450"/>
      <c r="AU16" s="1"/>
      <c r="AV16" s="458"/>
      <c r="AW16" s="1"/>
      <c r="AX16" s="1"/>
      <c r="AY16" s="1"/>
      <c r="AZ16" s="1"/>
      <c r="BA16" s="1"/>
    </row>
    <row r="17" spans="1:53">
      <c r="A17" s="1"/>
      <c r="B17" s="472" t="s">
        <v>2</v>
      </c>
      <c r="C17" s="490" t="str">
        <f ca="1">MID(MUNDIAL!I20,1,3)</f>
        <v>Arg</v>
      </c>
      <c r="D17" s="502">
        <f>MUNDIAL!K20</f>
        <v>1</v>
      </c>
      <c r="E17" s="499">
        <f>MUNDIAL!L20</f>
        <v>2</v>
      </c>
      <c r="F17" s="508" t="str">
        <f ca="1">MID(MUNDIAL!N20,1,3)</f>
        <v>Ara</v>
      </c>
      <c r="G17" s="665"/>
      <c r="H17" s="554" t="s">
        <v>267</v>
      </c>
      <c r="I17" s="555" t="s">
        <v>76</v>
      </c>
      <c r="J17" s="555" t="s">
        <v>273</v>
      </c>
      <c r="K17" s="555" t="s">
        <v>99</v>
      </c>
      <c r="L17" s="556" t="s">
        <v>9</v>
      </c>
      <c r="M17" s="1"/>
      <c r="N17" s="714"/>
      <c r="O17" s="714"/>
      <c r="P17" s="714"/>
      <c r="Q17" s="454"/>
      <c r="R17" s="721"/>
      <c r="S17" s="721"/>
      <c r="T17" s="730"/>
      <c r="U17" s="688"/>
      <c r="V17" s="735"/>
      <c r="W17" s="735"/>
      <c r="X17" s="736"/>
      <c r="Y17" s="454"/>
      <c r="Z17" s="747"/>
      <c r="AA17" s="747"/>
      <c r="AB17" s="747"/>
      <c r="AC17" s="687"/>
      <c r="AD17" s="735"/>
      <c r="AE17" s="735"/>
      <c r="AF17" s="745"/>
      <c r="AG17" s="687"/>
      <c r="AH17" s="721"/>
      <c r="AI17" s="721"/>
      <c r="AJ17" s="721"/>
      <c r="AK17" s="454"/>
      <c r="AL17" s="714"/>
      <c r="AM17" s="714"/>
      <c r="AN17" s="714"/>
      <c r="AO17" s="1"/>
      <c r="AP17" s="621" t="s">
        <v>7</v>
      </c>
      <c r="AQ17" s="639" t="str">
        <f ca="1">MID(MUNDIAL!I52,1,3)</f>
        <v>Sui</v>
      </c>
      <c r="AR17" s="640">
        <f>MUNDIAL!K52</f>
        <v>1</v>
      </c>
      <c r="AS17" s="640">
        <f>MUNDIAL!L52</f>
        <v>0</v>
      </c>
      <c r="AT17" s="641" t="str">
        <f ca="1">MID(MUNDIAL!N52,1,3)</f>
        <v>Cam</v>
      </c>
      <c r="AU17" s="674"/>
      <c r="AV17" s="624" t="s">
        <v>267</v>
      </c>
      <c r="AW17" s="625" t="s">
        <v>76</v>
      </c>
      <c r="AX17" s="625" t="s">
        <v>273</v>
      </c>
      <c r="AY17" s="625" t="s">
        <v>99</v>
      </c>
      <c r="AZ17" s="626" t="s">
        <v>9</v>
      </c>
      <c r="BA17" s="1"/>
    </row>
    <row r="18" spans="1:53">
      <c r="A18" s="1"/>
      <c r="B18" s="481"/>
      <c r="C18" s="496" t="str">
        <f ca="1">MID(MUNDIAL!I21,1,3)</f>
        <v>Méx</v>
      </c>
      <c r="D18" s="505">
        <f>MUNDIAL!K21</f>
        <v>0</v>
      </c>
      <c r="E18" s="506">
        <f>MUNDIAL!L21</f>
        <v>0</v>
      </c>
      <c r="F18" s="507" t="str">
        <f ca="1">MID(MUNDIAL!N21,1,3)</f>
        <v>Pol</v>
      </c>
      <c r="G18" s="666">
        <v>1</v>
      </c>
      <c r="H18" s="698" t="str">
        <f ca="1">MID(MUNDIAL!R22,1,3)</f>
        <v>Arg</v>
      </c>
      <c r="I18" s="758">
        <f ca="1">MUNDIAL!S22</f>
        <v>6</v>
      </c>
      <c r="J18" s="497">
        <f ca="1">MUNDIAL!T22</f>
        <v>3</v>
      </c>
      <c r="K18" s="497">
        <f ca="1">MUNDIAL!Z22</f>
        <v>3</v>
      </c>
      <c r="L18" s="494">
        <f ca="1">MUNDIAL!X22</f>
        <v>5</v>
      </c>
      <c r="M18" s="1"/>
      <c r="N18" s="714"/>
      <c r="O18" s="714"/>
      <c r="P18" s="714"/>
      <c r="Q18" s="454"/>
      <c r="R18" s="721"/>
      <c r="S18" s="721"/>
      <c r="T18" s="730"/>
      <c r="U18" s="688"/>
      <c r="V18" s="735"/>
      <c r="W18" s="735"/>
      <c r="X18" s="736"/>
      <c r="Y18" s="454"/>
      <c r="Z18" s="747"/>
      <c r="AA18" s="747"/>
      <c r="AB18" s="747"/>
      <c r="AC18" s="687"/>
      <c r="AD18" s="735"/>
      <c r="AE18" s="735"/>
      <c r="AF18" s="735"/>
      <c r="AG18" s="687"/>
      <c r="AH18" s="721"/>
      <c r="AI18" s="721"/>
      <c r="AJ18" s="721"/>
      <c r="AK18" s="454"/>
      <c r="AL18" s="714"/>
      <c r="AM18" s="714"/>
      <c r="AN18" s="714"/>
      <c r="AO18" s="1"/>
      <c r="AP18" s="622"/>
      <c r="AQ18" s="636" t="str">
        <f ca="1">MID(MUNDIAL!I53,1,3)</f>
        <v>Bra</v>
      </c>
      <c r="AR18" s="637">
        <f>MUNDIAL!K53</f>
        <v>2</v>
      </c>
      <c r="AS18" s="637">
        <f>MUNDIAL!L53</f>
        <v>0</v>
      </c>
      <c r="AT18" s="638" t="str">
        <f ca="1">MID(MUNDIAL!N53,1,3)</f>
        <v>Ser</v>
      </c>
      <c r="AU18" s="1">
        <v>1</v>
      </c>
      <c r="AV18" s="705" t="str">
        <f ca="1">MID(MUNDIAL!R54,1,3)</f>
        <v>Bra</v>
      </c>
      <c r="AW18" s="766">
        <f ca="1">MUNDIAL!S54</f>
        <v>6</v>
      </c>
      <c r="AX18" s="771">
        <f ca="1">MUNDIAL!T54</f>
        <v>3</v>
      </c>
      <c r="AY18" s="629">
        <f ca="1">MUNDIAL!Z54</f>
        <v>2</v>
      </c>
      <c r="AZ18" s="630">
        <f ca="1">MUNDIAL!X54</f>
        <v>3</v>
      </c>
      <c r="BA18" s="1"/>
    </row>
    <row r="19" spans="1:53">
      <c r="A19" s="1"/>
      <c r="B19" s="481"/>
      <c r="C19" s="492" t="str">
        <f ca="1">MID(MUNDIAL!I22,1,3)</f>
        <v>Pol</v>
      </c>
      <c r="D19" s="503">
        <f>MUNDIAL!K22</f>
        <v>2</v>
      </c>
      <c r="E19" s="500">
        <f>MUNDIAL!L22</f>
        <v>0</v>
      </c>
      <c r="F19" s="498" t="str">
        <f ca="1">MID(MUNDIAL!N22,1,3)</f>
        <v>Ara</v>
      </c>
      <c r="G19" s="666">
        <v>2</v>
      </c>
      <c r="H19" s="699" t="str">
        <f ca="1">MID(MUNDIAL!R23,1,3)</f>
        <v>Pol</v>
      </c>
      <c r="I19" s="759">
        <f ca="1">MUNDIAL!S23</f>
        <v>4</v>
      </c>
      <c r="J19" s="497">
        <f ca="1">MUNDIAL!T23</f>
        <v>3</v>
      </c>
      <c r="K19" s="495">
        <f ca="1">MUNDIAL!Z23</f>
        <v>0</v>
      </c>
      <c r="L19" s="494">
        <f ca="1">MUNDIAL!X23</f>
        <v>2</v>
      </c>
      <c r="M19" s="1"/>
      <c r="N19" s="710" t="str">
        <f ca="1">MID(MUNDIAL!I73,1,3)</f>
        <v>Jap</v>
      </c>
      <c r="O19" s="711" t="str">
        <f>IF(ISBLANK(MUNDIAL!K73),"",(MUNDIAL!K73))</f>
        <v/>
      </c>
      <c r="P19" s="712" t="str">
        <f>IF(ISBLANK(MUNDIAL!J73),"","("&amp;(MUNDIAL!J73)&amp;")")</f>
        <v/>
      </c>
      <c r="Q19" s="454"/>
      <c r="R19" s="721"/>
      <c r="S19" s="721"/>
      <c r="T19" s="730"/>
      <c r="U19" s="688"/>
      <c r="V19" s="735"/>
      <c r="W19" s="735"/>
      <c r="X19" s="736"/>
      <c r="Y19" s="454"/>
      <c r="Z19" s="747" t="s">
        <v>4</v>
      </c>
      <c r="AA19" s="746"/>
      <c r="AB19" s="747"/>
      <c r="AC19" s="687"/>
      <c r="AD19" s="735"/>
      <c r="AE19" s="735"/>
      <c r="AF19" s="735"/>
      <c r="AG19" s="687"/>
      <c r="AH19" s="721"/>
      <c r="AI19" s="721"/>
      <c r="AJ19" s="721"/>
      <c r="AK19" s="454"/>
      <c r="AL19" s="718" t="str">
        <f>IF(ISBLANK(MUNDIAL!J75),"","("&amp;(MUNDIAL!J75)&amp;")")</f>
        <v/>
      </c>
      <c r="AM19" s="711" t="str">
        <f>IF(ISBLANK(MUNDIAL!K75),"",(MUNDIAL!K75))</f>
        <v/>
      </c>
      <c r="AN19" s="710" t="str">
        <f ca="1">MID(MUNDIAL!I75,1,3)</f>
        <v>Mar</v>
      </c>
      <c r="AO19" s="1"/>
      <c r="AP19" s="622"/>
      <c r="AQ19" s="636" t="str">
        <f ca="1">MID(MUNDIAL!I54,1,3)</f>
        <v>Cam</v>
      </c>
      <c r="AR19" s="637">
        <f>MUNDIAL!K54</f>
        <v>3</v>
      </c>
      <c r="AS19" s="637">
        <f>MUNDIAL!L54</f>
        <v>3</v>
      </c>
      <c r="AT19" s="638" t="str">
        <f ca="1">MID(MUNDIAL!N54,1,3)</f>
        <v>Ser</v>
      </c>
      <c r="AU19" s="1">
        <v>2</v>
      </c>
      <c r="AV19" s="706" t="str">
        <f ca="1">MID(MUNDIAL!R55,1,3)</f>
        <v>Sui</v>
      </c>
      <c r="AW19" s="767">
        <f ca="1">MUNDIAL!S55</f>
        <v>6</v>
      </c>
      <c r="AX19" s="771">
        <f ca="1">MUNDIAL!T55</f>
        <v>3</v>
      </c>
      <c r="AY19" s="631">
        <f ca="1">MUNDIAL!Z55</f>
        <v>1</v>
      </c>
      <c r="AZ19" s="632">
        <f ca="1">MUNDIAL!X55</f>
        <v>4</v>
      </c>
      <c r="BA19" s="1"/>
    </row>
    <row r="20" spans="1:53">
      <c r="A20" s="1"/>
      <c r="B20" s="481"/>
      <c r="C20" s="492" t="str">
        <f ca="1">MID(MUNDIAL!I23,1,3)</f>
        <v>Arg</v>
      </c>
      <c r="D20" s="503">
        <f>MUNDIAL!K23</f>
        <v>2</v>
      </c>
      <c r="E20" s="500">
        <f>MUNDIAL!L23</f>
        <v>0</v>
      </c>
      <c r="F20" s="498" t="str">
        <f ca="1">MID(MUNDIAL!N23,1,3)</f>
        <v>Méx</v>
      </c>
      <c r="G20" s="666">
        <v>3</v>
      </c>
      <c r="H20" s="699" t="str">
        <f ca="1">MID(MUNDIAL!R24,1,3)</f>
        <v>Méx</v>
      </c>
      <c r="I20" s="759">
        <f ca="1">MUNDIAL!S24</f>
        <v>4</v>
      </c>
      <c r="J20" s="497">
        <f ca="1">MUNDIAL!T24</f>
        <v>3</v>
      </c>
      <c r="K20" s="495">
        <f ca="1">MUNDIAL!Z24</f>
        <v>-1</v>
      </c>
      <c r="L20" s="494">
        <f ca="1">MUNDIAL!X24</f>
        <v>2</v>
      </c>
      <c r="M20" s="1"/>
      <c r="N20" s="710" t="str">
        <f ca="1">MID(MUNDIAL!N73,1,3)</f>
        <v>Cro</v>
      </c>
      <c r="O20" s="711" t="str">
        <f>IF(ISBLANK(MUNDIAL!L73),"",(MUNDIAL!L73))</f>
        <v/>
      </c>
      <c r="P20" s="713" t="str">
        <f>IF(ISBLANK(MUNDIAL!M73),"","("&amp;(MUNDIAL!M73)&amp;")")</f>
        <v/>
      </c>
      <c r="Q20" s="454"/>
      <c r="R20" s="721"/>
      <c r="S20" s="721"/>
      <c r="T20" s="730"/>
      <c r="U20" s="688"/>
      <c r="V20" s="735"/>
      <c r="W20" s="735"/>
      <c r="X20" s="736"/>
      <c r="Y20" s="754"/>
      <c r="Z20" s="751" t="str">
        <f>MID(MUNDIAL!I93,1,3)</f>
        <v>W61</v>
      </c>
      <c r="AA20" s="749" t="str">
        <f>IF(ISBLANK(MUNDIAL!K93),"",(MUNDIAL!K93))</f>
        <v/>
      </c>
      <c r="AB20" s="750" t="str">
        <f>IF(ISBLANK(MUNDIAL!J93),"","("&amp;(MUNDIAL!J93)&amp;")")</f>
        <v/>
      </c>
      <c r="AC20" s="693"/>
      <c r="AD20" s="735"/>
      <c r="AE20" s="735"/>
      <c r="AF20" s="735"/>
      <c r="AG20" s="687"/>
      <c r="AH20" s="721"/>
      <c r="AI20" s="721"/>
      <c r="AJ20" s="721"/>
      <c r="AK20" s="687"/>
      <c r="AL20" s="719" t="str">
        <f>IF(ISBLANK(MUNDIAL!M75),"","("&amp;(MUNDIAL!M75)&amp;")")</f>
        <v/>
      </c>
      <c r="AM20" s="711" t="str">
        <f>IF(ISBLANK(MUNDIAL!L75),"",(MUNDIAL!L75))</f>
        <v/>
      </c>
      <c r="AN20" s="710" t="str">
        <f ca="1">MID(MUNDIAL!N75,1,3)</f>
        <v>Esp</v>
      </c>
      <c r="AO20" s="1"/>
      <c r="AP20" s="622"/>
      <c r="AQ20" s="636" t="str">
        <f ca="1">MID(MUNDIAL!I55,1,3)</f>
        <v>Bra</v>
      </c>
      <c r="AR20" s="637">
        <f>MUNDIAL!K55</f>
        <v>1</v>
      </c>
      <c r="AS20" s="637">
        <f>MUNDIAL!L55</f>
        <v>0</v>
      </c>
      <c r="AT20" s="638" t="str">
        <f ca="1">MID(MUNDIAL!N55,1,3)</f>
        <v>Sui</v>
      </c>
      <c r="AU20" s="1">
        <v>3</v>
      </c>
      <c r="AV20" s="706" t="str">
        <f ca="1">MID(MUNDIAL!R56,1,3)</f>
        <v>Cam</v>
      </c>
      <c r="AW20" s="767">
        <f ca="1">MUNDIAL!S56</f>
        <v>4</v>
      </c>
      <c r="AX20" s="771">
        <f ca="1">MUNDIAL!T56</f>
        <v>3</v>
      </c>
      <c r="AY20" s="631">
        <f ca="1">MUNDIAL!Z56</f>
        <v>0</v>
      </c>
      <c r="AZ20" s="632">
        <f ca="1">MUNDIAL!X56</f>
        <v>4</v>
      </c>
      <c r="BA20" s="1"/>
    </row>
    <row r="21" spans="1:53">
      <c r="A21" s="1"/>
      <c r="B21" s="481"/>
      <c r="C21" s="492" t="str">
        <f ca="1">MID(MUNDIAL!I24,1,3)</f>
        <v>Pol</v>
      </c>
      <c r="D21" s="503">
        <f>MUNDIAL!K24</f>
        <v>0</v>
      </c>
      <c r="E21" s="500">
        <f>MUNDIAL!L24</f>
        <v>2</v>
      </c>
      <c r="F21" s="498" t="str">
        <f ca="1">MID(MUNDIAL!N24,1,3)</f>
        <v>Arg</v>
      </c>
      <c r="G21" s="666">
        <v>4</v>
      </c>
      <c r="H21" s="699" t="str">
        <f ca="1">MID(MUNDIAL!R25,1,3)</f>
        <v>Ara</v>
      </c>
      <c r="I21" s="759">
        <f ca="1">MUNDIAL!S25</f>
        <v>3</v>
      </c>
      <c r="J21" s="497">
        <f ca="1">MUNDIAL!T25</f>
        <v>3</v>
      </c>
      <c r="K21" s="495">
        <f ca="1">MUNDIAL!Z25</f>
        <v>-2</v>
      </c>
      <c r="L21" s="494">
        <f ca="1">MUNDIAL!X25</f>
        <v>3</v>
      </c>
      <c r="M21" s="1"/>
      <c r="N21" s="714"/>
      <c r="O21" s="714"/>
      <c r="P21" s="715"/>
      <c r="Q21" s="454"/>
      <c r="R21" s="721"/>
      <c r="S21" s="721"/>
      <c r="T21" s="730"/>
      <c r="U21" s="688"/>
      <c r="V21" s="735"/>
      <c r="W21" s="735"/>
      <c r="X21" s="735"/>
      <c r="Y21" s="454"/>
      <c r="Z21" s="748" t="str">
        <f>MID(MUNDIAL!N93,1,3)</f>
        <v>W62</v>
      </c>
      <c r="AA21" s="749" t="str">
        <f>IF(ISBLANK(MUNDIAL!L93),"",(MUNDIAL!L93))</f>
        <v/>
      </c>
      <c r="AB21" s="752" t="str">
        <f>IF(ISBLANK(MUNDIAL!M93),"","("&amp;(MUNDIAL!M93)&amp;")")</f>
        <v/>
      </c>
      <c r="AC21" s="454"/>
      <c r="AD21" s="735"/>
      <c r="AE21" s="735"/>
      <c r="AF21" s="735"/>
      <c r="AG21" s="687"/>
      <c r="AH21" s="721"/>
      <c r="AI21" s="721"/>
      <c r="AJ21" s="722"/>
      <c r="AK21" s="687"/>
      <c r="AL21" s="714"/>
      <c r="AM21" s="714"/>
      <c r="AN21" s="714"/>
      <c r="AO21" s="1"/>
      <c r="AP21" s="622"/>
      <c r="AQ21" s="636" t="str">
        <f ca="1">MID(MUNDIAL!I56,1,3)</f>
        <v>Ser</v>
      </c>
      <c r="AR21" s="637">
        <f>MUNDIAL!K56</f>
        <v>2</v>
      </c>
      <c r="AS21" s="637">
        <f>MUNDIAL!L56</f>
        <v>3</v>
      </c>
      <c r="AT21" s="638" t="str">
        <f ca="1">MID(MUNDIAL!N56,1,3)</f>
        <v>Sui</v>
      </c>
      <c r="AU21" s="1">
        <v>4</v>
      </c>
      <c r="AV21" s="707" t="str">
        <f ca="1">MID(MUNDIAL!R57,1,3)</f>
        <v>Ser</v>
      </c>
      <c r="AW21" s="768">
        <f ca="1">MUNDIAL!S57</f>
        <v>1</v>
      </c>
      <c r="AX21" s="771">
        <f ca="1">MUNDIAL!T57</f>
        <v>3</v>
      </c>
      <c r="AY21" s="627">
        <f ca="1">MUNDIAL!Z57</f>
        <v>-3</v>
      </c>
      <c r="AZ21" s="628">
        <f ca="1">MUNDIAL!X57</f>
        <v>5</v>
      </c>
      <c r="BA21" s="1"/>
    </row>
    <row r="22" spans="1:53" ht="16" thickBot="1">
      <c r="A22" s="1"/>
      <c r="B22" s="473"/>
      <c r="C22" s="491" t="str">
        <f ca="1">MID(MUNDIAL!I25,1,3)</f>
        <v>Ara</v>
      </c>
      <c r="D22" s="504">
        <f>MUNDIAL!K25</f>
        <v>1</v>
      </c>
      <c r="E22" s="501">
        <f>MUNDIAL!L25</f>
        <v>2</v>
      </c>
      <c r="F22" s="493" t="str">
        <f ca="1">MID(MUNDIAL!N25,1,3)</f>
        <v>Méx</v>
      </c>
      <c r="G22" s="667"/>
      <c r="H22" s="547"/>
      <c r="I22" s="546"/>
      <c r="J22" s="546"/>
      <c r="K22" s="546"/>
      <c r="L22" s="548"/>
      <c r="M22" s="1"/>
      <c r="N22" s="714"/>
      <c r="O22" s="714"/>
      <c r="P22" s="715"/>
      <c r="Q22" s="690"/>
      <c r="R22" s="731" t="str">
        <f>MID(MUNDIAL!I80,1,3)</f>
        <v>W53</v>
      </c>
      <c r="S22" s="724" t="str">
        <f>IF(ISBLANK(MUNDIAL!K80),"",(MUNDIAL!K80))</f>
        <v/>
      </c>
      <c r="T22" s="732" t="str">
        <f>IF(ISBLANK(MUNDIAL!J80),"","("&amp;(MUNDIAL!J80)&amp;")")</f>
        <v/>
      </c>
      <c r="U22" s="688"/>
      <c r="V22" s="735"/>
      <c r="W22" s="735"/>
      <c r="X22" s="735"/>
      <c r="Y22" s="454"/>
      <c r="Z22" s="747"/>
      <c r="AA22" s="747"/>
      <c r="AB22" s="747"/>
      <c r="AC22" s="454"/>
      <c r="AD22" s="735"/>
      <c r="AE22" s="735"/>
      <c r="AF22" s="735"/>
      <c r="AG22" s="687"/>
      <c r="AH22" s="723" t="str">
        <f>IF(ISBLANK(MUNDIAL!J82),"","("&amp;(MUNDIAL!J82)&amp;")")</f>
        <v/>
      </c>
      <c r="AI22" s="724" t="str">
        <f>IF(ISBLANK(MUNDIAL!K82),"",(MUNDIAL!K82))</f>
        <v/>
      </c>
      <c r="AJ22" s="725" t="str">
        <f>MID(MUNDIAL!I82,1,3)</f>
        <v>W55</v>
      </c>
      <c r="AK22" s="691"/>
      <c r="AL22" s="714"/>
      <c r="AM22" s="714"/>
      <c r="AN22" s="714"/>
      <c r="AO22" s="1"/>
      <c r="AP22" s="623"/>
      <c r="AQ22" s="633" t="str">
        <f ca="1">MID(MUNDIAL!I57,1,3)</f>
        <v>Cam</v>
      </c>
      <c r="AR22" s="634">
        <f>MUNDIAL!K57</f>
        <v>1</v>
      </c>
      <c r="AS22" s="634">
        <f>MUNDIAL!L57</f>
        <v>0</v>
      </c>
      <c r="AT22" s="635" t="str">
        <f ca="1">MID(MUNDIAL!N57,1,3)</f>
        <v>Bra</v>
      </c>
      <c r="AU22" s="675"/>
      <c r="AV22" s="618"/>
      <c r="AW22" s="619"/>
      <c r="AX22" s="619"/>
      <c r="AY22" s="619"/>
      <c r="AZ22" s="620"/>
      <c r="BA22" s="1"/>
    </row>
    <row r="23" spans="1:53" ht="16" thickBot="1">
      <c r="A23" s="1"/>
      <c r="B23" s="456"/>
      <c r="C23" s="458"/>
      <c r="D23" s="3"/>
      <c r="E23" s="3"/>
      <c r="F23" s="1"/>
      <c r="G23" s="1"/>
      <c r="H23" s="458"/>
      <c r="I23" s="1"/>
      <c r="J23" s="1"/>
      <c r="K23" s="1"/>
      <c r="L23" s="1"/>
      <c r="M23" s="1"/>
      <c r="N23" s="714"/>
      <c r="O23" s="714"/>
      <c r="P23" s="715"/>
      <c r="Q23" s="455"/>
      <c r="R23" s="731" t="str">
        <f>MID(MUNDIAL!N80,1,3)</f>
        <v>W54</v>
      </c>
      <c r="S23" s="724" t="str">
        <f>IF(ISBLANK(MUNDIAL!L80),"",(MUNDIAL!L80))</f>
        <v/>
      </c>
      <c r="T23" s="733" t="str">
        <f>IF(ISBLANK(MUNDIAL!M80),"","("&amp;(MUNDIAL!M80)&amp;")")</f>
        <v/>
      </c>
      <c r="U23" s="454"/>
      <c r="V23" s="735"/>
      <c r="W23" s="735"/>
      <c r="X23" s="735"/>
      <c r="Y23" s="454"/>
      <c r="Z23" s="753"/>
      <c r="AA23" s="753" t="str">
        <f>MID(MUNDIAL!I97,1,3)</f>
        <v>WF</v>
      </c>
      <c r="AB23" s="753"/>
      <c r="AC23" s="454"/>
      <c r="AD23" s="735"/>
      <c r="AE23" s="735"/>
      <c r="AF23" s="735"/>
      <c r="AG23" s="454"/>
      <c r="AH23" s="726" t="str">
        <f>IF(ISBLANK(MUNDIAL!M82),"","("&amp;(MUNDIAL!M82)&amp;")")</f>
        <v/>
      </c>
      <c r="AI23" s="724" t="str">
        <f>IF(ISBLANK(MUNDIAL!L82),"",(MUNDIAL!L82))</f>
        <v/>
      </c>
      <c r="AJ23" s="725" t="str">
        <f>MID(MUNDIAL!N82,1,3)</f>
        <v>W56</v>
      </c>
      <c r="AK23" s="687"/>
      <c r="AL23" s="714"/>
      <c r="AM23" s="714"/>
      <c r="AN23" s="714"/>
      <c r="AO23" s="1"/>
      <c r="AP23" s="456"/>
      <c r="AQ23" s="451"/>
      <c r="AR23" s="457"/>
      <c r="AS23" s="457"/>
      <c r="AT23" s="451"/>
      <c r="AU23" s="1"/>
      <c r="AV23" s="458"/>
      <c r="AW23" s="1"/>
      <c r="AX23" s="1"/>
      <c r="AY23" s="1"/>
      <c r="AZ23" s="1"/>
      <c r="BA23" s="1"/>
    </row>
    <row r="24" spans="1:53">
      <c r="A24" s="1"/>
      <c r="B24" s="474" t="s">
        <v>105</v>
      </c>
      <c r="C24" s="482" t="str">
        <f ca="1">MID(MUNDIAL!I28,1,3)</f>
        <v>Din</v>
      </c>
      <c r="D24" s="483">
        <f>MUNDIAL!K28</f>
        <v>0</v>
      </c>
      <c r="E24" s="483">
        <f>MUNDIAL!L28</f>
        <v>0</v>
      </c>
      <c r="F24" s="484" t="str">
        <f ca="1">MID(MUNDIAL!N28,1,3)</f>
        <v>Tún</v>
      </c>
      <c r="G24" s="668"/>
      <c r="H24" s="549" t="s">
        <v>267</v>
      </c>
      <c r="I24" s="550" t="s">
        <v>76</v>
      </c>
      <c r="J24" s="550" t="s">
        <v>273</v>
      </c>
      <c r="K24" s="550" t="s">
        <v>99</v>
      </c>
      <c r="L24" s="551" t="s">
        <v>9</v>
      </c>
      <c r="M24" s="1"/>
      <c r="N24" s="714"/>
      <c r="O24" s="714"/>
      <c r="P24" s="715"/>
      <c r="Q24" s="454"/>
      <c r="R24" s="721"/>
      <c r="S24" s="721"/>
      <c r="T24" s="721"/>
      <c r="U24" s="454"/>
      <c r="V24" s="735"/>
      <c r="W24" s="735"/>
      <c r="X24" s="735"/>
      <c r="Y24" s="454"/>
      <c r="Z24" s="753" t="str">
        <f>MID(MUNDIAL!I98,1,3)</f>
        <v>LF</v>
      </c>
      <c r="AA24" s="681"/>
      <c r="AB24" s="753"/>
      <c r="AC24" s="454"/>
      <c r="AD24" s="735"/>
      <c r="AE24" s="735"/>
      <c r="AF24" s="735"/>
      <c r="AG24" s="454"/>
      <c r="AH24" s="721"/>
      <c r="AI24" s="721"/>
      <c r="AJ24" s="727"/>
      <c r="AK24" s="687"/>
      <c r="AL24" s="714"/>
      <c r="AM24" s="714"/>
      <c r="AN24" s="714"/>
      <c r="AO24" s="1"/>
      <c r="AP24" s="658" t="s">
        <v>167</v>
      </c>
      <c r="AQ24" s="645" t="str">
        <f ca="1">MID(MUNDIAL!I60,1,3)</f>
        <v>Uru</v>
      </c>
      <c r="AR24" s="646">
        <f>MUNDIAL!K60</f>
        <v>0</v>
      </c>
      <c r="AS24" s="646">
        <f>MUNDIAL!L60</f>
        <v>0</v>
      </c>
      <c r="AT24" s="647" t="str">
        <f ca="1">MID(MUNDIAL!N60,1,3)</f>
        <v>Cor</v>
      </c>
      <c r="AU24" s="676"/>
      <c r="AV24" s="648" t="s">
        <v>267</v>
      </c>
      <c r="AW24" s="649" t="s">
        <v>76</v>
      </c>
      <c r="AX24" s="649" t="s">
        <v>273</v>
      </c>
      <c r="AY24" s="649" t="s">
        <v>99</v>
      </c>
      <c r="AZ24" s="650" t="s">
        <v>9</v>
      </c>
      <c r="BA24" s="1"/>
    </row>
    <row r="25" spans="1:53">
      <c r="A25" s="1"/>
      <c r="B25" s="475"/>
      <c r="C25" s="485" t="str">
        <f ca="1">MID(MUNDIAL!I29,1,3)</f>
        <v>Fra</v>
      </c>
      <c r="D25" s="479">
        <f>MUNDIAL!K29</f>
        <v>4</v>
      </c>
      <c r="E25" s="479">
        <f>MUNDIAL!L29</f>
        <v>1</v>
      </c>
      <c r="F25" s="480" t="str">
        <f ca="1">MID(MUNDIAL!N29,1,3)</f>
        <v>Aus</v>
      </c>
      <c r="G25" s="1">
        <v>1</v>
      </c>
      <c r="H25" s="700" t="str">
        <f ca="1">MID(MUNDIAL!R30,1,3)</f>
        <v>Fra</v>
      </c>
      <c r="I25" s="760">
        <f ca="1">MUNDIAL!S30</f>
        <v>7</v>
      </c>
      <c r="J25" s="478">
        <f ca="1">MUNDIAL!T30</f>
        <v>3</v>
      </c>
      <c r="K25" s="478">
        <f ca="1">MUNDIAL!Z30</f>
        <v>4</v>
      </c>
      <c r="L25" s="486">
        <f ca="1">MUNDIAL!X30</f>
        <v>7</v>
      </c>
      <c r="M25" s="1"/>
      <c r="N25" s="710" t="str">
        <f ca="1">MID(MUNDIAL!I74,1,3)</f>
        <v>Bra</v>
      </c>
      <c r="O25" s="711" t="str">
        <f>IF(ISBLANK(MUNDIAL!K74),"",(MUNDIAL!K74))</f>
        <v/>
      </c>
      <c r="P25" s="716" t="str">
        <f>IF(ISBLANK(MUNDIAL!J74),"","("&amp;(MUNDIAL!J74)&amp;")")</f>
        <v/>
      </c>
      <c r="Q25" s="454"/>
      <c r="R25" s="721"/>
      <c r="S25" s="721"/>
      <c r="T25" s="721"/>
      <c r="U25" s="454"/>
      <c r="V25" s="735"/>
      <c r="W25" s="741"/>
      <c r="X25" s="735"/>
      <c r="Y25" s="454"/>
      <c r="Z25" s="682"/>
      <c r="AA25" s="681"/>
      <c r="AB25" s="753" t="str">
        <f>MID(MUNDIAL!I99,1,3)</f>
        <v>W34</v>
      </c>
      <c r="AC25" s="454"/>
      <c r="AD25" s="735"/>
      <c r="AE25" s="735"/>
      <c r="AF25" s="735"/>
      <c r="AG25" s="454"/>
      <c r="AH25" s="721"/>
      <c r="AI25" s="721"/>
      <c r="AJ25" s="721"/>
      <c r="AK25" s="687"/>
      <c r="AL25" s="718" t="str">
        <f>IF(ISBLANK(MUNDIAL!J76),"","("&amp;(MUNDIAL!J76)&amp;")")</f>
        <v/>
      </c>
      <c r="AM25" s="711" t="str">
        <f>IF(ISBLANK(MUNDIAL!K76),"",(MUNDIAL!K76))</f>
        <v/>
      </c>
      <c r="AN25" s="710" t="str">
        <f ca="1">MID(MUNDIAL!I76,1,3)</f>
        <v>Por</v>
      </c>
      <c r="AO25" s="1"/>
      <c r="AP25" s="659"/>
      <c r="AQ25" s="651" t="str">
        <f ca="1">MID(MUNDIAL!I61,1,3)</f>
        <v>Por</v>
      </c>
      <c r="AR25" s="643">
        <f>MUNDIAL!K61</f>
        <v>3</v>
      </c>
      <c r="AS25" s="643">
        <f>MUNDIAL!L61</f>
        <v>2</v>
      </c>
      <c r="AT25" s="644" t="str">
        <f ca="1">MID(MUNDIAL!N61,1,3)</f>
        <v>Gha</v>
      </c>
      <c r="AU25" s="677">
        <v>1</v>
      </c>
      <c r="AV25" s="708" t="str">
        <f ca="1">MID(MUNDIAL!R62,1,3)</f>
        <v>Por</v>
      </c>
      <c r="AW25" s="769">
        <f ca="1">MUNDIAL!S62</f>
        <v>6</v>
      </c>
      <c r="AX25" s="642">
        <f ca="1">MUNDIAL!T62</f>
        <v>3</v>
      </c>
      <c r="AY25" s="642">
        <f ca="1">MUNDIAL!Z62</f>
        <v>2</v>
      </c>
      <c r="AZ25" s="652">
        <f ca="1">MUNDIAL!X62</f>
        <v>6</v>
      </c>
      <c r="BA25" s="1"/>
    </row>
    <row r="26" spans="1:53">
      <c r="A26" s="1"/>
      <c r="B26" s="475"/>
      <c r="C26" s="485" t="str">
        <f ca="1">MID(MUNDIAL!I30,1,3)</f>
        <v>Tún</v>
      </c>
      <c r="D26" s="479">
        <f>MUNDIAL!K30</f>
        <v>0</v>
      </c>
      <c r="E26" s="479">
        <f>MUNDIAL!L30</f>
        <v>1</v>
      </c>
      <c r="F26" s="480" t="str">
        <f ca="1">MID(MUNDIAL!N30,1,3)</f>
        <v>Aus</v>
      </c>
      <c r="G26" s="1">
        <v>2</v>
      </c>
      <c r="H26" s="700" t="str">
        <f ca="1">MID(MUNDIAL!R31,1,3)</f>
        <v>Aus</v>
      </c>
      <c r="I26" s="760">
        <f ca="1">MUNDIAL!S31</f>
        <v>6</v>
      </c>
      <c r="J26" s="478">
        <f ca="1">MUNDIAL!T31</f>
        <v>3</v>
      </c>
      <c r="K26" s="478">
        <f ca="1">MUNDIAL!Z31</f>
        <v>-1</v>
      </c>
      <c r="L26" s="486">
        <f ca="1">MUNDIAL!X31</f>
        <v>3</v>
      </c>
      <c r="M26" s="1"/>
      <c r="N26" s="710" t="str">
        <f ca="1">MID(MUNDIAL!N74,1,3)</f>
        <v>Cor</v>
      </c>
      <c r="O26" s="711" t="str">
        <f>IF(ISBLANK(MUNDIAL!L74),"",(MUNDIAL!L74))</f>
        <v/>
      </c>
      <c r="P26" s="717" t="str">
        <f>IF(ISBLANK(MUNDIAL!M74),"","("&amp;(MUNDIAL!M74)&amp;")")</f>
        <v/>
      </c>
      <c r="Q26" s="454"/>
      <c r="R26" s="721"/>
      <c r="S26" s="721"/>
      <c r="T26" s="721"/>
      <c r="U26" s="454"/>
      <c r="V26" s="735"/>
      <c r="W26" s="735"/>
      <c r="X26" s="735"/>
      <c r="Y26" s="454"/>
      <c r="Z26" s="683" t="s">
        <v>271</v>
      </c>
      <c r="AA26" s="684" t="s">
        <v>272</v>
      </c>
      <c r="AB26" s="685" t="s">
        <v>270</v>
      </c>
      <c r="AC26" s="454"/>
      <c r="AD26" s="735"/>
      <c r="AE26" s="735"/>
      <c r="AF26" s="735"/>
      <c r="AG26" s="454"/>
      <c r="AH26" s="721"/>
      <c r="AI26" s="721"/>
      <c r="AJ26" s="721"/>
      <c r="AK26" s="454"/>
      <c r="AL26" s="719" t="str">
        <f>IF(ISBLANK(MUNDIAL!M76),"","("&amp;(MUNDIAL!M76)&amp;")")</f>
        <v/>
      </c>
      <c r="AM26" s="711" t="str">
        <f>IF(ISBLANK(MUNDIAL!L76),"",(MUNDIAL!L76))</f>
        <v/>
      </c>
      <c r="AN26" s="710" t="str">
        <f ca="1">MID(MUNDIAL!N76,1,3)</f>
        <v>Sui</v>
      </c>
      <c r="AO26" s="1"/>
      <c r="AP26" s="659"/>
      <c r="AQ26" s="651" t="str">
        <f ca="1">MID(MUNDIAL!I62,1,3)</f>
        <v>Cor</v>
      </c>
      <c r="AR26" s="643">
        <f>MUNDIAL!K62</f>
        <v>2</v>
      </c>
      <c r="AS26" s="643">
        <f>MUNDIAL!L62</f>
        <v>3</v>
      </c>
      <c r="AT26" s="644" t="str">
        <f ca="1">MID(MUNDIAL!N62,1,3)</f>
        <v>Gha</v>
      </c>
      <c r="AU26" s="677">
        <v>2</v>
      </c>
      <c r="AV26" s="708" t="str">
        <f ca="1">MID(MUNDIAL!R63,1,3)</f>
        <v>Cor</v>
      </c>
      <c r="AW26" s="769">
        <f ca="1">MUNDIAL!S63</f>
        <v>4</v>
      </c>
      <c r="AX26" s="642">
        <f ca="1">MUNDIAL!T63</f>
        <v>3</v>
      </c>
      <c r="AY26" s="642">
        <f ca="1">MUNDIAL!Z63</f>
        <v>0</v>
      </c>
      <c r="AZ26" s="652">
        <f ca="1">MUNDIAL!X63</f>
        <v>4</v>
      </c>
      <c r="BA26" s="1"/>
    </row>
    <row r="27" spans="1:53">
      <c r="A27" s="1"/>
      <c r="B27" s="476"/>
      <c r="C27" s="485" t="str">
        <f ca="1">MID(MUNDIAL!I31,1,3)</f>
        <v>Fra</v>
      </c>
      <c r="D27" s="479">
        <f>MUNDIAL!K31</f>
        <v>2</v>
      </c>
      <c r="E27" s="479">
        <f>MUNDIAL!L31</f>
        <v>1</v>
      </c>
      <c r="F27" s="480" t="str">
        <f ca="1">MID(MUNDIAL!N31,1,3)</f>
        <v>Din</v>
      </c>
      <c r="G27" s="1">
        <v>3</v>
      </c>
      <c r="H27" s="700" t="str">
        <f ca="1">MID(MUNDIAL!R32,1,3)</f>
        <v>Tún</v>
      </c>
      <c r="I27" s="760">
        <f ca="1">MUNDIAL!S32</f>
        <v>2</v>
      </c>
      <c r="J27" s="478">
        <f ca="1">MUNDIAL!T32</f>
        <v>3</v>
      </c>
      <c r="K27" s="478">
        <f ca="1">MUNDIAL!Z32</f>
        <v>-1</v>
      </c>
      <c r="L27" s="486">
        <f ca="1">MUNDIAL!X32</f>
        <v>1</v>
      </c>
      <c r="M27" s="1"/>
      <c r="N27" s="709"/>
      <c r="O27" s="709"/>
      <c r="P27" s="709"/>
      <c r="Q27" s="1"/>
      <c r="R27" s="720"/>
      <c r="S27" s="720"/>
      <c r="T27" s="720"/>
      <c r="U27" s="1"/>
      <c r="V27" s="734"/>
      <c r="W27" s="734"/>
      <c r="X27" s="734"/>
      <c r="Y27" s="1"/>
      <c r="Z27" s="746"/>
      <c r="AA27" s="746"/>
      <c r="AB27" s="746"/>
      <c r="AC27" s="1"/>
      <c r="AD27" s="734"/>
      <c r="AE27" s="734"/>
      <c r="AF27" s="734"/>
      <c r="AG27" s="1"/>
      <c r="AH27" s="720"/>
      <c r="AI27" s="720"/>
      <c r="AJ27" s="720"/>
      <c r="AK27" s="1"/>
      <c r="AL27" s="709"/>
      <c r="AM27" s="709"/>
      <c r="AN27" s="709"/>
      <c r="AO27" s="1"/>
      <c r="AP27" s="660"/>
      <c r="AQ27" s="651" t="str">
        <f ca="1">MID(MUNDIAL!I63,1,3)</f>
        <v>Por</v>
      </c>
      <c r="AR27" s="643">
        <f>MUNDIAL!K63</f>
        <v>2</v>
      </c>
      <c r="AS27" s="643">
        <f>MUNDIAL!L63</f>
        <v>0</v>
      </c>
      <c r="AT27" s="644" t="str">
        <f ca="1">MID(MUNDIAL!N63,1,3)</f>
        <v>Uru</v>
      </c>
      <c r="AU27" s="677">
        <v>3</v>
      </c>
      <c r="AV27" s="708" t="str">
        <f ca="1">MID(MUNDIAL!R64,1,3)</f>
        <v>Uru</v>
      </c>
      <c r="AW27" s="769">
        <f ca="1">MUNDIAL!S64</f>
        <v>4</v>
      </c>
      <c r="AX27" s="642">
        <f ca="1">MUNDIAL!T64</f>
        <v>3</v>
      </c>
      <c r="AY27" s="642">
        <f ca="1">MUNDIAL!Z64</f>
        <v>0</v>
      </c>
      <c r="AZ27" s="652">
        <f ca="1">MUNDIAL!X64</f>
        <v>2</v>
      </c>
      <c r="BA27" s="1"/>
    </row>
    <row r="28" spans="1:53">
      <c r="A28" s="1"/>
      <c r="B28" s="476"/>
      <c r="C28" s="485" t="str">
        <f ca="1">MID(MUNDIAL!I32,1,3)</f>
        <v>Aus</v>
      </c>
      <c r="D28" s="479">
        <f>MUNDIAL!K32</f>
        <v>1</v>
      </c>
      <c r="E28" s="479">
        <f>MUNDIAL!L32</f>
        <v>0</v>
      </c>
      <c r="F28" s="480" t="str">
        <f ca="1">MID(MUNDIAL!N32,1,3)</f>
        <v>Din</v>
      </c>
      <c r="G28" s="1">
        <v>4</v>
      </c>
      <c r="H28" s="700" t="str">
        <f ca="1">MID(MUNDIAL!R33,1,3)</f>
        <v>Din</v>
      </c>
      <c r="I28" s="760">
        <f ca="1">MUNDIAL!S33</f>
        <v>1</v>
      </c>
      <c r="J28" s="478">
        <f ca="1">MUNDIAL!T33</f>
        <v>3</v>
      </c>
      <c r="K28" s="478">
        <f ca="1">MUNDIAL!Z33</f>
        <v>-2</v>
      </c>
      <c r="L28" s="486">
        <f ca="1">MUNDIAL!X33</f>
        <v>1</v>
      </c>
      <c r="M28" s="1"/>
      <c r="N28" s="709"/>
      <c r="O28" s="709"/>
      <c r="P28" s="709"/>
      <c r="Q28" s="1"/>
      <c r="R28" s="720"/>
      <c r="S28" s="720"/>
      <c r="T28" s="720"/>
      <c r="U28" s="1"/>
      <c r="V28" s="734"/>
      <c r="W28" s="734"/>
      <c r="X28" s="734"/>
      <c r="Y28" s="1"/>
      <c r="Z28" s="746"/>
      <c r="AA28" s="746"/>
      <c r="AB28" s="746"/>
      <c r="AC28" s="1"/>
      <c r="AD28" s="734"/>
      <c r="AE28" s="734"/>
      <c r="AF28" s="734"/>
      <c r="AG28" s="1"/>
      <c r="AH28" s="720"/>
      <c r="AI28" s="720"/>
      <c r="AJ28" s="720"/>
      <c r="AK28" s="1"/>
      <c r="AL28" s="709"/>
      <c r="AM28" s="709"/>
      <c r="AN28" s="709"/>
      <c r="AO28" s="1"/>
      <c r="AP28" s="660"/>
      <c r="AQ28" s="651" t="str">
        <f ca="1">MID(MUNDIAL!I64,1,3)</f>
        <v>Gha</v>
      </c>
      <c r="AR28" s="643">
        <f>MUNDIAL!K64</f>
        <v>0</v>
      </c>
      <c r="AS28" s="643">
        <f>MUNDIAL!L64</f>
        <v>2</v>
      </c>
      <c r="AT28" s="644" t="str">
        <f ca="1">MID(MUNDIAL!N64,1,3)</f>
        <v>Uru</v>
      </c>
      <c r="AU28" s="677">
        <v>4</v>
      </c>
      <c r="AV28" s="708" t="str">
        <f ca="1">MID(MUNDIAL!R65,1,3)</f>
        <v>Gha</v>
      </c>
      <c r="AW28" s="769">
        <f ca="1">MUNDIAL!S65</f>
        <v>3</v>
      </c>
      <c r="AX28" s="642">
        <f ca="1">MUNDIAL!T65</f>
        <v>3</v>
      </c>
      <c r="AY28" s="642">
        <f ca="1">MUNDIAL!Z65</f>
        <v>-2</v>
      </c>
      <c r="AZ28" s="652">
        <f ca="1">MUNDIAL!X65</f>
        <v>5</v>
      </c>
      <c r="BA28" s="1"/>
    </row>
    <row r="29" spans="1:53" ht="16" thickBot="1">
      <c r="A29" s="1"/>
      <c r="B29" s="477"/>
      <c r="C29" s="487" t="str">
        <f ca="1">MID(MUNDIAL!I33,1,3)</f>
        <v>Tún</v>
      </c>
      <c r="D29" s="488">
        <f>MUNDIAL!K33</f>
        <v>1</v>
      </c>
      <c r="E29" s="488">
        <f>MUNDIAL!L33</f>
        <v>1</v>
      </c>
      <c r="F29" s="489" t="str">
        <f ca="1">MID(MUNDIAL!N33,1,3)</f>
        <v>Fra</v>
      </c>
      <c r="G29" s="669"/>
      <c r="H29" s="552"/>
      <c r="I29" s="552"/>
      <c r="J29" s="552"/>
      <c r="K29" s="552"/>
      <c r="L29" s="553"/>
      <c r="M29" s="1"/>
      <c r="N29" s="709"/>
      <c r="O29" s="709"/>
      <c r="P29" s="709"/>
      <c r="Q29" s="1"/>
      <c r="R29" s="720"/>
      <c r="S29" s="720"/>
      <c r="T29" s="720"/>
      <c r="U29" s="1"/>
      <c r="V29" s="734"/>
      <c r="W29" s="734"/>
      <c r="X29" s="734"/>
      <c r="Y29" s="1"/>
      <c r="Z29" s="746"/>
      <c r="AA29" s="746"/>
      <c r="AB29" s="746"/>
      <c r="AC29" s="1"/>
      <c r="AD29" s="734"/>
      <c r="AE29" s="734"/>
      <c r="AF29" s="734"/>
      <c r="AG29" s="1"/>
      <c r="AH29" s="720"/>
      <c r="AI29" s="720"/>
      <c r="AJ29" s="720"/>
      <c r="AK29" s="1"/>
      <c r="AL29" s="709"/>
      <c r="AM29" s="709"/>
      <c r="AN29" s="709"/>
      <c r="AO29" s="1"/>
      <c r="AP29" s="661"/>
      <c r="AQ29" s="653" t="str">
        <f ca="1">MID(MUNDIAL!I65,1,3)</f>
        <v>Cor</v>
      </c>
      <c r="AR29" s="654">
        <f>MUNDIAL!K65</f>
        <v>2</v>
      </c>
      <c r="AS29" s="654">
        <f>MUNDIAL!L65</f>
        <v>1</v>
      </c>
      <c r="AT29" s="655" t="str">
        <f ca="1">MID(MUNDIAL!N65,1,3)</f>
        <v>Por</v>
      </c>
      <c r="AU29" s="678"/>
      <c r="AV29" s="656"/>
      <c r="AW29" s="656"/>
      <c r="AX29" s="656"/>
      <c r="AY29" s="656"/>
      <c r="AZ29" s="657"/>
      <c r="BA29" s="1"/>
    </row>
    <row r="30" spans="1:53">
      <c r="A30" s="1"/>
      <c r="B30" s="1"/>
      <c r="C30" s="458"/>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row>
    <row r="33" spans="1:5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row>
    <row r="34" spans="1:5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row>
  </sheetData>
  <sheetProtection algorithmName="SHA-512" hashValue="xmQreM56g3ubWwB5GsYkAiYD1d2pKkEmEqkJLICyMMrS5levQTOhRh3omEndHE4hxl/uvJgfk72GQHy6usP96g==" saltValue="QvFaUA+ZerkC+ilWhODAuw==" spinCount="100000" sheet="1" objects="1" scenarios="1" selectLockedCells="1" selectUnlockedCells="1"/>
  <pageMargins left="0.7" right="0.7" top="0.75" bottom="0.75" header="0.3" footer="0.3"/>
  <pageSetup paperSize="9" scale="62" orientation="landscape" horizontalDpi="0" verticalDpi="0"/>
  <ignoredErrors>
    <ignoredError sqref="O6 O5"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N18"/>
  <sheetViews>
    <sheetView showRowColHeaders="0" workbookViewId="0">
      <selection activeCell="B16" sqref="B16"/>
    </sheetView>
  </sheetViews>
  <sheetFormatPr baseColWidth="10" defaultColWidth="10.83203125" defaultRowHeight="15"/>
  <cols>
    <col min="1" max="1" width="6" style="316" customWidth="1"/>
    <col min="2" max="2" width="7.5" style="316" customWidth="1"/>
    <col min="3" max="6" width="10.83203125" style="316"/>
    <col min="7" max="7" width="39.6640625" style="316" customWidth="1"/>
    <col min="8" max="16384" width="10.83203125" style="316"/>
  </cols>
  <sheetData>
    <row r="1" spans="1:14">
      <c r="A1" s="314"/>
      <c r="B1" s="314"/>
      <c r="C1" s="315"/>
      <c r="D1" s="315"/>
      <c r="E1" s="315"/>
      <c r="F1" s="315"/>
      <c r="G1" s="315"/>
    </row>
    <row r="2" spans="1:14">
      <c r="A2" s="314"/>
      <c r="B2" s="317" t="s">
        <v>66</v>
      </c>
      <c r="C2" s="318"/>
      <c r="D2" s="318"/>
      <c r="E2" s="318"/>
      <c r="F2" s="318"/>
      <c r="G2" s="318"/>
    </row>
    <row r="3" spans="1:14">
      <c r="A3" s="314"/>
      <c r="B3" s="1055" t="s">
        <v>104</v>
      </c>
      <c r="C3" s="1055"/>
      <c r="D3" s="1055"/>
      <c r="E3" s="1055"/>
      <c r="F3" s="1055"/>
      <c r="G3" s="1055"/>
      <c r="I3" s="1055"/>
      <c r="J3" s="1055"/>
      <c r="K3" s="1055"/>
      <c r="L3" s="1055"/>
      <c r="M3" s="1055"/>
      <c r="N3" s="1055"/>
    </row>
    <row r="4" spans="1:14">
      <c r="A4" s="314"/>
      <c r="B4" s="1055"/>
      <c r="C4" s="1055"/>
      <c r="D4" s="1055"/>
      <c r="E4" s="1055"/>
      <c r="F4" s="1055"/>
      <c r="G4" s="1055"/>
      <c r="I4" s="1055"/>
      <c r="J4" s="1055"/>
      <c r="K4" s="1055"/>
      <c r="L4" s="1055"/>
      <c r="M4" s="1055"/>
      <c r="N4" s="1055"/>
    </row>
    <row r="5" spans="1:14">
      <c r="A5" s="314"/>
      <c r="B5" s="1055"/>
      <c r="C5" s="1055"/>
      <c r="D5" s="1055"/>
      <c r="E5" s="1055"/>
      <c r="F5" s="1055"/>
      <c r="G5" s="1055"/>
      <c r="I5" s="1055"/>
      <c r="J5" s="1055"/>
      <c r="K5" s="1055"/>
      <c r="L5" s="1055"/>
      <c r="M5" s="1055"/>
      <c r="N5" s="1055"/>
    </row>
    <row r="6" spans="1:14">
      <c r="A6" s="314"/>
      <c r="B6" s="1055"/>
      <c r="C6" s="1055"/>
      <c r="D6" s="1055"/>
      <c r="E6" s="1055"/>
      <c r="F6" s="1055"/>
      <c r="G6" s="1055"/>
      <c r="I6" s="1055"/>
      <c r="J6" s="1055"/>
      <c r="K6" s="1055"/>
      <c r="L6" s="1055"/>
      <c r="M6" s="1055"/>
      <c r="N6" s="1055"/>
    </row>
    <row r="7" spans="1:14">
      <c r="A7" s="314"/>
      <c r="B7" s="1055"/>
      <c r="C7" s="1055"/>
      <c r="D7" s="1055"/>
      <c r="E7" s="1055"/>
      <c r="F7" s="1055"/>
      <c r="G7" s="1055"/>
      <c r="I7" s="1055"/>
      <c r="J7" s="1055"/>
      <c r="K7" s="1055"/>
      <c r="L7" s="1055"/>
      <c r="M7" s="1055"/>
      <c r="N7" s="1055"/>
    </row>
    <row r="8" spans="1:14">
      <c r="A8" s="314"/>
      <c r="B8" s="1055"/>
      <c r="C8" s="1055"/>
      <c r="D8" s="1055"/>
      <c r="E8" s="1055"/>
      <c r="F8" s="1055"/>
      <c r="G8" s="1055"/>
      <c r="I8" s="1055"/>
      <c r="J8" s="1055"/>
      <c r="K8" s="1055"/>
      <c r="L8" s="1055"/>
      <c r="M8" s="1055"/>
      <c r="N8" s="1055"/>
    </row>
    <row r="9" spans="1:14">
      <c r="A9" s="314"/>
      <c r="B9" s="1055"/>
      <c r="C9" s="1055"/>
      <c r="D9" s="1055"/>
      <c r="E9" s="1055"/>
      <c r="F9" s="1055"/>
      <c r="G9" s="1055"/>
      <c r="I9" s="1055"/>
      <c r="J9" s="1055"/>
      <c r="K9" s="1055"/>
      <c r="L9" s="1055"/>
      <c r="M9" s="1055"/>
      <c r="N9" s="1055"/>
    </row>
    <row r="10" spans="1:14">
      <c r="A10" s="314"/>
      <c r="B10" s="1055"/>
      <c r="C10" s="1055"/>
      <c r="D10" s="1055"/>
      <c r="E10" s="1055"/>
      <c r="F10" s="1055"/>
      <c r="G10" s="1055"/>
      <c r="I10" s="1055"/>
      <c r="J10" s="1055"/>
      <c r="K10" s="1055"/>
      <c r="L10" s="1055"/>
      <c r="M10" s="1055"/>
      <c r="N10" s="1055"/>
    </row>
    <row r="11" spans="1:14">
      <c r="A11" s="314"/>
      <c r="B11" s="1055"/>
      <c r="C11" s="1055"/>
      <c r="D11" s="1055"/>
      <c r="E11" s="1055"/>
      <c r="F11" s="1055"/>
      <c r="G11" s="1055"/>
      <c r="I11" s="1055"/>
      <c r="J11" s="1055"/>
      <c r="K11" s="1055"/>
      <c r="L11" s="1055"/>
      <c r="M11" s="1055"/>
      <c r="N11" s="1055"/>
    </row>
    <row r="12" spans="1:14">
      <c r="A12" s="314"/>
      <c r="B12" s="1055"/>
      <c r="C12" s="1055"/>
      <c r="D12" s="1055"/>
      <c r="E12" s="1055"/>
      <c r="F12" s="1055"/>
      <c r="G12" s="1055"/>
      <c r="I12" s="1055"/>
      <c r="J12" s="1055"/>
      <c r="K12" s="1055"/>
      <c r="L12" s="1055"/>
      <c r="M12" s="1055"/>
      <c r="N12" s="1055"/>
    </row>
    <row r="13" spans="1:14">
      <c r="A13" s="314"/>
      <c r="B13" s="319"/>
      <c r="C13" s="319"/>
      <c r="D13" s="319"/>
      <c r="E13" s="319"/>
      <c r="F13" s="319"/>
      <c r="G13" s="319"/>
    </row>
    <row r="14" spans="1:14">
      <c r="A14" s="314"/>
      <c r="B14" s="320" t="s">
        <v>67</v>
      </c>
      <c r="C14" s="7" t="s">
        <v>68</v>
      </c>
      <c r="D14" s="321"/>
      <c r="E14" s="321"/>
      <c r="F14" s="319"/>
      <c r="G14" s="319"/>
    </row>
    <row r="15" spans="1:14">
      <c r="A15" s="314"/>
      <c r="B15" s="326" t="s">
        <v>447</v>
      </c>
      <c r="C15" s="318"/>
      <c r="D15" s="318"/>
      <c r="E15" s="318"/>
      <c r="F15" s="315"/>
      <c r="G15" s="322"/>
    </row>
    <row r="16" spans="1:14">
      <c r="A16" s="314"/>
      <c r="B16" s="8"/>
      <c r="C16" s="314"/>
      <c r="D16" s="314"/>
      <c r="E16" s="314"/>
      <c r="F16" s="314"/>
      <c r="G16" s="314"/>
    </row>
    <row r="17" spans="1:7">
      <c r="A17" s="314"/>
      <c r="B17" s="314"/>
      <c r="C17" s="314"/>
      <c r="D17" s="314"/>
      <c r="E17" s="314"/>
      <c r="F17" s="314"/>
      <c r="G17" s="314"/>
    </row>
    <row r="18" spans="1:7">
      <c r="A18" s="314"/>
      <c r="B18" s="8"/>
      <c r="C18" s="314"/>
      <c r="D18" s="314"/>
      <c r="E18" s="314"/>
      <c r="F18" s="314"/>
      <c r="G18" s="314"/>
    </row>
  </sheetData>
  <sheetProtection algorithmName="SHA-512" hashValue="Rpjy1O3iVYzkwU7/BEWz2fECievY9NXARcPgAUgoKXSRdm546hhGcNALcR617nPc8QQcCJ9QjaShb7WS6RPGSQ==" saltValue="RIFLzLoUUnJYWlSTi6G3WQ==" spinCount="100000" sheet="1" scenarios="1" selectLockedCells="1" selectUnlockedCells="1"/>
  <mergeCells count="2">
    <mergeCell ref="B3:G12"/>
    <mergeCell ref="I3:N12"/>
  </mergeCells>
  <hyperlinks>
    <hyperlink ref="C14" r:id="rId1" xr:uid="{05AB4A6F-C4B4-A740-87ED-336F6C10C79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7</vt:i4>
      </vt:variant>
      <vt:variant>
        <vt:lpstr>Rangos con nombre</vt:lpstr>
      </vt:variant>
      <vt:variant>
        <vt:i4>9</vt:i4>
      </vt:variant>
    </vt:vector>
  </HeadingPairs>
  <TitlesOfParts>
    <vt:vector size="16" baseType="lpstr">
      <vt:lpstr>Inicio</vt:lpstr>
      <vt:lpstr>MUNDIAL</vt:lpstr>
      <vt:lpstr>Administrador</vt:lpstr>
      <vt:lpstr>Clasificacion</vt:lpstr>
      <vt:lpstr>Diario</vt:lpstr>
      <vt:lpstr>Fixture</vt:lpstr>
      <vt:lpstr>Creditos</vt:lpstr>
      <vt:lpstr>·······</vt:lpstr>
      <vt:lpstr>cmh</vt:lpstr>
      <vt:lpstr>Nivel</vt:lpstr>
      <vt:lpstr>Administrador!Nivell</vt:lpstr>
      <vt:lpstr>Clasificacion!Nivell</vt:lpstr>
      <vt:lpstr>Nivell</vt:lpstr>
      <vt:lpstr>NombreEquipo</vt:lpstr>
      <vt:lpstr>OK</vt:lpstr>
      <vt:lpstr>Rank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Miguel Angel Tejero</cp:lastModifiedBy>
  <cp:lastPrinted>2018-12-06T18:06:35Z</cp:lastPrinted>
  <dcterms:created xsi:type="dcterms:W3CDTF">2015-10-31T09:41:54Z</dcterms:created>
  <dcterms:modified xsi:type="dcterms:W3CDTF">2022-12-05T09:54:02Z</dcterms:modified>
</cp:coreProperties>
</file>